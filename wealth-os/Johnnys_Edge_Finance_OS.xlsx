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tart Here" sheetId="1" state="visible" r:id="rId1"/>
    <sheet name="MASTER PLAN" sheetId="2" state="visible" r:id="rId2"/>
    <sheet name="Command Center" sheetId="3" state="visible" r:id="rId3"/>
    <sheet name="Today's Brief" sheetId="4" state="visible" r:id="rId4"/>
    <sheet name="Settings" sheetId="5" state="visible" r:id="rId5"/>
    <sheet name="Accounts" sheetId="6" state="visible" r:id="rId6"/>
    <sheet name="Account History" sheetId="7" state="visible" r:id="rId7"/>
    <sheet name="Transactions" sheetId="8" state="visible" r:id="rId8"/>
    <sheet name="Spending Breakdown" sheetId="9" state="visible" r:id="rId9"/>
    <sheet name="Bills &amp; Commitments" sheetId="10" state="visible" r:id="rId10"/>
    <sheet name="Rent Vault" sheetId="11" state="visible" r:id="rId11"/>
    <sheet name="Cash Calendar" sheetId="12" state="visible" r:id="rId12"/>
    <sheet name="Planning Calendar" sheetId="13" state="visible" r:id="rId13"/>
    <sheet name="Salary Cycles" sheetId="14" state="visible" r:id="rId14"/>
    <sheet name="Weekly Check-In" sheetId="15" state="visible" r:id="rId15"/>
    <sheet name="Goals &amp; Future Planning" sheetId="16" state="visible" r:id="rId16"/>
    <sheet name="Family &amp; Future Security" sheetId="17" state="visible" r:id="rId17"/>
    <sheet name="BNPL &amp; Debt" sheetId="18" state="visible" r:id="rId18"/>
    <sheet name="Investments" sheetId="19" state="visible" r:id="rId19"/>
    <sheet name="Forecast" sheetId="20" state="visible" r:id="rId20"/>
    <sheet name="Scenarios" sheetId="21" state="visible" r:id="rId21"/>
    <sheet name="Monthly History" sheetId="22" state="visible" r:id="rId22"/>
    <sheet name="Reconciliation" sheetId="23" state="visible" r:id="rId23"/>
    <sheet name="Analytics" sheetId="24" state="visible" r:id="rId24"/>
    <sheet name="Checks &amp; Audit" sheetId="25" state="visible" r:id="rId25"/>
    <sheet name="Archive - Original" sheetId="26" state="visible" r:id="rId26"/>
  </sheets>
  <definedNames>
    <definedName name="_xlnm._FilterDatabase" localSheetId="6" hidden="1">'Account History'!$A$6:$E$100</definedName>
    <definedName name="_xlnm._FilterDatabase" localSheetId="7" hidden="1">'Transactions'!$A$6:$U$520</definedName>
    <definedName name="_xlnm._FilterDatabase" localSheetId="9" hidden="1">'Bills &amp; Commitments'!$A$6:$R$80</definedName>
  </definedNames>
  <calcPr calcId="124519" fullCalcOnLoad="1" refMode="A1" iterate="0" iterateCount="100" iterateDelta="0.0001"/>
</workbook>
</file>

<file path=xl/styles.xml><?xml version="1.0" encoding="utf-8"?>
<styleSheet xmlns="http://schemas.openxmlformats.org/spreadsheetml/2006/main">
  <numFmts count="14">
    <numFmt numFmtId="164" formatCode="#,##0.00;\(#,##0.00\);\–"/>
    <numFmt numFmtId="165" formatCode="dd\ mmm\ yyyy"/>
    <numFmt numFmtId="166" formatCode="0.0%"/>
    <numFmt numFmtId="167" formatCode="0.00\x"/>
    <numFmt numFmtId="168" formatCode="0.0000000"/>
    <numFmt numFmtId="169" formatCode="0.0000"/>
    <numFmt numFmtId="170" formatCode="dd/mm/yyyy"/>
    <numFmt numFmtId="171" formatCode="0.000000"/>
    <numFmt numFmtId="172" formatCode="&quot;49&quot;"/>
    <numFmt numFmtId="173" formatCode="#,##0.000"/>
    <numFmt numFmtId="174" formatCode="0.00000000"/>
    <numFmt numFmtId="175" formatCode="#,##0.0000"/>
    <numFmt numFmtId="176" formatCode="#,##0.00;(#,##0.00);&quot;–&quot;"/>
    <numFmt numFmtId="177" formatCode="dd mmm yyyy"/>
  </numFmts>
  <fonts count="76">
    <font>
      <name val="Calibri"/>
      <charset val="1"/>
      <family val="2"/>
      <color theme="1"/>
      <sz val="11"/>
    </font>
    <font>
      <name val="Arial"/>
      <family val="0"/>
      <sz val="10"/>
    </font>
    <font>
      <name val="Arial"/>
      <family val="0"/>
      <sz val="10"/>
    </font>
    <font>
      <name val="Arial"/>
      <family val="0"/>
      <sz val="10"/>
    </font>
    <font>
      <name val="Arial"/>
      <charset val="1"/>
      <family val="0"/>
      <b val="1"/>
      <color rgb="FF10213A"/>
      <sz val="28"/>
    </font>
    <font>
      <name val="Arial"/>
      <charset val="1"/>
      <family val="0"/>
      <b val="1"/>
      <color rgb="FFC6A15B"/>
      <sz val="13"/>
    </font>
    <font>
      <name val="Arial"/>
      <charset val="1"/>
      <family val="0"/>
      <i val="1"/>
      <color rgb="FF5B6B80"/>
      <sz val="9"/>
    </font>
    <font>
      <name val="Arial"/>
      <charset val="1"/>
      <family val="0"/>
      <i val="1"/>
      <color rgb="FF10213A"/>
      <sz val="10"/>
    </font>
    <font>
      <name val="Arial"/>
      <charset val="1"/>
      <family val="0"/>
      <b val="1"/>
      <color rgb="FF10213A"/>
      <sz val="9"/>
    </font>
    <font>
      <name val="Arial"/>
      <charset val="1"/>
      <family val="0"/>
      <color rgb="FF5B6B80"/>
      <sz val="9"/>
    </font>
    <font>
      <name val="Arial"/>
      <charset val="1"/>
      <family val="0"/>
      <b val="1"/>
      <color rgb="FFFFFFFF"/>
      <sz val="10"/>
    </font>
    <font>
      <name val="Arial"/>
      <charset val="1"/>
      <family val="0"/>
      <color rgb="FF10213A"/>
      <sz val="9"/>
    </font>
    <font>
      <name val="Arial"/>
      <charset val="1"/>
      <family val="0"/>
      <b val="1"/>
      <color rgb="FF10213A"/>
      <sz val="24"/>
    </font>
    <font>
      <name val="Arial"/>
      <charset val="1"/>
      <family val="0"/>
      <b val="1"/>
      <color rgb="FFC6A15B"/>
      <sz val="10"/>
    </font>
    <font>
      <name val="Arial"/>
      <charset val="1"/>
      <family val="0"/>
      <b val="1"/>
      <color rgb="FF008000"/>
      <sz val="9"/>
    </font>
    <font>
      <name val="Arial"/>
      <charset val="1"/>
      <family val="0"/>
      <color rgb="FF5B6B80"/>
      <sz val="8"/>
    </font>
    <font>
      <name val="Arial"/>
      <charset val="1"/>
      <family val="0"/>
      <b val="1"/>
      <color rgb="FF008000"/>
      <sz val="11"/>
    </font>
    <font>
      <name val="Arial"/>
      <charset val="1"/>
      <family val="0"/>
      <color rgb="FF008000"/>
      <sz val="9"/>
    </font>
    <font>
      <name val="Arial"/>
      <charset val="1"/>
      <family val="0"/>
      <color rgb="FFB4232B"/>
      <sz val="8"/>
    </font>
    <font>
      <name val="Arial"/>
      <charset val="1"/>
      <family val="0"/>
      <b val="1"/>
      <color rgb="FF008000"/>
      <sz val="10"/>
    </font>
    <font>
      <name val="Arial"/>
      <charset val="1"/>
      <family val="0"/>
      <color rgb="FF10213A"/>
      <sz val="8"/>
    </font>
    <font>
      <name val="Arial"/>
      <charset val="1"/>
      <family val="0"/>
      <b val="1"/>
      <color rgb="FFB4232B"/>
      <sz val="9"/>
    </font>
    <font>
      <name val="Arial"/>
      <charset val="1"/>
      <family val="0"/>
      <b val="1"/>
      <color rgb="FF10213A"/>
      <sz val="11"/>
    </font>
    <font>
      <name val="Arial"/>
      <charset val="1"/>
      <family val="0"/>
      <b val="1"/>
      <color rgb="FF10213A"/>
      <sz val="26"/>
    </font>
    <font>
      <name val="Arial"/>
      <charset val="1"/>
      <family val="0"/>
      <b val="1"/>
      <color rgb="FFFFFFFF"/>
      <sz val="13"/>
    </font>
    <font>
      <name val="Arial"/>
      <charset val="1"/>
      <family val="0"/>
      <b val="1"/>
      <color rgb="FFFFFFFF"/>
      <sz val="9"/>
    </font>
    <font>
      <name val="Arial"/>
      <charset val="1"/>
      <family val="0"/>
      <b val="1"/>
      <color rgb="FF5B6B80"/>
      <sz val="8"/>
    </font>
    <font>
      <name val="Arial"/>
      <charset val="1"/>
      <family val="0"/>
      <b val="1"/>
      <color rgb="FF10213A"/>
      <sz val="15"/>
    </font>
    <font>
      <name val="Arial"/>
      <charset val="1"/>
      <family val="0"/>
      <i val="1"/>
      <color rgb="FF5B6B80"/>
      <sz val="7"/>
    </font>
    <font>
      <name val="Arial"/>
      <charset val="1"/>
      <family val="0"/>
      <b val="1"/>
      <color rgb="FF10213A"/>
      <sz val="8"/>
    </font>
    <font>
      <name val="Arial"/>
      <charset val="1"/>
      <family val="0"/>
      <b val="1"/>
      <color rgb="FFC2410C"/>
      <sz val="9"/>
    </font>
    <font>
      <name val="Arial"/>
      <charset val="1"/>
      <family val="0"/>
      <b val="1"/>
      <color rgb="FFB8860B"/>
      <sz val="9"/>
    </font>
    <font>
      <name val="Arial"/>
      <charset val="1"/>
      <family val="0"/>
      <b val="1"/>
      <color rgb="FF10213A"/>
      <sz val="22"/>
    </font>
    <font>
      <name val="Arial"/>
      <charset val="1"/>
      <family val="0"/>
      <color rgb="FF10213A"/>
      <sz val="11"/>
    </font>
    <font>
      <name val="Arial"/>
      <charset val="1"/>
      <family val="0"/>
      <b val="1"/>
      <color rgb="FFB4232B"/>
      <sz val="11"/>
    </font>
    <font>
      <name val="Arial"/>
      <charset val="1"/>
      <family val="0"/>
      <i val="1"/>
      <color rgb="FF5B6B80"/>
      <sz val="8"/>
    </font>
    <font>
      <name val="Arial"/>
      <charset val="1"/>
      <family val="0"/>
      <b val="1"/>
      <color rgb="FF10213A"/>
      <sz val="20"/>
    </font>
    <font>
      <name val="Arial"/>
      <charset val="1"/>
      <family val="0"/>
      <color rgb="FF0000FF"/>
      <sz val="9"/>
    </font>
    <font>
      <name val="Arial"/>
      <charset val="1"/>
      <family val="0"/>
      <color rgb="FF3FB984"/>
      <sz val="8"/>
    </font>
    <font>
      <name val="Calibri"/>
      <charset val="1"/>
      <family val="0"/>
      <color rgb="FF0A1526"/>
      <sz val="8"/>
    </font>
    <font>
      <name val="Calibri"/>
      <charset val="1"/>
      <family val="0"/>
      <color rgb="FF5B6B80"/>
      <sz val="8"/>
    </font>
    <font>
      <name val="Arial"/>
      <charset val="1"/>
      <family val="0"/>
      <b val="1"/>
      <color rgb="FF10213A"/>
      <sz val="10"/>
    </font>
    <font>
      <name val="Arial"/>
      <charset val="1"/>
      <family val="0"/>
      <color rgb="FF008000"/>
      <sz val="8"/>
    </font>
    <font>
      <name val="Arial"/>
      <charset val="1"/>
      <family val="0"/>
      <b val="1"/>
      <color rgb="FFB4232B"/>
      <sz val="8"/>
    </font>
    <font>
      <name val="Calibri"/>
      <charset val="1"/>
      <family val="0"/>
      <color rgb="FF3FB984"/>
      <sz val="8"/>
    </font>
    <font>
      <name val="Calibri"/>
      <charset val="1"/>
      <family val="0"/>
      <color rgb="FFB4232B"/>
      <sz val="8"/>
    </font>
    <font>
      <name val="Calibri"/>
      <family val="2"/>
      <b val="1"/>
      <color rgb="FF000000"/>
      <sz val="18"/>
    </font>
    <font>
      <name val="Calibri"/>
      <family val="2"/>
      <color rgb="FF000000"/>
      <sz val="10"/>
    </font>
    <font>
      <name val="Calibri"/>
      <charset val="1"/>
      <family val="0"/>
      <sz val="9"/>
    </font>
    <font>
      <name val="Arial"/>
      <charset val="1"/>
      <family val="0"/>
      <color rgb="FF1B7F5A"/>
      <sz val="8"/>
    </font>
    <font>
      <name val="Calibri"/>
      <charset val="1"/>
      <family val="0"/>
      <b val="1"/>
      <color rgb="FF3FB984"/>
      <sz val="8"/>
    </font>
    <font>
      <name val="Arial"/>
      <charset val="1"/>
      <family val="0"/>
      <i val="1"/>
      <color rgb="FFB4232B"/>
      <sz val="8"/>
    </font>
    <font>
      <name val="Arial"/>
      <charset val="1"/>
      <family val="0"/>
      <b val="1"/>
      <color rgb="FF008000"/>
      <sz val="8"/>
    </font>
    <font>
      <name val="Arial"/>
      <charset val="1"/>
      <family val="0"/>
      <b val="1"/>
      <color rgb="FFC6A15B"/>
      <sz val="9"/>
    </font>
    <font>
      <name val="Arial"/>
      <charset val="1"/>
      <family val="0"/>
      <b val="1"/>
      <color rgb="FF1B7F5A"/>
      <sz val="9"/>
    </font>
    <font>
      <name val="Calibri"/>
      <charset val="1"/>
      <family val="0"/>
      <color rgb="FF0A1526"/>
      <sz val="9"/>
    </font>
    <font>
      <name val="Calibri"/>
      <charset val="1"/>
      <family val="0"/>
      <b val="1"/>
      <color rgb="FF3FB984"/>
      <sz val="9"/>
    </font>
    <font>
      <name val="Calibri"/>
      <charset val="1"/>
      <family val="0"/>
      <color rgb="FFB4232B"/>
      <sz val="9"/>
    </font>
    <font>
      <name val="Arial"/>
      <charset val="1"/>
      <family val="0"/>
      <color rgb="FFB4232B"/>
      <sz val="9"/>
    </font>
    <font>
      <name val="Calibri"/>
      <charset val="1"/>
      <family val="0"/>
      <i val="1"/>
      <color rgb="FFB4232B"/>
      <sz val="9"/>
    </font>
    <font>
      <name val="Calibri"/>
      <charset val="1"/>
      <family val="0"/>
      <b val="1"/>
      <color rgb="FF0A1526"/>
      <sz val="12"/>
    </font>
    <font>
      <name val="Calibri"/>
      <charset val="1"/>
      <family val="0"/>
      <b val="1"/>
      <color rgb="FF0A1526"/>
      <sz val="8"/>
    </font>
    <font>
      <name val="Calibri"/>
      <charset val="1"/>
      <family val="0"/>
      <b val="1"/>
      <color rgb="FF0A1526"/>
      <sz val="9"/>
    </font>
    <font>
      <name val="Calibri"/>
      <charset val="1"/>
      <family val="0"/>
      <b val="1"/>
      <color rgb="FFC6A15B"/>
      <sz val="9"/>
    </font>
    <font>
      <name val="Calibri"/>
      <charset val="1"/>
      <family val="0"/>
      <b val="1"/>
      <color rgb="FFB4232B"/>
      <sz val="9"/>
    </font>
    <font>
      <name val="Arial"/>
      <charset val="1"/>
      <family val="0"/>
      <i val="1"/>
      <color rgb="FFB4232B"/>
      <sz val="9"/>
    </font>
    <font>
      <name val="Arial"/>
      <charset val="1"/>
      <family val="0"/>
      <i val="1"/>
      <color rgb="FF10213A"/>
      <sz val="9"/>
    </font>
    <font>
      <name val="Arial"/>
      <charset val="1"/>
      <family val="0"/>
      <b val="1"/>
      <color rgb="FF1B7F5A"/>
      <sz val="8"/>
    </font>
    <font>
      <name val="Calibri"/>
      <charset val="1"/>
      <family val="0"/>
      <b val="1"/>
      <color rgb="FFB4232B"/>
      <sz val="8"/>
    </font>
    <font>
      <name val="Calibri"/>
      <charset val="1"/>
      <family val="0"/>
      <b val="1"/>
      <color rgb="FFC6A15B"/>
      <sz val="10"/>
    </font>
    <font>
      <name val="Calibri"/>
      <charset val="1"/>
      <family val="0"/>
      <b val="1"/>
      <color rgb="FF0A1526"/>
      <sz val="10"/>
    </font>
    <font>
      <name val="Calibri"/>
      <charset val="1"/>
      <family val="0"/>
      <b val="1"/>
      <color rgb="FFC6A15B"/>
      <sz val="11"/>
    </font>
    <font>
      <name val="Arial"/>
      <charset val="1"/>
      <family val="0"/>
      <b val="1"/>
      <color rgb="FF10213A"/>
      <sz val="13"/>
    </font>
    <font>
      <name val="Calibri"/>
      <charset val="1"/>
      <family val="0"/>
      <color rgb="FF3FB984"/>
      <sz val="9"/>
    </font>
    <font>
      <name val="Arial"/>
      <charset val="1"/>
      <family val="0"/>
      <b val="1"/>
      <color rgb="FF10213A"/>
      <sz val="12"/>
    </font>
    <font>
      <name val="Arial"/>
      <b val="1"/>
      <color rgb="FF0D3452"/>
      <sz val="11"/>
    </font>
  </fonts>
  <fills count="8">
    <fill>
      <patternFill/>
    </fill>
    <fill>
      <patternFill patternType="gray125"/>
    </fill>
    <fill>
      <patternFill patternType="solid">
        <fgColor rgb="FFF6F8FB"/>
        <bgColor rgb="FFFDF2F2"/>
      </patternFill>
    </fill>
    <fill>
      <patternFill patternType="solid">
        <fgColor rgb="FF10213A"/>
        <bgColor rgb="FF0A1526"/>
      </patternFill>
    </fill>
    <fill>
      <patternFill patternType="solid">
        <fgColor rgb="FFB4232B"/>
        <bgColor rgb="FFC2410C"/>
      </patternFill>
    </fill>
    <fill>
      <patternFill patternType="solid">
        <fgColor rgb="FFFDF2F2"/>
        <bgColor rgb="FFF6F8FB"/>
      </patternFill>
    </fill>
    <fill>
      <patternFill patternType="solid">
        <fgColor rgb="FFFFF6D6"/>
        <bgColor rgb="FFF4EFE4"/>
      </patternFill>
    </fill>
    <fill>
      <patternFill patternType="solid">
        <fgColor rgb="FFF4EFE4"/>
        <bgColor rgb="FFFDF2F2"/>
      </patternFill>
    </fill>
  </fills>
  <borders count="14">
    <border>
      <left/>
      <right/>
      <top/>
      <bottom/>
      <diagonal/>
    </border>
    <border>
      <left style="thin">
        <color rgb="FFD8DEE7"/>
      </left>
      <right style="thin">
        <color rgb="FFD8DEE7"/>
      </right>
      <top style="thin">
        <color rgb="FFD8DEE7"/>
      </top>
      <bottom style="thin">
        <color rgb="FFD8DEE7"/>
      </bottom>
      <diagonal/>
    </border>
    <border>
      <left style="thin">
        <color rgb="FFD8DEE7"/>
      </left>
      <right style="thin">
        <color rgb="FFD8DEE7"/>
      </right>
      <top style="thin">
        <color rgb="FFD8DEE7"/>
      </top>
      <bottom/>
      <diagonal/>
    </border>
    <border>
      <left style="thin">
        <color rgb="FFD8DEE7"/>
      </left>
      <right style="thin">
        <color rgb="FFD8DEE7"/>
      </right>
      <top/>
      <bottom/>
      <diagonal/>
    </border>
    <border>
      <left style="thin">
        <color rgb="FFD8DEE7"/>
      </left>
      <right style="thin">
        <color rgb="FFD8DEE7"/>
      </right>
      <top/>
      <bottom style="thin">
        <color rgb="FFD8DEE7"/>
      </bottom>
      <diagonal/>
    </border>
    <border>
      <left/>
      <right/>
      <top style="thin">
        <color rgb="FFD8DEE7"/>
      </top>
      <bottom/>
      <diagonal/>
    </border>
    <border>
      <left/>
      <right style="thin">
        <color rgb="FFD8DEE7"/>
      </right>
      <top style="thin">
        <color rgb="FFD8DEE7"/>
      </top>
      <bottom/>
      <diagonal/>
    </border>
    <border>
      <left/>
      <right style="thin">
        <color rgb="FFD8DEE7"/>
      </right>
      <top/>
      <bottom/>
      <diagonal/>
    </border>
    <border>
      <left/>
      <right/>
      <top style="thin">
        <color rgb="FFD8DEE7"/>
      </top>
      <bottom style="thin">
        <color rgb="FFD8DEE7"/>
      </bottom>
      <diagonal/>
    </border>
    <border>
      <left/>
      <right style="thin">
        <color rgb="FFD8DEE7"/>
      </right>
      <top style="thin">
        <color rgb="FFD8DEE7"/>
      </top>
      <bottom style="thin">
        <color rgb="FFD8DEE7"/>
      </bottom>
      <diagonal/>
    </border>
    <border>
      <left/>
      <right/>
      <top/>
      <bottom style="thin">
        <color rgb="FFD8DEE7"/>
      </bottom>
      <diagonal/>
    </border>
    <border>
      <left/>
      <right style="thin">
        <color rgb="FFD8DEE7"/>
      </right>
      <top/>
      <bottom style="thin">
        <color rgb="FFD8DEE7"/>
      </bottom>
      <diagonal/>
    </border>
    <border>
      <left style="thin">
        <color rgb="FFD8DEE7"/>
      </left>
      <right/>
      <top/>
      <bottom/>
      <diagonal/>
    </border>
    <border>
      <left style="thin">
        <color rgb="FFD8DEE7"/>
      </left>
      <right/>
      <top/>
      <bottom style="thin">
        <color rgb="FFD8DEE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6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center" wrapText="1"/>
    </xf>
    <xf numFmtId="0" fontId="8" fillId="2" borderId="1" applyAlignment="1" pivotButton="0" quotePrefix="0" xfId="0">
      <alignment horizontal="center" vertical="center" wrapText="1"/>
    </xf>
    <xf numFmtId="0" fontId="8" fillId="0" borderId="1" applyAlignment="1" pivotButton="0" quotePrefix="0" xfId="0">
      <alignment horizontal="general" vertical="bottom"/>
    </xf>
    <xf numFmtId="0" fontId="9" fillId="0" borderId="1" applyAlignment="1" pivotButton="0" quotePrefix="0" xfId="0">
      <alignment horizontal="general" vertical="center" wrapText="1"/>
    </xf>
    <xf numFmtId="0" fontId="10" fillId="3" borderId="0" applyAlignment="1" pivotButton="0" quotePrefix="0" xfId="0">
      <alignment horizontal="general" vertical="bottom"/>
    </xf>
    <xf numFmtId="0" fontId="0" fillId="3" borderId="0" applyAlignment="1" pivotButton="0" quotePrefix="0" xfId="0">
      <alignment horizontal="general" vertical="bottom"/>
    </xf>
    <xf numFmtId="0" fontId="8" fillId="0" borderId="1" applyAlignment="1" pivotButton="0" quotePrefix="0" xfId="0">
      <alignment horizontal="right" vertical="center"/>
    </xf>
    <xf numFmtId="0" fontId="11" fillId="0" borderId="1" applyAlignment="1" pivotButton="0" quotePrefix="0" xfId="0">
      <alignment horizontal="general" vertical="center"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1" fillId="0" borderId="1" applyAlignment="1" pivotButton="0" quotePrefix="0" xfId="0">
      <alignment horizontal="general" vertical="bottom"/>
    </xf>
    <xf numFmtId="164" fontId="14" fillId="0" borderId="1" applyAlignment="1" pivotButton="0" quotePrefix="0" xfId="0">
      <alignment horizontal="general" vertical="bottom"/>
    </xf>
    <xf numFmtId="0" fontId="15" fillId="0" borderId="1" applyAlignment="1" pivotButton="0" quotePrefix="0" xfId="0">
      <alignment horizontal="general" vertical="center" wrapText="1"/>
    </xf>
    <xf numFmtId="164" fontId="16" fillId="0" borderId="1" applyAlignment="1" pivotButton="0" quotePrefix="0" xfId="0">
      <alignment horizontal="general" vertical="bottom"/>
    </xf>
    <xf numFmtId="0" fontId="14" fillId="0" borderId="1" applyAlignment="1" pivotButton="0" quotePrefix="0" xfId="0">
      <alignment horizontal="general" vertical="bottom"/>
    </xf>
    <xf numFmtId="165" fontId="11" fillId="0" borderId="1" applyAlignment="1" pivotButton="0" quotePrefix="0" xfId="0">
      <alignment horizontal="center" vertical="center"/>
    </xf>
    <xf numFmtId="164" fontId="17" fillId="0" borderId="1" applyAlignment="1" pivotButton="0" quotePrefix="0" xfId="0">
      <alignment horizontal="general" vertical="bottom"/>
    </xf>
    <xf numFmtId="0" fontId="11" fillId="0" borderId="1" applyAlignment="1" pivotButton="0" quotePrefix="0" xfId="0">
      <alignment horizontal="center" vertical="center"/>
    </xf>
    <xf numFmtId="0" fontId="18" fillId="0" borderId="1" applyAlignment="1" pivotButton="0" quotePrefix="0" xfId="0">
      <alignment horizontal="general" vertical="center" wrapText="1"/>
    </xf>
    <xf numFmtId="0" fontId="19" fillId="0" borderId="1" applyAlignment="1" pivotButton="0" quotePrefix="0" xfId="0">
      <alignment horizontal="center" vertical="center"/>
    </xf>
    <xf numFmtId="0" fontId="20" fillId="0" borderId="1" applyAlignment="1" pivotButton="0" quotePrefix="0" xfId="0">
      <alignment horizontal="center" vertical="center"/>
    </xf>
    <xf numFmtId="0" fontId="21" fillId="0" borderId="1" applyAlignment="1" pivotButton="0" quotePrefix="0" xfId="0">
      <alignment horizontal="general" vertical="bottom"/>
    </xf>
    <xf numFmtId="164" fontId="17" fillId="0" borderId="1" applyAlignment="1" pivotButton="0" quotePrefix="0" xfId="0">
      <alignment horizontal="center" vertical="center"/>
    </xf>
    <xf numFmtId="0" fontId="17" fillId="0" borderId="1" applyAlignment="1" pivotButton="0" quotePrefix="0" xfId="0">
      <alignment horizontal="center" vertical="center"/>
    </xf>
    <xf numFmtId="0" fontId="22" fillId="0" borderId="0" applyAlignment="1" pivotButton="0" quotePrefix="0" xfId="0">
      <alignment horizontal="general" vertical="center" wrapText="1"/>
    </xf>
    <xf numFmtId="0" fontId="23" fillId="0" borderId="0" applyAlignment="1" pivotButton="0" quotePrefix="0" xfId="0">
      <alignment horizontal="general" vertical="bottom"/>
    </xf>
    <xf numFmtId="0" fontId="13" fillId="0" borderId="0" applyAlignment="1" pivotButton="0" quotePrefix="0" xfId="0">
      <alignment horizontal="general" vertical="bottom"/>
    </xf>
    <xf numFmtId="0" fontId="24" fillId="4" borderId="0" applyAlignment="1" pivotButton="0" quotePrefix="0" xfId="0">
      <alignment horizontal="left" vertical="center" wrapText="1"/>
    </xf>
    <xf numFmtId="0" fontId="25" fillId="3" borderId="0" applyAlignment="1" pivotButton="0" quotePrefix="0" xfId="0">
      <alignment horizontal="left" vertical="center"/>
    </xf>
    <xf numFmtId="0" fontId="26" fillId="2" borderId="2" applyAlignment="1" pivotButton="0" quotePrefix="0" xfId="0">
      <alignment horizontal="left" vertical="center"/>
    </xf>
    <xf numFmtId="164" fontId="27" fillId="2" borderId="3" applyAlignment="1" pivotButton="0" quotePrefix="0" xfId="0">
      <alignment horizontal="left" vertical="center"/>
    </xf>
    <xf numFmtId="164" fontId="27" fillId="2" borderId="1" applyAlignment="1" pivotButton="0" quotePrefix="0" xfId="0">
      <alignment horizontal="left" vertical="center"/>
    </xf>
    <xf numFmtId="0" fontId="28" fillId="2" borderId="4" applyAlignment="1" pivotButton="0" quotePrefix="0" xfId="0">
      <alignment horizontal="left" vertical="center"/>
    </xf>
    <xf numFmtId="166" fontId="27" fillId="2" borderId="3" applyAlignment="1" pivotButton="0" quotePrefix="0" xfId="0">
      <alignment horizontal="left" vertical="center"/>
    </xf>
    <xf numFmtId="0" fontId="28" fillId="2" borderId="1" applyAlignment="1" pivotButton="0" quotePrefix="0" xfId="0">
      <alignment horizontal="left" vertical="center" wrapText="1"/>
    </xf>
    <xf numFmtId="1" fontId="27" fillId="2" borderId="3" applyAlignment="1" pivotButton="0" quotePrefix="0" xfId="0">
      <alignment horizontal="left" vertical="center"/>
    </xf>
    <xf numFmtId="0" fontId="26" fillId="2" borderId="1" applyAlignment="1" pivotButton="0" quotePrefix="0" xfId="0">
      <alignment horizontal="left" vertical="center"/>
    </xf>
    <xf numFmtId="0" fontId="28" fillId="2" borderId="1" applyAlignment="1" pivotButton="0" quotePrefix="0" xfId="0">
      <alignment horizontal="left" vertical="center"/>
    </xf>
    <xf numFmtId="0" fontId="29" fillId="2" borderId="1" applyAlignment="1" pivotButton="0" quotePrefix="0" xfId="0">
      <alignment horizontal="left" vertical="center"/>
    </xf>
    <xf numFmtId="0" fontId="8" fillId="0" borderId="1" applyAlignment="1" pivotButton="0" quotePrefix="0" xfId="0">
      <alignment horizontal="left" vertical="center"/>
    </xf>
    <xf numFmtId="165" fontId="11" fillId="0" borderId="1" applyAlignment="1" pivotButton="0" quotePrefix="0" xfId="0">
      <alignment horizontal="left" vertical="center"/>
    </xf>
    <xf numFmtId="164" fontId="11" fillId="0" borderId="1" applyAlignment="1" pivotButton="0" quotePrefix="0" xfId="0">
      <alignment horizontal="left" vertical="center"/>
    </xf>
    <xf numFmtId="0" fontId="11" fillId="0" borderId="1" applyAlignment="1" pivotButton="0" quotePrefix="0" xfId="0">
      <alignment horizontal="left" vertical="center"/>
    </xf>
    <xf numFmtId="1" fontId="11" fillId="0" borderId="1" applyAlignment="1" pivotButton="0" quotePrefix="0" xfId="0">
      <alignment horizontal="left" vertical="center"/>
    </xf>
    <xf numFmtId="0" fontId="21"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2" fillId="0" borderId="0" applyAlignment="1" pivotButton="0" quotePrefix="0" xfId="0">
      <alignment horizontal="general" vertical="bottom"/>
    </xf>
    <xf numFmtId="0" fontId="33" fillId="2" borderId="1" applyAlignment="1" pivotButton="0" quotePrefix="0" xfId="0">
      <alignment horizontal="left" vertical="center" wrapText="1"/>
    </xf>
    <xf numFmtId="0" fontId="33" fillId="2" borderId="1" applyAlignment="1" pivotButton="0" quotePrefix="0" xfId="0">
      <alignment horizontal="general" vertical="center" wrapText="1"/>
    </xf>
    <xf numFmtId="0" fontId="34" fillId="5" borderId="1" applyAlignment="1" pivotButton="0" quotePrefix="0" xfId="0">
      <alignment horizontal="left" vertical="center" wrapText="1"/>
    </xf>
    <xf numFmtId="0" fontId="35" fillId="0" borderId="0" applyAlignment="1" pivotButton="0" quotePrefix="0" xfId="0">
      <alignment horizontal="general" vertical="center" wrapText="1"/>
    </xf>
    <xf numFmtId="0" fontId="22" fillId="0" borderId="0" applyAlignment="1" pivotButton="0" quotePrefix="0" xfId="0">
      <alignment horizontal="general" vertical="bottom"/>
    </xf>
    <xf numFmtId="0" fontId="9" fillId="0" borderId="0" applyAlignment="1" pivotButton="0" quotePrefix="0" xfId="0">
      <alignment horizontal="general" vertical="center" wrapText="1"/>
    </xf>
    <xf numFmtId="0" fontId="36" fillId="0" borderId="0" applyAlignment="1" pivotButton="0" quotePrefix="0" xfId="0">
      <alignment horizontal="general" vertical="bottom"/>
    </xf>
    <xf numFmtId="0" fontId="15" fillId="0" borderId="1" applyAlignment="1" pivotButton="0" quotePrefix="0" xfId="0">
      <alignment horizontal="center" vertical="center"/>
    </xf>
    <xf numFmtId="165" fontId="17" fillId="0" borderId="1" applyAlignment="1" pivotButton="0" quotePrefix="0" xfId="0">
      <alignment horizontal="general" vertical="bottom"/>
    </xf>
    <xf numFmtId="164" fontId="37" fillId="6" borderId="1" applyAlignment="1" pivotButton="0" quotePrefix="0" xfId="0">
      <alignment horizontal="general" vertical="bottom"/>
    </xf>
    <xf numFmtId="1" fontId="37" fillId="6" borderId="1" applyAlignment="1" pivotButton="0" quotePrefix="0" xfId="0">
      <alignment horizontal="general" vertical="bottom"/>
    </xf>
    <xf numFmtId="4" fontId="17" fillId="0" borderId="1" applyAlignment="1" pivotButton="0" quotePrefix="0" xfId="0">
      <alignment horizontal="general" vertical="bottom"/>
    </xf>
    <xf numFmtId="167" fontId="37" fillId="6" borderId="1" applyAlignment="1" pivotButton="0" quotePrefix="0" xfId="0">
      <alignment horizontal="general" vertical="bottom"/>
    </xf>
    <xf numFmtId="165" fontId="37" fillId="6" borderId="1" applyAlignment="1" pivotButton="0" quotePrefix="0" xfId="0">
      <alignment horizontal="general" vertical="bottom"/>
    </xf>
    <xf numFmtId="3" fontId="37" fillId="6" borderId="1" applyAlignment="1" pivotButton="0" quotePrefix="0" xfId="0">
      <alignment horizontal="general" vertical="bottom"/>
    </xf>
    <xf numFmtId="168" fontId="37" fillId="6" borderId="1" applyAlignment="1" pivotButton="0" quotePrefix="0" xfId="0">
      <alignment horizontal="general" vertical="bottom"/>
    </xf>
    <xf numFmtId="0" fontId="38" fillId="0" borderId="1" applyAlignment="1" pivotButton="0" quotePrefix="0" xfId="0">
      <alignment horizontal="general" vertical="center" wrapText="1"/>
    </xf>
    <xf numFmtId="0" fontId="11" fillId="3" borderId="1" applyAlignment="1" pivotButton="0" quotePrefix="0" xfId="0">
      <alignment horizontal="general" vertical="bottom"/>
    </xf>
    <xf numFmtId="169" fontId="37" fillId="6" borderId="1" applyAlignment="1" pivotButton="0" quotePrefix="0" xfId="0">
      <alignment horizontal="general" vertical="bottom"/>
    </xf>
    <xf numFmtId="0" fontId="15" fillId="3" borderId="1" applyAlignment="1" pivotButton="0" quotePrefix="0" xfId="0">
      <alignment horizontal="general" vertical="center" wrapText="1"/>
    </xf>
    <xf numFmtId="4" fontId="37" fillId="6" borderId="1" applyAlignment="1" pivotButton="0" quotePrefix="0" xfId="0">
      <alignment horizontal="general" vertical="bottom"/>
    </xf>
    <xf numFmtId="0" fontId="20" fillId="0" borderId="1" applyAlignment="1" pivotButton="0" quotePrefix="0" xfId="0">
      <alignment horizontal="general" vertical="bottom"/>
    </xf>
    <xf numFmtId="164" fontId="19" fillId="0" borderId="1" applyAlignment="1" pivotButton="0" quotePrefix="0" xfId="0">
      <alignment horizontal="general" vertical="bottom"/>
    </xf>
    <xf numFmtId="1" fontId="19" fillId="0" borderId="1" applyAlignment="1" pivotButton="0" quotePrefix="0" xfId="0">
      <alignment horizontal="general" vertical="bottom"/>
    </xf>
    <xf numFmtId="0" fontId="19" fillId="0" borderId="1" applyAlignment="1" pivotButton="0" quotePrefix="0" xfId="0">
      <alignment horizontal="general" vertical="bottom"/>
    </xf>
    <xf numFmtId="166" fontId="19" fillId="0" borderId="1" applyAlignment="1" pivotButton="0" quotePrefix="0" xfId="0">
      <alignment horizontal="general" vertical="bottom"/>
    </xf>
    <xf numFmtId="165" fontId="19" fillId="0" borderId="1" applyAlignment="1" pivotButton="0" quotePrefix="0" xfId="0">
      <alignment horizontal="general" vertical="bottom"/>
    </xf>
    <xf numFmtId="166" fontId="37" fillId="6" borderId="1" applyAlignment="1" pivotButton="0" quotePrefix="0" xfId="0">
      <alignment horizontal="general" vertical="bottom"/>
    </xf>
    <xf numFmtId="0" fontId="37" fillId="6" borderId="1" applyAlignment="1" pivotButton="0" quotePrefix="0" xfId="0">
      <alignment horizontal="general" vertical="bottom"/>
    </xf>
    <xf numFmtId="1" fontId="8" fillId="6" borderId="1" applyAlignment="1" pivotButton="0" quotePrefix="0" xfId="0">
      <alignment horizontal="general" vertical="bottom"/>
    </xf>
    <xf numFmtId="4" fontId="39" fillId="6" borderId="1" applyAlignment="1" pivotButton="0" quotePrefix="0" xfId="0">
      <alignment horizontal="general" vertical="bottom"/>
    </xf>
    <xf numFmtId="164" fontId="8" fillId="0" borderId="1" applyAlignment="1" pivotButton="0" quotePrefix="0" xfId="0">
      <alignment horizontal="general" vertical="bottom"/>
    </xf>
    <xf numFmtId="165" fontId="39" fillId="6" borderId="1" applyAlignment="1" pivotButton="0" quotePrefix="0" xfId="0">
      <alignment horizontal="general" vertical="bottom"/>
    </xf>
    <xf numFmtId="0" fontId="40" fillId="0" borderId="1" applyAlignment="1" pivotButton="0" quotePrefix="0" xfId="0">
      <alignment horizontal="general" vertical="center" wrapText="1"/>
    </xf>
    <xf numFmtId="0" fontId="41" fillId="2" borderId="1" applyAlignment="1" pivotButton="0" quotePrefix="0" xfId="0">
      <alignment horizontal="general" vertical="bottom"/>
    </xf>
    <xf numFmtId="0" fontId="11" fillId="2" borderId="1" applyAlignment="1" pivotButton="0" quotePrefix="0" xfId="0">
      <alignment horizontal="general" vertical="bottom"/>
    </xf>
    <xf numFmtId="164" fontId="41" fillId="2" borderId="1" applyAlignment="1" pivotButton="0" quotePrefix="0" xfId="0">
      <alignment horizontal="general" vertical="bottom"/>
    </xf>
    <xf numFmtId="0" fontId="35" fillId="2" borderId="1" applyAlignment="1" pivotButton="0" quotePrefix="0" xfId="0">
      <alignment horizontal="general" vertical="bottom"/>
    </xf>
    <xf numFmtId="0" fontId="35" fillId="0" borderId="1" applyAlignment="1" pivotButton="0" quotePrefix="0" xfId="0">
      <alignment horizontal="general" vertical="center" wrapText="1"/>
    </xf>
    <xf numFmtId="0" fontId="15" fillId="0" borderId="1" applyAlignment="1" pivotButton="0" quotePrefix="0" xfId="0">
      <alignment horizontal="general" vertical="bottom"/>
    </xf>
    <xf numFmtId="0" fontId="18" fillId="0" borderId="1" applyAlignment="1" pivotButton="0" quotePrefix="0" xfId="0">
      <alignment horizontal="center" vertical="center"/>
    </xf>
    <xf numFmtId="0" fontId="0" fillId="0" borderId="1" applyAlignment="1" pivotButton="0" quotePrefix="0" xfId="0">
      <alignment horizontal="general" vertical="bottom"/>
    </xf>
    <xf numFmtId="165" fontId="10" fillId="3" borderId="1" applyAlignment="1" pivotButton="0" quotePrefix="0" xfId="0">
      <alignment horizontal="general" vertical="bottom"/>
    </xf>
    <xf numFmtId="0" fontId="37" fillId="3" borderId="1" applyAlignment="1" pivotButton="0" quotePrefix="0" xfId="0">
      <alignment horizontal="general" vertical="bottom"/>
    </xf>
    <xf numFmtId="164" fontId="37" fillId="3" borderId="1" applyAlignment="1" pivotButton="0" quotePrefix="0" xfId="0">
      <alignment horizontal="general" vertical="bottom"/>
    </xf>
    <xf numFmtId="164" fontId="17" fillId="3" borderId="1" applyAlignment="1" pivotButton="0" quotePrefix="0" xfId="0">
      <alignment horizontal="general" vertical="bottom"/>
    </xf>
    <xf numFmtId="0" fontId="0" fillId="3" borderId="1" applyAlignment="1" pivotButton="0" quotePrefix="0" xfId="0">
      <alignment horizontal="general" vertical="bottom"/>
    </xf>
    <xf numFmtId="165" fontId="8" fillId="2" borderId="1" applyAlignment="1" pivotButton="0" quotePrefix="0" xfId="0">
      <alignment horizontal="center" vertical="center" wrapText="1"/>
    </xf>
    <xf numFmtId="164" fontId="8" fillId="2" borderId="1" applyAlignment="1" pivotButton="0" quotePrefix="0" xfId="0">
      <alignment horizontal="center" vertical="center" wrapText="1"/>
    </xf>
    <xf numFmtId="165" fontId="8" fillId="6" borderId="1" applyAlignment="1" pivotButton="0" quotePrefix="0" xfId="0">
      <alignment horizontal="general" vertical="bottom"/>
    </xf>
    <xf numFmtId="164" fontId="14" fillId="6" borderId="1" applyAlignment="1" pivotButton="0" quotePrefix="0" xfId="0">
      <alignment horizontal="general" vertical="bottom"/>
    </xf>
    <xf numFmtId="165" fontId="17" fillId="6" borderId="1" applyAlignment="1" pivotButton="0" quotePrefix="0" xfId="0">
      <alignment horizontal="general" vertical="bottom"/>
    </xf>
    <xf numFmtId="1" fontId="17" fillId="0" borderId="1" applyAlignment="1" pivotButton="0" quotePrefix="0" xfId="0">
      <alignment horizontal="center" vertical="center"/>
    </xf>
    <xf numFmtId="0" fontId="25" fillId="3" borderId="0" applyAlignment="1" pivotButton="0" quotePrefix="0" xfId="0">
      <alignment horizontal="general" vertical="bottom"/>
    </xf>
    <xf numFmtId="0" fontId="42" fillId="0" borderId="1" applyAlignment="1" pivotButton="0" quotePrefix="0" xfId="0">
      <alignment horizontal="center" vertical="center"/>
    </xf>
    <xf numFmtId="1" fontId="42" fillId="0" borderId="1" applyAlignment="1" pivotButton="0" quotePrefix="0" xfId="0">
      <alignment horizontal="center" vertical="center"/>
    </xf>
    <xf numFmtId="0" fontId="43" fillId="0" borderId="1" applyAlignment="1" pivotButton="0" quotePrefix="0" xfId="0">
      <alignment horizontal="center" vertical="center"/>
    </xf>
    <xf numFmtId="0" fontId="39" fillId="6" borderId="1" applyAlignment="1" pivotButton="0" quotePrefix="0" xfId="0">
      <alignment horizontal="general" vertical="bottom"/>
    </xf>
    <xf numFmtId="0" fontId="39" fillId="0" borderId="1" applyAlignment="1" pivotButton="0" quotePrefix="0" xfId="0">
      <alignment horizontal="center" vertical="center"/>
    </xf>
    <xf numFmtId="0" fontId="44" fillId="0" borderId="1" applyAlignment="1" pivotButton="0" quotePrefix="0" xfId="0">
      <alignment horizontal="general" vertical="center" wrapText="1"/>
    </xf>
    <xf numFmtId="0" fontId="39" fillId="0" borderId="1" applyAlignment="1" pivotButton="0" quotePrefix="0" xfId="0">
      <alignment horizontal="general" vertical="bottom"/>
    </xf>
    <xf numFmtId="0" fontId="45" fillId="0" borderId="1" applyAlignment="1" pivotButton="0" quotePrefix="0" xfId="0">
      <alignment horizontal="general" vertical="center" wrapText="1"/>
    </xf>
    <xf numFmtId="170" fontId="39" fillId="6" borderId="1" applyAlignment="1" pivotButton="0" quotePrefix="0" xfId="0">
      <alignment horizontal="general" vertical="bottom"/>
    </xf>
    <xf numFmtId="0" fontId="40" fillId="0" borderId="1" applyAlignment="1" pivotButton="0" quotePrefix="0" xfId="0">
      <alignment horizontal="general" vertical="bottom"/>
    </xf>
    <xf numFmtId="0" fontId="29" fillId="2" borderId="1" applyAlignment="1" pivotButton="0" quotePrefix="0" xfId="0">
      <alignment horizontal="general" vertical="bottom"/>
    </xf>
    <xf numFmtId="166" fontId="17" fillId="0" borderId="1" applyAlignment="1" pivotButton="0" quotePrefix="0" xfId="0">
      <alignment horizontal="general" vertical="bottom"/>
    </xf>
    <xf numFmtId="164" fontId="20" fillId="0" borderId="1" applyAlignment="1" pivotButton="0" quotePrefix="0" xfId="0">
      <alignment horizontal="general" vertical="bottom"/>
    </xf>
    <xf numFmtId="166" fontId="14" fillId="0" borderId="1" applyAlignment="1" pivotButton="0" quotePrefix="0" xfId="0">
      <alignment horizontal="general" vertical="bottom"/>
    </xf>
    <xf numFmtId="0" fontId="21" fillId="0" borderId="0" applyAlignment="1" pivotButton="0" quotePrefix="0" xfId="0">
      <alignment horizontal="general" vertical="center" wrapText="1"/>
    </xf>
    <xf numFmtId="1" fontId="11" fillId="0" borderId="1" applyAlignment="1" pivotButton="0" quotePrefix="0" xfId="0">
      <alignment horizontal="center" vertical="center"/>
    </xf>
    <xf numFmtId="0" fontId="14" fillId="0" borderId="1" applyAlignment="1" pivotButton="0" quotePrefix="0" xfId="0">
      <alignment horizontal="center" vertical="center"/>
    </xf>
    <xf numFmtId="171" fontId="15" fillId="0" borderId="1" applyAlignment="1" pivotButton="0" quotePrefix="0" xfId="0">
      <alignment horizontal="center" vertical="center"/>
    </xf>
    <xf numFmtId="171" fontId="15" fillId="0" borderId="1" applyAlignment="1" pivotButton="0" quotePrefix="0" xfId="0">
      <alignment horizontal="general" vertical="bottom"/>
    </xf>
    <xf numFmtId="170" fontId="37" fillId="6" borderId="1" applyAlignment="1" pivotButton="0" quotePrefix="0" xfId="0">
      <alignment horizontal="general" vertical="bottom"/>
    </xf>
    <xf numFmtId="0" fontId="48" fillId="6" borderId="1" applyAlignment="1" pivotButton="0" quotePrefix="0" xfId="0">
      <alignment horizontal="general" vertical="bottom"/>
    </xf>
    <xf numFmtId="0" fontId="49" fillId="0" borderId="1" applyAlignment="1" pivotButton="0" quotePrefix="0" xfId="0">
      <alignment horizontal="general" vertical="center" wrapText="1"/>
    </xf>
    <xf numFmtId="170" fontId="39" fillId="0" borderId="0" applyAlignment="1" pivotButton="0" quotePrefix="0" xfId="0">
      <alignment horizontal="general" vertical="bottom"/>
    </xf>
    <xf numFmtId="0" fontId="39" fillId="0" borderId="0" applyAlignment="1" pivotButton="0" quotePrefix="0" xfId="0">
      <alignment horizontal="general" vertical="bottom"/>
    </xf>
    <xf numFmtId="4" fontId="39" fillId="0" borderId="0" applyAlignment="1" pivotButton="0" quotePrefix="0" xfId="0">
      <alignment horizontal="general" vertical="bottom"/>
    </xf>
    <xf numFmtId="4" fontId="50" fillId="0" borderId="0" applyAlignment="1" pivotButton="0" quotePrefix="0" xfId="0">
      <alignment horizontal="general" vertical="bottom"/>
    </xf>
    <xf numFmtId="0" fontId="44" fillId="0" borderId="0" applyAlignment="1" pivotButton="0" quotePrefix="0" xfId="0">
      <alignment horizontal="center" vertical="center"/>
    </xf>
    <xf numFmtId="0" fontId="50" fillId="0" borderId="0" applyAlignment="1" pivotButton="0" quotePrefix="0" xfId="0">
      <alignment horizontal="center" vertical="center"/>
    </xf>
    <xf numFmtId="0" fontId="45" fillId="0" borderId="0" applyAlignment="1" pivotButton="0" quotePrefix="0" xfId="0">
      <alignment horizontal="general" vertical="center" wrapText="1"/>
    </xf>
    <xf numFmtId="164" fontId="19" fillId="0" borderId="1" applyAlignment="1" pivotButton="0" quotePrefix="0" xfId="0">
      <alignment horizontal="center" vertical="center"/>
    </xf>
    <xf numFmtId="0" fontId="51"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29" fillId="2" borderId="1" applyAlignment="1" pivotButton="0" quotePrefix="0" xfId="0">
      <alignment horizontal="center" vertical="center" wrapText="1"/>
    </xf>
    <xf numFmtId="165" fontId="8" fillId="0" borderId="1" applyAlignment="1" pivotButton="0" quotePrefix="0" xfId="0">
      <alignment horizontal="general" vertical="bottom"/>
    </xf>
    <xf numFmtId="165" fontId="11" fillId="0" borderId="1" applyAlignment="1" pivotButton="0" quotePrefix="0" xfId="0">
      <alignment horizontal="general" vertical="bottom"/>
    </xf>
    <xf numFmtId="164" fontId="42" fillId="0" borderId="1" applyAlignment="1" pivotButton="0" quotePrefix="0" xfId="0">
      <alignment horizontal="general" vertical="bottom"/>
    </xf>
    <xf numFmtId="0" fontId="52" fillId="0" borderId="1" applyAlignment="1" pivotButton="0" quotePrefix="0" xfId="0">
      <alignment horizontal="center" vertical="center"/>
    </xf>
    <xf numFmtId="164" fontId="53" fillId="0" borderId="1" applyAlignment="1" pivotButton="0" quotePrefix="0" xfId="0">
      <alignment horizontal="general" vertical="bottom"/>
    </xf>
    <xf numFmtId="0" fontId="49" fillId="0" borderId="1" applyAlignment="1" pivotButton="0" quotePrefix="0" xfId="0">
      <alignment horizontal="center" vertical="center"/>
    </xf>
    <xf numFmtId="164" fontId="54" fillId="0" borderId="1" applyAlignment="1" pivotButton="0" quotePrefix="0" xfId="0">
      <alignment horizontal="general" vertical="bottom"/>
    </xf>
    <xf numFmtId="164" fontId="21" fillId="0" borderId="1" applyAlignment="1" pivotButton="0" quotePrefix="0" xfId="0">
      <alignment horizontal="general" vertical="bottom"/>
    </xf>
    <xf numFmtId="0" fontId="53" fillId="0" borderId="1" applyAlignment="1" pivotButton="0" quotePrefix="0" xfId="0">
      <alignment horizontal="general" vertical="bottom"/>
    </xf>
    <xf numFmtId="0" fontId="20" fillId="0" borderId="1" applyAlignment="1" pivotButton="0" quotePrefix="0" xfId="0">
      <alignment horizontal="general" vertical="center" wrapText="1"/>
    </xf>
    <xf numFmtId="0" fontId="55" fillId="0" borderId="1" applyAlignment="1" pivotButton="0" quotePrefix="0" xfId="0">
      <alignment horizontal="general" vertical="bottom"/>
    </xf>
    <xf numFmtId="4" fontId="56" fillId="0" borderId="1" applyAlignment="1" pivotButton="0" quotePrefix="0" xfId="0">
      <alignment horizontal="general" vertical="bottom"/>
    </xf>
    <xf numFmtId="164" fontId="11" fillId="0" borderId="1" applyAlignment="1" pivotButton="0" quotePrefix="0" xfId="0">
      <alignment horizontal="general" vertical="bottom"/>
    </xf>
    <xf numFmtId="4" fontId="55" fillId="0" borderId="1" applyAlignment="1" pivotButton="0" quotePrefix="0" xfId="0">
      <alignment horizontal="general" vertical="bottom"/>
    </xf>
    <xf numFmtId="4" fontId="57" fillId="0" borderId="1" applyAlignment="1" pivotButton="0" quotePrefix="0" xfId="0">
      <alignment horizontal="general" vertical="bottom"/>
    </xf>
    <xf numFmtId="164" fontId="58" fillId="0" borderId="1" applyAlignment="1" pivotButton="0" quotePrefix="0" xfId="0">
      <alignment horizontal="general" vertical="bottom"/>
    </xf>
    <xf numFmtId="0" fontId="8" fillId="0" borderId="1" applyAlignment="1" pivotButton="0" quotePrefix="0" xfId="0">
      <alignment horizontal="general" vertical="center" wrapText="1"/>
    </xf>
    <xf numFmtId="0" fontId="59" fillId="0" borderId="0" applyAlignment="1" pivotButton="0" quotePrefix="0" xfId="0">
      <alignment horizontal="general" vertical="center" wrapText="1"/>
    </xf>
    <xf numFmtId="0" fontId="60" fillId="7" borderId="0" applyAlignment="1" pivotButton="0" quotePrefix="0" xfId="0">
      <alignment horizontal="general" vertical="bottom"/>
    </xf>
    <xf numFmtId="0" fontId="0" fillId="7" borderId="0" applyAlignment="1" pivotButton="0" quotePrefix="0" xfId="0">
      <alignment horizontal="general" vertical="bottom"/>
    </xf>
    <xf numFmtId="0" fontId="61" fillId="7" borderId="0" applyAlignment="1" pivotButton="0" quotePrefix="0" xfId="0">
      <alignment horizontal="general" vertical="bottom"/>
    </xf>
    <xf numFmtId="0" fontId="62" fillId="0" borderId="0" applyAlignment="1" pivotButton="0" quotePrefix="0" xfId="0">
      <alignment horizontal="general" vertical="bottom"/>
    </xf>
    <xf numFmtId="4" fontId="56" fillId="0" borderId="0" applyAlignment="1" pivotButton="0" quotePrefix="0" xfId="0">
      <alignment horizontal="general" vertical="bottom"/>
    </xf>
    <xf numFmtId="4" fontId="63" fillId="0" borderId="0" applyAlignment="1" pivotButton="0" quotePrefix="0" xfId="0">
      <alignment horizontal="general" vertical="bottom"/>
    </xf>
    <xf numFmtId="4" fontId="64" fillId="0" borderId="0" applyAlignment="1" pivotButton="0" quotePrefix="0" xfId="0">
      <alignment horizontal="general" vertical="bottom"/>
    </xf>
    <xf numFmtId="0" fontId="59" fillId="0" borderId="0" applyAlignment="1" pivotButton="0" quotePrefix="0" xfId="0">
      <alignment horizontal="general" vertical="center" wrapText="1"/>
    </xf>
    <xf numFmtId="165" fontId="14" fillId="0" borderId="1" applyAlignment="1" pivotButton="0" quotePrefix="0" xfId="0">
      <alignment horizontal="general" vertical="bottom"/>
    </xf>
    <xf numFmtId="1" fontId="14" fillId="0" borderId="1" applyAlignment="1" pivotButton="0" quotePrefix="0" xfId="0">
      <alignment horizontal="general" vertical="bottom"/>
    </xf>
    <xf numFmtId="0" fontId="16" fillId="0" borderId="1" applyAlignment="1" pivotButton="0" quotePrefix="0" xfId="0">
      <alignment horizontal="center" vertical="center"/>
    </xf>
    <xf numFmtId="0" fontId="65" fillId="0" borderId="0" applyAlignment="1" pivotButton="0" quotePrefix="0" xfId="0">
      <alignment horizontal="general" vertical="center" wrapText="1"/>
    </xf>
    <xf numFmtId="0" fontId="16" fillId="0" borderId="1" applyAlignment="1" pivotButton="0" quotePrefix="0" xfId="0">
      <alignment horizontal="general" vertical="bottom"/>
    </xf>
    <xf numFmtId="165" fontId="42" fillId="0" borderId="1" applyAlignment="1" pivotButton="0" quotePrefix="0" xfId="0">
      <alignment horizontal="general" vertical="bottom"/>
    </xf>
    <xf numFmtId="0" fontId="0" fillId="0" borderId="0" applyAlignment="1" pivotButton="0" quotePrefix="0" xfId="0">
      <alignment horizontal="general" vertical="bottom"/>
    </xf>
    <xf numFmtId="1" fontId="17" fillId="0" borderId="1" applyAlignment="1" pivotButton="0" quotePrefix="0" xfId="0">
      <alignment horizontal="general" vertical="bottom"/>
    </xf>
    <xf numFmtId="0" fontId="17" fillId="0" borderId="1" applyAlignment="1" pivotButton="0" quotePrefix="0" xfId="0">
      <alignment horizontal="general" vertical="bottom"/>
    </xf>
    <xf numFmtId="172" fontId="66" fillId="0" borderId="0" applyAlignment="1" pivotButton="0" quotePrefix="0" xfId="0">
      <alignment horizontal="general" vertical="center" wrapText="1"/>
    </xf>
    <xf numFmtId="0" fontId="10" fillId="3" borderId="1" applyAlignment="1" pivotButton="0" quotePrefix="0" xfId="0">
      <alignment horizontal="general" vertical="bottom"/>
    </xf>
    <xf numFmtId="164" fontId="14" fillId="0" borderId="1" applyAlignment="1" pivotButton="0" quotePrefix="0" xfId="0">
      <alignment horizontal="general" vertical="center" wrapText="1"/>
    </xf>
    <xf numFmtId="0" fontId="41" fillId="0" borderId="1" applyAlignment="1" pivotButton="0" quotePrefix="0" xfId="0">
      <alignment horizontal="general" vertical="bottom"/>
    </xf>
    <xf numFmtId="0" fontId="35" fillId="2" borderId="1" applyAlignment="1" pivotButton="0" quotePrefix="0" xfId="0">
      <alignment horizontal="general" vertical="center" wrapText="1"/>
    </xf>
    <xf numFmtId="0" fontId="43" fillId="0" borderId="1" applyAlignment="1" pivotButton="0" quotePrefix="0" xfId="0">
      <alignment horizontal="general" vertical="center" wrapText="1"/>
    </xf>
    <xf numFmtId="0" fontId="66" fillId="0" borderId="0" applyAlignment="1" pivotButton="0" quotePrefix="0" xfId="0">
      <alignment horizontal="general" vertical="center" wrapText="1"/>
    </xf>
    <xf numFmtId="0" fontId="8" fillId="0" borderId="1" applyAlignment="1" pivotButton="0" quotePrefix="0" xfId="0">
      <alignment horizontal="center" vertical="center"/>
    </xf>
    <xf numFmtId="166" fontId="14" fillId="6" borderId="1" applyAlignment="1" pivotButton="0" quotePrefix="0" xfId="0">
      <alignment horizontal="general" vertical="bottom"/>
    </xf>
    <xf numFmtId="0" fontId="21" fillId="0" borderId="1" applyAlignment="1" pivotButton="0" quotePrefix="0" xfId="0">
      <alignment horizontal="center" vertical="center"/>
    </xf>
    <xf numFmtId="0" fontId="11" fillId="2" borderId="1" applyAlignment="1" pivotButton="0" quotePrefix="0" xfId="0">
      <alignment horizontal="center" vertical="center" wrapText="1"/>
    </xf>
    <xf numFmtId="173" fontId="37" fillId="6" borderId="1" applyAlignment="1" pivotButton="0" quotePrefix="0" xfId="0">
      <alignment horizontal="center" vertical="center" wrapText="1"/>
    </xf>
    <xf numFmtId="164" fontId="37" fillId="6" borderId="1" applyAlignment="1" pivotButton="0" quotePrefix="0" xfId="0">
      <alignment horizontal="center" vertical="center" wrapText="1"/>
    </xf>
    <xf numFmtId="4" fontId="56" fillId="6" borderId="1" applyAlignment="1" pivotButton="0" quotePrefix="0" xfId="0">
      <alignment horizontal="center" vertical="center" wrapText="1"/>
    </xf>
    <xf numFmtId="164" fontId="14" fillId="2" borderId="1" applyAlignment="1" pivotButton="0" quotePrefix="0" xfId="0">
      <alignment horizontal="center" vertical="center" wrapText="1"/>
    </xf>
    <xf numFmtId="166" fontId="17" fillId="2" borderId="1" applyAlignment="1" pivotButton="0" quotePrefix="0" xfId="0">
      <alignment horizontal="center" vertical="center" wrapText="1"/>
    </xf>
    <xf numFmtId="0" fontId="11" fillId="2" borderId="1" applyAlignment="1" pivotButton="0" quotePrefix="0" xfId="0">
      <alignment horizontal="center" vertical="center"/>
    </xf>
    <xf numFmtId="165" fontId="39" fillId="6" borderId="1" applyAlignment="1" pivotButton="0" quotePrefix="0" xfId="0">
      <alignment horizontal="center" vertical="center" wrapText="1"/>
    </xf>
    <xf numFmtId="0" fontId="52" fillId="2" borderId="1" applyAlignment="1" pivotButton="0" quotePrefix="0" xfId="0">
      <alignment horizontal="center" vertical="center"/>
    </xf>
    <xf numFmtId="173" fontId="37" fillId="6" borderId="1" applyAlignment="1" pivotButton="0" quotePrefix="0" xfId="0">
      <alignment horizontal="general" vertical="bottom"/>
    </xf>
    <xf numFmtId="4" fontId="56" fillId="6" borderId="1" applyAlignment="1" pivotButton="0" quotePrefix="0" xfId="0">
      <alignment horizontal="general" vertical="bottom"/>
    </xf>
    <xf numFmtId="166" fontId="17" fillId="6" borderId="1" applyAlignment="1" pivotButton="0" quotePrefix="0" xfId="0">
      <alignment horizontal="general" vertical="bottom"/>
    </xf>
    <xf numFmtId="173" fontId="11" fillId="2" borderId="1" applyAlignment="1" pivotButton="0" quotePrefix="0" xfId="0">
      <alignment horizontal="general" vertical="bottom"/>
    </xf>
    <xf numFmtId="164" fontId="11" fillId="2" borderId="1" applyAlignment="1" pivotButton="0" quotePrefix="0" xfId="0">
      <alignment horizontal="general" vertical="bottom"/>
    </xf>
    <xf numFmtId="166" fontId="41" fillId="2" borderId="1" applyAlignment="1" pivotButton="0" quotePrefix="0" xfId="0">
      <alignment horizontal="general" vertical="bottom"/>
    </xf>
    <xf numFmtId="0" fontId="35" fillId="2" borderId="1" applyAlignment="1" pivotButton="0" quotePrefix="0" xfId="0">
      <alignment horizontal="center" vertical="center"/>
    </xf>
    <xf numFmtId="0" fontId="35" fillId="3" borderId="0" applyAlignment="1" pivotButton="0" quotePrefix="0" xfId="0">
      <alignment horizontal="general" vertical="center" wrapText="1"/>
    </xf>
    <xf numFmtId="4" fontId="14" fillId="0" borderId="1" applyAlignment="1" pivotButton="0" quotePrefix="0" xfId="0">
      <alignment horizontal="general" vertical="bottom"/>
    </xf>
    <xf numFmtId="4" fontId="19" fillId="0" borderId="1" applyAlignment="1" pivotButton="0" quotePrefix="0" xfId="0">
      <alignment horizontal="general" vertical="bottom"/>
    </xf>
    <xf numFmtId="0" fontId="8" fillId="2" borderId="1" applyAlignment="1" pivotButton="0" quotePrefix="0" xfId="0">
      <alignment horizontal="general" vertical="bottom"/>
    </xf>
    <xf numFmtId="1" fontId="8" fillId="2" borderId="1" applyAlignment="1" pivotButton="0" quotePrefix="0" xfId="0">
      <alignment horizontal="center" vertical="center"/>
    </xf>
    <xf numFmtId="0" fontId="18" fillId="0" borderId="0" applyAlignment="1" pivotButton="0" quotePrefix="0" xfId="0">
      <alignment horizontal="general" vertical="center" wrapText="1"/>
    </xf>
    <xf numFmtId="166" fontId="8" fillId="0" borderId="1" applyAlignment="1" pivotButton="0" quotePrefix="0" xfId="0">
      <alignment horizontal="general" vertical="bottom"/>
    </xf>
    <xf numFmtId="0" fontId="21" fillId="0" borderId="0" applyAlignment="1" pivotButton="0" quotePrefix="0" xfId="0">
      <alignment horizontal="general" vertical="center" wrapText="1"/>
    </xf>
    <xf numFmtId="174" fontId="37" fillId="6" borderId="1" applyAlignment="1" pivotButton="0" quotePrefix="0" xfId="0">
      <alignment horizontal="general" vertical="bottom"/>
    </xf>
    <xf numFmtId="175" fontId="17" fillId="0" borderId="1" applyAlignment="1" pivotButton="0" quotePrefix="0" xfId="0">
      <alignment horizontal="center" vertical="center"/>
    </xf>
    <xf numFmtId="164" fontId="41" fillId="2" borderId="1" applyAlignment="1" pivotButton="0" quotePrefix="0" xfId="0">
      <alignment horizontal="general" vertical="center" wrapText="1"/>
    </xf>
    <xf numFmtId="0" fontId="41" fillId="0" borderId="0" applyAlignment="1" pivotButton="0" quotePrefix="0" xfId="0">
      <alignment horizontal="general" vertical="bottom"/>
    </xf>
    <xf numFmtId="0" fontId="11" fillId="0" borderId="0" applyAlignment="1" pivotButton="0" quotePrefix="0" xfId="0">
      <alignment horizontal="general" vertical="center" wrapText="1"/>
    </xf>
    <xf numFmtId="0" fontId="51" fillId="0" borderId="0" applyAlignment="1" pivotButton="0" quotePrefix="0" xfId="0">
      <alignment horizontal="general" vertical="center" wrapText="1"/>
    </xf>
    <xf numFmtId="3" fontId="14" fillId="0" borderId="1" applyAlignment="1" pivotButton="0" quotePrefix="0" xfId="0">
      <alignment horizontal="general" vertical="bottom"/>
    </xf>
    <xf numFmtId="3" fontId="41" fillId="2" borderId="1" applyAlignment="1" pivotButton="0" quotePrefix="0" xfId="0">
      <alignment horizontal="general" vertical="bottom"/>
    </xf>
    <xf numFmtId="0" fontId="34" fillId="0" borderId="1" applyAlignment="1" pivotButton="0" quotePrefix="0" xfId="0">
      <alignment horizontal="general" vertical="bottom"/>
    </xf>
    <xf numFmtId="0" fontId="9" fillId="0" borderId="1" applyAlignment="1" pivotButton="0" quotePrefix="0" xfId="0">
      <alignment horizontal="general" vertical="bottom"/>
    </xf>
    <xf numFmtId="0" fontId="29" fillId="2" borderId="1" applyAlignment="1" pivotButton="0" quotePrefix="0" xfId="0">
      <alignment horizontal="center" vertical="center"/>
    </xf>
    <xf numFmtId="3" fontId="11" fillId="0" borderId="1" applyAlignment="1" pivotButton="0" quotePrefix="0" xfId="0">
      <alignment horizontal="general" vertical="bottom"/>
    </xf>
    <xf numFmtId="3" fontId="42" fillId="0" borderId="1" applyAlignment="1" pivotButton="0" quotePrefix="0" xfId="0">
      <alignment horizontal="general" vertical="bottom"/>
    </xf>
    <xf numFmtId="3" fontId="8" fillId="2" borderId="1" applyAlignment="1" pivotButton="0" quotePrefix="0" xfId="0">
      <alignment horizontal="general" vertical="bottom"/>
    </xf>
    <xf numFmtId="3" fontId="29" fillId="2" borderId="1" applyAlignment="1" pivotButton="0" quotePrefix="0" xfId="0">
      <alignment horizontal="general" vertical="bottom"/>
    </xf>
    <xf numFmtId="3" fontId="20" fillId="0" borderId="1" applyAlignment="1" pivotButton="0" quotePrefix="0" xfId="0">
      <alignment horizontal="general" vertical="bottom"/>
    </xf>
    <xf numFmtId="0" fontId="54" fillId="0" borderId="1" applyAlignment="1" pivotButton="0" quotePrefix="0" xfId="0">
      <alignment horizontal="general" vertical="bottom"/>
    </xf>
    <xf numFmtId="3" fontId="67" fillId="0" borderId="1" applyAlignment="1" pivotButton="0" quotePrefix="0" xfId="0">
      <alignment horizontal="general" vertical="bottom"/>
    </xf>
    <xf numFmtId="0" fontId="66"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64" fillId="0" borderId="0" applyAlignment="1" pivotButton="0" quotePrefix="0" xfId="0">
      <alignment horizontal="general" vertical="bottom"/>
    </xf>
    <xf numFmtId="0" fontId="61" fillId="7" borderId="0" applyAlignment="1" pivotButton="0" quotePrefix="0" xfId="0">
      <alignment horizontal="center" vertical="center"/>
    </xf>
    <xf numFmtId="4" fontId="39" fillId="0" borderId="0" applyAlignment="1" pivotButton="0" quotePrefix="0" xfId="0">
      <alignment horizontal="center" vertical="center"/>
    </xf>
    <xf numFmtId="4" fontId="68" fillId="0" borderId="0" applyAlignment="1" pivotButton="0" quotePrefix="0" xfId="0">
      <alignment horizontal="center" vertical="center"/>
    </xf>
    <xf numFmtId="0" fontId="39" fillId="0" borderId="0" applyAlignment="1" pivotButton="0" quotePrefix="0" xfId="0">
      <alignment horizontal="general" vertical="center" wrapText="1"/>
    </xf>
    <xf numFmtId="4" fontId="50" fillId="0" borderId="0" applyAlignment="1" pivotButton="0" quotePrefix="0" xfId="0">
      <alignment horizontal="center" vertical="center"/>
    </xf>
    <xf numFmtId="0" fontId="39" fillId="7" borderId="0" applyAlignment="1" pivotButton="0" quotePrefix="0" xfId="0">
      <alignment horizontal="general" vertical="bottom"/>
    </xf>
    <xf numFmtId="4" fontId="39" fillId="7" borderId="0" applyAlignment="1" pivotButton="0" quotePrefix="0" xfId="0">
      <alignment horizontal="center" vertical="center"/>
    </xf>
    <xf numFmtId="4" fontId="50" fillId="7" borderId="0" applyAlignment="1" pivotButton="0" quotePrefix="0" xfId="0">
      <alignment horizontal="center" vertical="center"/>
    </xf>
    <xf numFmtId="0" fontId="62" fillId="7" borderId="0" applyAlignment="1" pivotButton="0" quotePrefix="0" xfId="0">
      <alignment horizontal="general" vertical="bottom"/>
    </xf>
    <xf numFmtId="4" fontId="62" fillId="7" borderId="0" applyAlignment="1" pivotButton="0" quotePrefix="0" xfId="0">
      <alignment horizontal="center" vertical="center"/>
    </xf>
    <xf numFmtId="4" fontId="64" fillId="7" borderId="0" applyAlignment="1" pivotButton="0" quotePrefix="0" xfId="0">
      <alignment horizontal="center" vertical="center"/>
    </xf>
    <xf numFmtId="0" fontId="63" fillId="0" borderId="0" applyAlignment="1" pivotButton="0" quotePrefix="0" xfId="0">
      <alignment horizontal="general" vertical="bottom"/>
    </xf>
    <xf numFmtId="0" fontId="61" fillId="0" borderId="0" applyAlignment="1" pivotButton="0" quotePrefix="0" xfId="0">
      <alignment horizontal="general" vertical="bottom"/>
    </xf>
    <xf numFmtId="4" fontId="44" fillId="0" borderId="0" applyAlignment="1" pivotButton="0" quotePrefix="0" xfId="0">
      <alignment horizontal="center" vertical="center"/>
    </xf>
    <xf numFmtId="4" fontId="68" fillId="7" borderId="0" applyAlignment="1" pivotButton="0" quotePrefix="0" xfId="0">
      <alignment horizontal="center" vertical="center"/>
    </xf>
    <xf numFmtId="0" fontId="40" fillId="0" borderId="0" applyAlignment="1" pivotButton="0" quotePrefix="0" xfId="0">
      <alignment horizontal="general" vertical="bottom"/>
    </xf>
    <xf numFmtId="0" fontId="62" fillId="7" borderId="0" applyAlignment="1" pivotButton="0" quotePrefix="0" xfId="0">
      <alignment horizontal="center" vertical="center"/>
    </xf>
    <xf numFmtId="0" fontId="64" fillId="7" borderId="0" applyAlignment="1" pivotButton="0" quotePrefix="0" xfId="0">
      <alignment horizontal="center" vertical="center"/>
    </xf>
    <xf numFmtId="4" fontId="61" fillId="0" borderId="0" applyAlignment="1" pivotButton="0" quotePrefix="0" xfId="0">
      <alignment horizontal="center" vertical="center"/>
    </xf>
    <xf numFmtId="0" fontId="39" fillId="0" borderId="0" applyAlignment="1" pivotButton="0" quotePrefix="0" xfId="0">
      <alignment horizontal="center" vertical="center"/>
    </xf>
    <xf numFmtId="0" fontId="68" fillId="0" borderId="0" applyAlignment="1" pivotButton="0" quotePrefix="0" xfId="0">
      <alignment horizontal="center" vertical="center"/>
    </xf>
    <xf numFmtId="0" fontId="69" fillId="0" borderId="0" applyAlignment="1" pivotButton="0" quotePrefix="0" xfId="0">
      <alignment horizontal="center" vertical="center"/>
    </xf>
    <xf numFmtId="0" fontId="70" fillId="0" borderId="0" applyAlignment="1" pivotButton="0" quotePrefix="0" xfId="0">
      <alignment horizontal="general" vertical="bottom"/>
    </xf>
    <xf numFmtId="0" fontId="71" fillId="0" borderId="0" applyAlignment="1" pivotButton="0" quotePrefix="0" xfId="0">
      <alignment horizontal="center" vertical="center"/>
    </xf>
    <xf numFmtId="1" fontId="42" fillId="0" borderId="1" applyAlignment="1" pivotButton="0" quotePrefix="0" xfId="0">
      <alignment horizontal="general" vertical="bottom"/>
    </xf>
    <xf numFmtId="164" fontId="8" fillId="0" borderId="1" applyAlignment="1" pivotButton="0" quotePrefix="0" xfId="0">
      <alignment horizontal="center" vertical="center"/>
    </xf>
    <xf numFmtId="0" fontId="19" fillId="0" borderId="1" applyAlignment="1" pivotButton="0" quotePrefix="0" xfId="0">
      <alignment horizontal="left" vertical="center" wrapText="1"/>
    </xf>
    <xf numFmtId="0" fontId="35" fillId="0" borderId="0" applyAlignment="1" pivotButton="0" quotePrefix="0" xfId="0">
      <alignment horizontal="general" vertical="bottom"/>
    </xf>
    <xf numFmtId="0" fontId="42" fillId="0" borderId="1" applyAlignment="1" pivotButton="0" quotePrefix="0" xfId="0">
      <alignment horizontal="general" vertical="bottom"/>
    </xf>
    <xf numFmtId="164" fontId="15" fillId="0" borderId="1" applyAlignment="1" pivotButton="0" quotePrefix="0" xfId="0">
      <alignment horizontal="general" vertical="bottom"/>
    </xf>
    <xf numFmtId="0" fontId="72" fillId="0" borderId="0" applyAlignment="1" pivotButton="0" quotePrefix="0" xfId="0">
      <alignment horizontal="general" vertical="bottom"/>
    </xf>
    <xf numFmtId="4" fontId="73" fillId="0" borderId="1" applyAlignment="1" pivotButton="0" quotePrefix="0" xfId="0">
      <alignment horizontal="general" vertical="bottom"/>
    </xf>
    <xf numFmtId="2" fontId="20" fillId="0" borderId="1" applyAlignment="1" pivotButton="0" quotePrefix="0" xfId="0">
      <alignment horizontal="center" vertical="center"/>
    </xf>
    <xf numFmtId="0" fontId="74" fillId="0" borderId="0" applyAlignment="1" pivotButton="0" quotePrefix="0" xfId="0">
      <alignment horizontal="general" vertical="bottom"/>
    </xf>
    <xf numFmtId="2" fontId="20" fillId="3" borderId="1" applyAlignment="1" pivotButton="0" quotePrefix="0" xfId="0">
      <alignment horizontal="center" vertical="center"/>
    </xf>
    <xf numFmtId="0" fontId="14" fillId="3" borderId="1" applyAlignment="1" pivotButton="0" quotePrefix="0" xfId="0">
      <alignment horizontal="center" vertical="center"/>
    </xf>
    <xf numFmtId="4" fontId="17" fillId="2" borderId="1" applyAlignment="1" pivotButton="0" quotePrefix="0" xfId="0">
      <alignment horizontal="center" vertical="center" wrapText="1"/>
    </xf>
    <xf numFmtId="2" fontId="20" fillId="2" borderId="1" applyAlignment="1" pivotButton="0" quotePrefix="0" xfId="0">
      <alignment horizontal="center" vertical="center"/>
    </xf>
    <xf numFmtId="0" fontId="14" fillId="2" borderId="1" applyAlignment="1" pivotButton="0" quotePrefix="0" xfId="0">
      <alignment horizontal="center" vertical="center"/>
    </xf>
    <xf numFmtId="0" fontId="15" fillId="2" borderId="1" applyAlignment="1" pivotButton="0" quotePrefix="0" xfId="0">
      <alignment horizontal="general" vertical="center" wrapText="1"/>
    </xf>
    <xf numFmtId="1" fontId="20" fillId="0" borderId="1" applyAlignment="1" pivotButton="0" quotePrefix="0" xfId="0">
      <alignment horizontal="center" vertical="center"/>
    </xf>
    <xf numFmtId="0" fontId="74" fillId="0" borderId="1" applyAlignment="1" pivotButton="0" quotePrefix="0" xfId="0">
      <alignment horizontal="general" vertical="bottom"/>
    </xf>
    <xf numFmtId="165" fontId="20" fillId="0" borderId="1" applyAlignment="1" pivotButton="0" quotePrefix="0" xfId="0">
      <alignment horizontal="general" vertical="bottom"/>
    </xf>
    <xf numFmtId="0" fontId="43" fillId="0"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65" fontId="1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center" wrapText="1"/>
    </xf>
    <xf numFmtId="0" fontId="8" fillId="2" borderId="1" applyAlignment="1" pivotButton="0" quotePrefix="0" xfId="0">
      <alignment horizontal="center" vertical="center" wrapText="1"/>
    </xf>
    <xf numFmtId="0" fontId="8" fillId="0" borderId="1" applyAlignment="1" pivotButton="0" quotePrefix="0" xfId="0">
      <alignment horizontal="general" vertical="bottom"/>
    </xf>
    <xf numFmtId="0" fontId="9" fillId="0" borderId="1" applyAlignment="1" pivotButton="0" quotePrefix="0" xfId="0">
      <alignment horizontal="general" vertical="center" wrapText="1"/>
    </xf>
    <xf numFmtId="0" fontId="10" fillId="3" borderId="0" applyAlignment="1" pivotButton="0" quotePrefix="0" xfId="0">
      <alignment horizontal="general" vertical="bottom"/>
    </xf>
    <xf numFmtId="0" fontId="0" fillId="3" borderId="0" applyAlignment="1" pivotButton="0" quotePrefix="0" xfId="0">
      <alignment horizontal="general" vertical="bottom"/>
    </xf>
    <xf numFmtId="0" fontId="8" fillId="0" borderId="1" applyAlignment="1" pivotButton="0" quotePrefix="0" xfId="0">
      <alignment horizontal="right" vertical="center"/>
    </xf>
    <xf numFmtId="0" fontId="11" fillId="0" borderId="1" applyAlignment="1" pivotButton="0" quotePrefix="0" xfId="0">
      <alignment horizontal="general" vertical="center"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1" fillId="0" borderId="1" applyAlignment="1" pivotButton="0" quotePrefix="0" xfId="0">
      <alignment horizontal="general" vertical="bottom"/>
    </xf>
    <xf numFmtId="164" fontId="14" fillId="0" borderId="1" applyAlignment="1" pivotButton="0" quotePrefix="0" xfId="0">
      <alignment horizontal="general" vertical="bottom"/>
    </xf>
    <xf numFmtId="0" fontId="15" fillId="0" borderId="1" applyAlignment="1" pivotButton="0" quotePrefix="0" xfId="0">
      <alignment horizontal="general" vertical="center" wrapText="1"/>
    </xf>
    <xf numFmtId="164" fontId="16" fillId="0" borderId="1" applyAlignment="1" pivotButton="0" quotePrefix="0" xfId="0">
      <alignment horizontal="general" vertical="bottom"/>
    </xf>
    <xf numFmtId="0" fontId="8" fillId="0" borderId="1" applyAlignment="1" pivotButton="0" quotePrefix="0" xfId="0">
      <alignment horizontal="general" vertical="bottom"/>
    </xf>
    <xf numFmtId="164" fontId="16" fillId="0" borderId="1" applyAlignment="1" pivotButton="0" quotePrefix="0" xfId="0">
      <alignment horizontal="general" vertical="bottom"/>
    </xf>
    <xf numFmtId="0" fontId="14" fillId="0" borderId="1" applyAlignment="1" pivotButton="0" quotePrefix="0" xfId="0">
      <alignment horizontal="general" vertical="bottom"/>
    </xf>
    <xf numFmtId="165" fontId="11" fillId="0" borderId="1" applyAlignment="1" pivotButton="0" quotePrefix="0" xfId="0">
      <alignment horizontal="center" vertical="center"/>
    </xf>
    <xf numFmtId="164" fontId="17" fillId="0" borderId="1" applyAlignment="1" pivotButton="0" quotePrefix="0" xfId="0">
      <alignment horizontal="general" vertical="bottom"/>
    </xf>
    <xf numFmtId="0" fontId="11" fillId="0" borderId="1" applyAlignment="1" pivotButton="0" quotePrefix="0" xfId="0">
      <alignment horizontal="center" vertical="center"/>
    </xf>
    <xf numFmtId="0" fontId="18" fillId="0" borderId="1" applyAlignment="1" pivotButton="0" quotePrefix="0" xfId="0">
      <alignment horizontal="general" vertical="center" wrapText="1"/>
    </xf>
    <xf numFmtId="0" fontId="19" fillId="0" borderId="1" applyAlignment="1" pivotButton="0" quotePrefix="0" xfId="0">
      <alignment horizontal="center" vertical="center"/>
    </xf>
    <xf numFmtId="0" fontId="20" fillId="0" borderId="1" applyAlignment="1" pivotButton="0" quotePrefix="0" xfId="0">
      <alignment horizontal="center" vertical="center"/>
    </xf>
    <xf numFmtId="0" fontId="21" fillId="0" borderId="1" applyAlignment="1" pivotButton="0" quotePrefix="0" xfId="0">
      <alignment horizontal="general" vertical="bottom"/>
    </xf>
    <xf numFmtId="164" fontId="17" fillId="0" borderId="1" applyAlignment="1" pivotButton="0" quotePrefix="0" xfId="0">
      <alignment horizontal="center" vertical="center"/>
    </xf>
    <xf numFmtId="0" fontId="17" fillId="0" borderId="1" applyAlignment="1" pivotButton="0" quotePrefix="0" xfId="0">
      <alignment horizontal="center" vertical="center"/>
    </xf>
    <xf numFmtId="0" fontId="22" fillId="0" borderId="0" applyAlignment="1" pivotButton="0" quotePrefix="0" xfId="0">
      <alignment horizontal="general" vertical="center" wrapText="1"/>
    </xf>
    <xf numFmtId="0" fontId="23" fillId="0" borderId="0" applyAlignment="1" pivotButton="0" quotePrefix="0" xfId="0">
      <alignment horizontal="general" vertical="bottom"/>
    </xf>
    <xf numFmtId="0" fontId="24" fillId="4" borderId="0" applyAlignment="1" pivotButton="0" quotePrefix="0" xfId="0">
      <alignment horizontal="left" vertical="center" wrapText="1"/>
    </xf>
    <xf numFmtId="0" fontId="25" fillId="3" borderId="0" applyAlignment="1" pivotButton="0" quotePrefix="0" xfId="0">
      <alignment horizontal="left" vertical="center"/>
    </xf>
    <xf numFmtId="0" fontId="26" fillId="2" borderId="2" applyAlignment="1" pivotButton="0" quotePrefix="0" xfId="0">
      <alignment horizontal="left" vertical="center"/>
    </xf>
    <xf numFmtId="0" fontId="0" fillId="0" borderId="5" pivotButton="0" quotePrefix="0" xfId="0"/>
    <xf numFmtId="0" fontId="0" fillId="0" borderId="6" pivotButton="0" quotePrefix="0" xfId="0"/>
    <xf numFmtId="164" fontId="27" fillId="2" borderId="3" applyAlignment="1" pivotButton="0" quotePrefix="0" xfId="0">
      <alignment horizontal="left" vertical="center"/>
    </xf>
    <xf numFmtId="0" fontId="0" fillId="0" borderId="7" pivotButton="0" quotePrefix="0" xfId="0"/>
    <xf numFmtId="164" fontId="27" fillId="2" borderId="1" applyAlignment="1" pivotButton="0" quotePrefix="0" xfId="0">
      <alignment horizontal="left" vertical="center"/>
    </xf>
    <xf numFmtId="0" fontId="0" fillId="0" borderId="8" pivotButton="0" quotePrefix="0" xfId="0"/>
    <xf numFmtId="0" fontId="0" fillId="0" borderId="9" pivotButton="0" quotePrefix="0" xfId="0"/>
    <xf numFmtId="0" fontId="28" fillId="2" borderId="4" applyAlignment="1" pivotButton="0" quotePrefix="0" xfId="0">
      <alignment horizontal="left" vertical="center"/>
    </xf>
    <xf numFmtId="0" fontId="0" fillId="0" borderId="10" pivotButton="0" quotePrefix="0" xfId="0"/>
    <xf numFmtId="0" fontId="0" fillId="0" borderId="11" pivotButton="0" quotePrefix="0" xfId="0"/>
    <xf numFmtId="166" fontId="27" fillId="2" borderId="3" applyAlignment="1" pivotButton="0" quotePrefix="0" xfId="0">
      <alignment horizontal="left" vertical="center"/>
    </xf>
    <xf numFmtId="0" fontId="28" fillId="2" borderId="1" applyAlignment="1" pivotButton="0" quotePrefix="0" xfId="0">
      <alignment horizontal="left" vertical="center" wrapText="1"/>
    </xf>
    <xf numFmtId="1" fontId="27" fillId="2" borderId="3" applyAlignment="1" pivotButton="0" quotePrefix="0" xfId="0">
      <alignment horizontal="left" vertical="center"/>
    </xf>
    <xf numFmtId="0" fontId="26" fillId="2" borderId="1" applyAlignment="1" pivotButton="0" quotePrefix="0" xfId="0">
      <alignment horizontal="left" vertical="center"/>
    </xf>
    <xf numFmtId="0" fontId="28" fillId="2" borderId="1" applyAlignment="1" pivotButton="0" quotePrefix="0" xfId="0">
      <alignment horizontal="left" vertical="center"/>
    </xf>
    <xf numFmtId="0" fontId="29" fillId="2" borderId="1" applyAlignment="1" pivotButton="0" quotePrefix="0" xfId="0">
      <alignment horizontal="left" vertical="center"/>
    </xf>
    <xf numFmtId="0" fontId="8" fillId="0" borderId="1" applyAlignment="1" pivotButton="0" quotePrefix="0" xfId="0">
      <alignment horizontal="left" vertical="center"/>
    </xf>
    <xf numFmtId="165" fontId="11" fillId="0" borderId="1" applyAlignment="1" pivotButton="0" quotePrefix="0" xfId="0">
      <alignment horizontal="left" vertical="center"/>
    </xf>
    <xf numFmtId="164" fontId="11" fillId="0" borderId="1" applyAlignment="1" pivotButton="0" quotePrefix="0" xfId="0">
      <alignment horizontal="left" vertical="center"/>
    </xf>
    <xf numFmtId="0" fontId="11" fillId="0" borderId="1" applyAlignment="1" pivotButton="0" quotePrefix="0" xfId="0">
      <alignment horizontal="left" vertical="center"/>
    </xf>
    <xf numFmtId="1" fontId="11" fillId="0" borderId="1" applyAlignment="1" pivotButton="0" quotePrefix="0" xfId="0">
      <alignment horizontal="left" vertical="center"/>
    </xf>
    <xf numFmtId="0" fontId="21"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2" fillId="0" borderId="0" applyAlignment="1" pivotButton="0" quotePrefix="0" xfId="0">
      <alignment horizontal="general" vertical="bottom"/>
    </xf>
    <xf numFmtId="0" fontId="33" fillId="2" borderId="1" applyAlignment="1" pivotButton="0" quotePrefix="0" xfId="0">
      <alignment horizontal="left" vertical="center" wrapText="1"/>
    </xf>
    <xf numFmtId="0" fontId="0" fillId="0" borderId="4" pivotButton="0" quotePrefix="0" xfId="0"/>
    <xf numFmtId="0" fontId="33" fillId="2" borderId="1" applyAlignment="1" pivotButton="0" quotePrefix="0" xfId="0">
      <alignment horizontal="general" vertical="center" wrapText="1"/>
    </xf>
    <xf numFmtId="0" fontId="34" fillId="5" borderId="1" applyAlignment="1" pivotButton="0" quotePrefix="0" xfId="0">
      <alignment horizontal="left" vertical="center" wrapText="1"/>
    </xf>
    <xf numFmtId="0" fontId="35" fillId="0" borderId="0" applyAlignment="1" pivotButton="0" quotePrefix="0" xfId="0">
      <alignment horizontal="general" vertical="center" wrapText="1"/>
    </xf>
    <xf numFmtId="0" fontId="22" fillId="0" borderId="0" applyAlignment="1" pivotButton="0" quotePrefix="0" xfId="0">
      <alignment horizontal="general" vertical="bottom"/>
    </xf>
    <xf numFmtId="0" fontId="9" fillId="0" borderId="0" applyAlignment="1" pivotButton="0" quotePrefix="0" xfId="0">
      <alignment horizontal="general" vertical="center" wrapText="1"/>
    </xf>
    <xf numFmtId="0" fontId="36" fillId="0" borderId="0" applyAlignment="1" pivotButton="0" quotePrefix="0" xfId="0">
      <alignment horizontal="general" vertical="bottom"/>
    </xf>
    <xf numFmtId="0" fontId="15" fillId="0" borderId="1" applyAlignment="1" pivotButton="0" quotePrefix="0" xfId="0">
      <alignment horizontal="center" vertical="center"/>
    </xf>
    <xf numFmtId="165" fontId="17" fillId="0" borderId="1" applyAlignment="1" pivotButton="0" quotePrefix="0" xfId="0">
      <alignment horizontal="general" vertical="bottom"/>
    </xf>
    <xf numFmtId="164" fontId="37" fillId="6" borderId="1" applyAlignment="1" pivotButton="0" quotePrefix="0" xfId="0">
      <alignment horizontal="general" vertical="bottom"/>
    </xf>
    <xf numFmtId="1" fontId="37" fillId="6" borderId="1" applyAlignment="1" pivotButton="0" quotePrefix="0" xfId="0">
      <alignment horizontal="general" vertical="bottom"/>
    </xf>
    <xf numFmtId="4" fontId="17" fillId="0" borderId="1" applyAlignment="1" pivotButton="0" quotePrefix="0" xfId="0">
      <alignment horizontal="general" vertical="bottom"/>
    </xf>
    <xf numFmtId="167" fontId="37" fillId="6" borderId="1" applyAlignment="1" pivotButton="0" quotePrefix="0" xfId="0">
      <alignment horizontal="general" vertical="bottom"/>
    </xf>
    <xf numFmtId="165" fontId="37" fillId="6" borderId="1" applyAlignment="1" pivotButton="0" quotePrefix="0" xfId="0">
      <alignment horizontal="general" vertical="bottom"/>
    </xf>
    <xf numFmtId="3" fontId="37" fillId="6" borderId="1" applyAlignment="1" pivotButton="0" quotePrefix="0" xfId="0">
      <alignment horizontal="general" vertical="bottom"/>
    </xf>
    <xf numFmtId="168" fontId="37" fillId="6" borderId="1" applyAlignment="1" pivotButton="0" quotePrefix="0" xfId="0">
      <alignment horizontal="general" vertical="bottom"/>
    </xf>
    <xf numFmtId="0" fontId="38" fillId="0" borderId="1" applyAlignment="1" pivotButton="0" quotePrefix="0" xfId="0">
      <alignment horizontal="general" vertical="center" wrapText="1"/>
    </xf>
    <xf numFmtId="0" fontId="11" fillId="3" borderId="1" applyAlignment="1" pivotButton="0" quotePrefix="0" xfId="0">
      <alignment horizontal="general" vertical="bottom"/>
    </xf>
    <xf numFmtId="169" fontId="37" fillId="6" borderId="1" applyAlignment="1" pivotButton="0" quotePrefix="0" xfId="0">
      <alignment horizontal="general" vertical="bottom"/>
    </xf>
    <xf numFmtId="0" fontId="15" fillId="3" borderId="1" applyAlignment="1" pivotButton="0" quotePrefix="0" xfId="0">
      <alignment horizontal="general" vertical="center" wrapText="1"/>
    </xf>
    <xf numFmtId="4" fontId="37" fillId="6" borderId="1" applyAlignment="1" pivotButton="0" quotePrefix="0" xfId="0">
      <alignment horizontal="general" vertical="bottom"/>
    </xf>
    <xf numFmtId="0" fontId="20" fillId="0" borderId="1" applyAlignment="1" pivotButton="0" quotePrefix="0" xfId="0">
      <alignment horizontal="general" vertical="bottom"/>
    </xf>
    <xf numFmtId="164" fontId="19" fillId="0" borderId="1" applyAlignment="1" pivotButton="0" quotePrefix="0" xfId="0">
      <alignment horizontal="general" vertical="bottom"/>
    </xf>
    <xf numFmtId="1" fontId="19" fillId="0" borderId="1" applyAlignment="1" pivotButton="0" quotePrefix="0" xfId="0">
      <alignment horizontal="general" vertical="bottom"/>
    </xf>
    <xf numFmtId="0" fontId="19" fillId="0" borderId="1" applyAlignment="1" pivotButton="0" quotePrefix="0" xfId="0">
      <alignment horizontal="general" vertical="bottom"/>
    </xf>
    <xf numFmtId="166" fontId="19" fillId="0" borderId="1" applyAlignment="1" pivotButton="0" quotePrefix="0" xfId="0">
      <alignment horizontal="general" vertical="bottom"/>
    </xf>
    <xf numFmtId="165" fontId="19" fillId="0" borderId="1" applyAlignment="1" pivotButton="0" quotePrefix="0" xfId="0">
      <alignment horizontal="general" vertical="bottom"/>
    </xf>
    <xf numFmtId="0" fontId="11" fillId="0" borderId="1" applyAlignment="1" pivotButton="0" quotePrefix="0" xfId="0">
      <alignment horizontal="general" vertical="bottom"/>
    </xf>
    <xf numFmtId="164" fontId="19" fillId="0" borderId="1" applyAlignment="1" pivotButton="0" quotePrefix="0" xfId="0">
      <alignment horizontal="general" vertical="bottom"/>
    </xf>
    <xf numFmtId="0" fontId="15" fillId="0" borderId="1" applyAlignment="1" pivotButton="0" quotePrefix="0" xfId="0">
      <alignment horizontal="general" vertical="center" wrapText="1"/>
    </xf>
    <xf numFmtId="166" fontId="37" fillId="6" borderId="1" applyAlignment="1" pivotButton="0" quotePrefix="0" xfId="0">
      <alignment horizontal="general" vertical="bottom"/>
    </xf>
    <xf numFmtId="0" fontId="37" fillId="6" borderId="1" applyAlignment="1" pivotButton="0" quotePrefix="0" xfId="0">
      <alignment horizontal="general" vertical="bottom"/>
    </xf>
    <xf numFmtId="1" fontId="8" fillId="6" borderId="1" applyAlignment="1" pivotButton="0" quotePrefix="0" xfId="0">
      <alignment horizontal="general" vertical="bottom"/>
    </xf>
    <xf numFmtId="4" fontId="39" fillId="6" borderId="1" applyAlignment="1" pivotButton="0" quotePrefix="0" xfId="0">
      <alignment horizontal="general" vertical="bottom"/>
    </xf>
    <xf numFmtId="164" fontId="8" fillId="0" borderId="1" applyAlignment="1" pivotButton="0" quotePrefix="0" xfId="0">
      <alignment horizontal="general" vertical="bottom"/>
    </xf>
    <xf numFmtId="165" fontId="39" fillId="6" borderId="1" applyAlignment="1" pivotButton="0" quotePrefix="0" xfId="0">
      <alignment horizontal="general" vertical="bottom"/>
    </xf>
    <xf numFmtId="0" fontId="40" fillId="0" borderId="1" applyAlignment="1" pivotButton="0" quotePrefix="0" xfId="0">
      <alignment horizontal="general" vertical="center" wrapText="1"/>
    </xf>
    <xf numFmtId="0" fontId="41" fillId="2" borderId="1" applyAlignment="1" pivotButton="0" quotePrefix="0" xfId="0">
      <alignment horizontal="general" vertical="bottom"/>
    </xf>
    <xf numFmtId="0" fontId="11" fillId="2" borderId="1" applyAlignment="1" pivotButton="0" quotePrefix="0" xfId="0">
      <alignment horizontal="general" vertical="bottom"/>
    </xf>
    <xf numFmtId="164" fontId="41" fillId="2" borderId="1" applyAlignment="1" pivotButton="0" quotePrefix="0" xfId="0">
      <alignment horizontal="general" vertical="bottom"/>
    </xf>
    <xf numFmtId="0" fontId="35" fillId="2" borderId="1" applyAlignment="1" pivotButton="0" quotePrefix="0" xfId="0">
      <alignment horizontal="general" vertical="bottom"/>
    </xf>
    <xf numFmtId="0" fontId="35" fillId="0" borderId="1" applyAlignment="1" pivotButton="0" quotePrefix="0" xfId="0">
      <alignment horizontal="general" vertical="center" wrapText="1"/>
    </xf>
    <xf numFmtId="0" fontId="15" fillId="0" borderId="1" applyAlignment="1" pivotButton="0" quotePrefix="0" xfId="0">
      <alignment horizontal="general" vertical="bottom"/>
    </xf>
    <xf numFmtId="0" fontId="10" fillId="3" borderId="0" applyAlignment="1" pivotButton="0" quotePrefix="0" xfId="0">
      <alignment horizontal="general" vertical="bottom"/>
    </xf>
    <xf numFmtId="0" fontId="8" fillId="2" borderId="1" applyAlignment="1" pivotButton="0" quotePrefix="0" xfId="0">
      <alignment horizontal="center" vertical="center" wrapText="1"/>
    </xf>
    <xf numFmtId="0" fontId="18" fillId="0" borderId="1" applyAlignment="1" pivotButton="0" quotePrefix="0" xfId="0">
      <alignment horizontal="center" vertical="center"/>
    </xf>
    <xf numFmtId="164" fontId="17" fillId="0" borderId="1" applyAlignment="1" pivotButton="0" quotePrefix="0" xfId="0">
      <alignment horizontal="general" vertical="bottom"/>
    </xf>
    <xf numFmtId="165" fontId="37" fillId="6" borderId="1" applyAlignment="1" pivotButton="0" quotePrefix="0" xfId="0">
      <alignment horizontal="general" vertical="bottom"/>
    </xf>
    <xf numFmtId="176" fontId="18" fillId="0" borderId="1" applyAlignment="1" pivotButton="0" quotePrefix="0" xfId="0">
      <alignment horizontal="center" vertical="center"/>
    </xf>
    <xf numFmtId="177" fontId="0" fillId="0" borderId="0" pivotButton="0" quotePrefix="0" xfId="0"/>
    <xf numFmtId="1" fontId="0" fillId="0" borderId="0" pivotButton="0" quotePrefix="0" xfId="0"/>
    <xf numFmtId="176" fontId="37" fillId="6" borderId="1" applyAlignment="1" pivotButton="0" quotePrefix="0" xfId="0">
      <alignment horizontal="general" vertical="bottom"/>
    </xf>
    <xf numFmtId="0" fontId="37" fillId="6" borderId="1" applyAlignment="1" pivotButton="0" quotePrefix="0" xfId="0">
      <alignment horizontal="general" vertical="bottom"/>
    </xf>
    <xf numFmtId="164" fontId="37" fillId="6" borderId="1" applyAlignment="1" pivotButton="0" quotePrefix="0" xfId="0">
      <alignment horizontal="general" vertical="bottom"/>
    </xf>
    <xf numFmtId="165" fontId="8" fillId="6" borderId="1" applyAlignment="1" pivotButton="0" quotePrefix="0" xfId="0">
      <alignment horizontal="general" vertical="bottom"/>
    </xf>
    <xf numFmtId="164" fontId="14" fillId="6" borderId="1" applyAlignment="1" pivotButton="0" quotePrefix="0" xfId="0">
      <alignment horizontal="general" vertical="bottom"/>
    </xf>
    <xf numFmtId="165" fontId="17" fillId="6" borderId="1" applyAlignment="1" pivotButton="0" quotePrefix="0" xfId="0">
      <alignment horizontal="general" vertical="bottom"/>
    </xf>
    <xf numFmtId="0" fontId="0" fillId="0" borderId="1" applyAlignment="1" pivotButton="0" quotePrefix="0" xfId="0">
      <alignment horizontal="general" vertical="bottom"/>
    </xf>
    <xf numFmtId="0" fontId="6" fillId="0" borderId="11" applyAlignment="1" pivotButton="0" quotePrefix="0" xfId="0">
      <alignment horizontal="general" vertical="bottom"/>
    </xf>
    <xf numFmtId="0" fontId="25" fillId="3" borderId="0" applyAlignment="1" pivotButton="0" quotePrefix="0" xfId="0">
      <alignment horizontal="general" vertical="bottom"/>
    </xf>
    <xf numFmtId="0" fontId="42" fillId="0" borderId="1" applyAlignment="1" pivotButton="0" quotePrefix="0" xfId="0">
      <alignment horizontal="center" vertical="center"/>
    </xf>
    <xf numFmtId="1" fontId="42" fillId="0" borderId="1" applyAlignment="1" pivotButton="0" quotePrefix="0" xfId="0">
      <alignment horizontal="center" vertical="center"/>
    </xf>
    <xf numFmtId="0" fontId="43" fillId="0" borderId="1" applyAlignment="1" pivotButton="0" quotePrefix="0" xfId="0">
      <alignment horizontal="center" vertical="center"/>
    </xf>
    <xf numFmtId="0" fontId="39" fillId="6" borderId="1" applyAlignment="1" pivotButton="0" quotePrefix="0" xfId="0">
      <alignment horizontal="general" vertical="bottom"/>
    </xf>
    <xf numFmtId="0" fontId="39" fillId="0" borderId="1" applyAlignment="1" pivotButton="0" quotePrefix="0" xfId="0">
      <alignment horizontal="center" vertical="center"/>
    </xf>
    <xf numFmtId="0" fontId="44" fillId="0" borderId="1" applyAlignment="1" pivotButton="0" quotePrefix="0" xfId="0">
      <alignment horizontal="general" vertical="center" wrapText="1"/>
    </xf>
    <xf numFmtId="0" fontId="39" fillId="0" borderId="1" applyAlignment="1" pivotButton="0" quotePrefix="0" xfId="0">
      <alignment horizontal="general" vertical="bottom"/>
    </xf>
    <xf numFmtId="0" fontId="45" fillId="0" borderId="1" applyAlignment="1" pivotButton="0" quotePrefix="0" xfId="0">
      <alignment horizontal="general" vertical="center" wrapText="1"/>
    </xf>
    <xf numFmtId="170" fontId="39" fillId="6" borderId="1" applyAlignment="1" pivotButton="0" quotePrefix="0" xfId="0">
      <alignment horizontal="general" vertical="bottom"/>
    </xf>
    <xf numFmtId="0" fontId="40" fillId="0" borderId="1" applyAlignment="1" pivotButton="0" quotePrefix="0" xfId="0">
      <alignment horizontal="general" vertical="bottom"/>
    </xf>
    <xf numFmtId="0" fontId="29" fillId="2" borderId="1" applyAlignment="1" pivotButton="0" quotePrefix="0" xfId="0">
      <alignment horizontal="general" vertical="bottom"/>
    </xf>
    <xf numFmtId="166" fontId="17" fillId="0" borderId="1" applyAlignment="1" pivotButton="0" quotePrefix="0" xfId="0">
      <alignment horizontal="general" vertical="bottom"/>
    </xf>
    <xf numFmtId="164" fontId="20" fillId="0" borderId="1" applyAlignment="1" pivotButton="0" quotePrefix="0" xfId="0">
      <alignment horizontal="general" vertical="bottom"/>
    </xf>
    <xf numFmtId="166" fontId="14" fillId="0" borderId="1" applyAlignment="1" pivotButton="0" quotePrefix="0" xfId="0">
      <alignment horizontal="general" vertical="bottom"/>
    </xf>
    <xf numFmtId="0" fontId="21" fillId="0" borderId="0" applyAlignment="1" pivotButton="0" quotePrefix="0" xfId="0">
      <alignment horizontal="general" vertical="center" wrapText="1"/>
    </xf>
    <xf numFmtId="1" fontId="11" fillId="0" borderId="1" applyAlignment="1" pivotButton="0" quotePrefix="0" xfId="0">
      <alignment horizontal="center" vertical="center"/>
    </xf>
    <xf numFmtId="1" fontId="17" fillId="0" borderId="1" applyAlignment="1" pivotButton="0" quotePrefix="0" xfId="0">
      <alignment horizontal="center" vertical="center"/>
    </xf>
    <xf numFmtId="0" fontId="14" fillId="0" borderId="1" applyAlignment="1" pivotButton="0" quotePrefix="0" xfId="0">
      <alignment horizontal="center" vertical="center"/>
    </xf>
    <xf numFmtId="171" fontId="15" fillId="0" borderId="1" applyAlignment="1" pivotButton="0" quotePrefix="0" xfId="0">
      <alignment horizontal="center" vertical="center"/>
    </xf>
    <xf numFmtId="171" fontId="15" fillId="0" borderId="1" applyAlignment="1" pivotButton="0" quotePrefix="0" xfId="0">
      <alignment horizontal="general" vertical="bottom"/>
    </xf>
    <xf numFmtId="170" fontId="37" fillId="6" borderId="1" applyAlignment="1" pivotButton="0" quotePrefix="0" xfId="0">
      <alignment horizontal="general" vertical="bottom"/>
    </xf>
    <xf numFmtId="0" fontId="48" fillId="6" borderId="1" applyAlignment="1" pivotButton="0" quotePrefix="0" xfId="0">
      <alignment horizontal="general" vertical="bottom"/>
    </xf>
    <xf numFmtId="0" fontId="49" fillId="0" borderId="1" applyAlignment="1" pivotButton="0" quotePrefix="0" xfId="0">
      <alignment horizontal="general" vertical="center" wrapText="1"/>
    </xf>
    <xf numFmtId="170" fontId="39" fillId="0" borderId="0" applyAlignment="1" pivotButton="0" quotePrefix="0" xfId="0">
      <alignment horizontal="general" vertical="bottom"/>
    </xf>
    <xf numFmtId="0" fontId="39" fillId="0" borderId="0" applyAlignment="1" pivotButton="0" quotePrefix="0" xfId="0">
      <alignment horizontal="general" vertical="bottom"/>
    </xf>
    <xf numFmtId="4" fontId="39" fillId="0" borderId="0" applyAlignment="1" pivotButton="0" quotePrefix="0" xfId="0">
      <alignment horizontal="general" vertical="bottom"/>
    </xf>
    <xf numFmtId="4" fontId="50" fillId="0" borderId="0" applyAlignment="1" pivotButton="0" quotePrefix="0" xfId="0">
      <alignment horizontal="general" vertical="bottom"/>
    </xf>
    <xf numFmtId="0" fontId="44" fillId="0" borderId="0" applyAlignment="1" pivotButton="0" quotePrefix="0" xfId="0">
      <alignment horizontal="center" vertical="center"/>
    </xf>
    <xf numFmtId="0" fontId="50" fillId="0" borderId="0" applyAlignment="1" pivotButton="0" quotePrefix="0" xfId="0">
      <alignment horizontal="center" vertical="center"/>
    </xf>
    <xf numFmtId="0" fontId="45" fillId="0" borderId="0" applyAlignment="1" pivotButton="0" quotePrefix="0" xfId="0">
      <alignment horizontal="general" vertical="center" wrapText="1"/>
    </xf>
    <xf numFmtId="164" fontId="19" fillId="0" borderId="1" applyAlignment="1" pivotButton="0" quotePrefix="0" xfId="0">
      <alignment horizontal="center" vertical="center"/>
    </xf>
    <xf numFmtId="0" fontId="51" fillId="0" borderId="0" applyAlignment="1" pivotButton="0" quotePrefix="0" xfId="0">
      <alignment horizontal="general" vertical="center" wrapText="1"/>
    </xf>
    <xf numFmtId="0" fontId="29" fillId="2" borderId="1" applyAlignment="1" pivotButton="0" quotePrefix="0" xfId="0">
      <alignment horizontal="center" vertical="center" wrapText="1"/>
    </xf>
    <xf numFmtId="165" fontId="8" fillId="0" borderId="1" applyAlignment="1" pivotButton="0" quotePrefix="0" xfId="0">
      <alignment horizontal="general" vertical="bottom"/>
    </xf>
    <xf numFmtId="165" fontId="11" fillId="0" borderId="1" applyAlignment="1" pivotButton="0" quotePrefix="0" xfId="0">
      <alignment horizontal="general" vertical="bottom"/>
    </xf>
    <xf numFmtId="164" fontId="42" fillId="0" borderId="1" applyAlignment="1" pivotButton="0" quotePrefix="0" xfId="0">
      <alignment horizontal="general" vertical="bottom"/>
    </xf>
    <xf numFmtId="0" fontId="52" fillId="0" borderId="1" applyAlignment="1" pivotButton="0" quotePrefix="0" xfId="0">
      <alignment horizontal="center" vertical="center"/>
    </xf>
    <xf numFmtId="164" fontId="53" fillId="0" borderId="1" applyAlignment="1" pivotButton="0" quotePrefix="0" xfId="0">
      <alignment horizontal="general" vertical="bottom"/>
    </xf>
    <xf numFmtId="0" fontId="49" fillId="0" borderId="1" applyAlignment="1" pivotButton="0" quotePrefix="0" xfId="0">
      <alignment horizontal="center" vertical="center"/>
    </xf>
    <xf numFmtId="164" fontId="54" fillId="0" borderId="1" applyAlignment="1" pivotButton="0" quotePrefix="0" xfId="0">
      <alignment horizontal="general" vertical="bottom"/>
    </xf>
    <xf numFmtId="164" fontId="21" fillId="0" borderId="1" applyAlignment="1" pivotButton="0" quotePrefix="0" xfId="0">
      <alignment horizontal="general" vertical="bottom"/>
    </xf>
    <xf numFmtId="0" fontId="53" fillId="0" borderId="1" applyAlignment="1" pivotButton="0" quotePrefix="0" xfId="0">
      <alignment horizontal="general" vertical="bottom"/>
    </xf>
    <xf numFmtId="0" fontId="20" fillId="0" borderId="1" applyAlignment="1" pivotButton="0" quotePrefix="0" xfId="0">
      <alignment horizontal="general" vertical="center" wrapText="1"/>
    </xf>
    <xf numFmtId="0" fontId="55" fillId="0" borderId="1" applyAlignment="1" pivotButton="0" quotePrefix="0" xfId="0">
      <alignment horizontal="general" vertical="bottom"/>
    </xf>
    <xf numFmtId="4" fontId="56" fillId="0" borderId="1" applyAlignment="1" pivotButton="0" quotePrefix="0" xfId="0">
      <alignment horizontal="general" vertical="bottom"/>
    </xf>
    <xf numFmtId="164" fontId="11" fillId="0" borderId="1" applyAlignment="1" pivotButton="0" quotePrefix="0" xfId="0">
      <alignment horizontal="general" vertical="bottom"/>
    </xf>
    <xf numFmtId="4" fontId="55" fillId="0" borderId="1" applyAlignment="1" pivotButton="0" quotePrefix="0" xfId="0">
      <alignment horizontal="general" vertical="bottom"/>
    </xf>
    <xf numFmtId="4" fontId="57" fillId="0" borderId="1" applyAlignment="1" pivotButton="0" quotePrefix="0" xfId="0">
      <alignment horizontal="general" vertical="bottom"/>
    </xf>
    <xf numFmtId="164" fontId="58" fillId="0" borderId="1" applyAlignment="1" pivotButton="0" quotePrefix="0" xfId="0">
      <alignment horizontal="general" vertical="bottom"/>
    </xf>
    <xf numFmtId="0" fontId="8" fillId="0" borderId="1" applyAlignment="1" pivotButton="0" quotePrefix="0" xfId="0">
      <alignment horizontal="general" vertical="center" wrapText="1"/>
    </xf>
    <xf numFmtId="0" fontId="0" fillId="0" borderId="13" pivotButton="0" quotePrefix="0" xfId="0"/>
    <xf numFmtId="0" fontId="59" fillId="0" borderId="0" applyAlignment="1" pivotButton="0" quotePrefix="0" xfId="0">
      <alignment horizontal="general" vertical="center" wrapText="1"/>
    </xf>
    <xf numFmtId="0" fontId="60" fillId="7" borderId="0" applyAlignment="1" pivotButton="0" quotePrefix="0" xfId="0">
      <alignment horizontal="general" vertical="bottom"/>
    </xf>
    <xf numFmtId="0" fontId="0" fillId="7" borderId="0" applyAlignment="1" pivotButton="0" quotePrefix="0" xfId="0">
      <alignment horizontal="general" vertical="bottom"/>
    </xf>
    <xf numFmtId="0" fontId="61" fillId="7" borderId="0" applyAlignment="1" pivotButton="0" quotePrefix="0" xfId="0">
      <alignment horizontal="general" vertical="bottom"/>
    </xf>
    <xf numFmtId="0" fontId="62" fillId="0" borderId="0" applyAlignment="1" pivotButton="0" quotePrefix="0" xfId="0">
      <alignment horizontal="general" vertical="bottom"/>
    </xf>
    <xf numFmtId="4" fontId="56" fillId="0" borderId="0" applyAlignment="1" pivotButton="0" quotePrefix="0" xfId="0">
      <alignment horizontal="general" vertical="bottom"/>
    </xf>
    <xf numFmtId="4" fontId="63" fillId="0" borderId="0" applyAlignment="1" pivotButton="0" quotePrefix="0" xfId="0">
      <alignment horizontal="general" vertical="bottom"/>
    </xf>
    <xf numFmtId="4" fontId="64" fillId="0" borderId="0" applyAlignment="1" pivotButton="0" quotePrefix="0" xfId="0">
      <alignment horizontal="general" vertical="bottom"/>
    </xf>
    <xf numFmtId="165" fontId="14" fillId="0" borderId="1" applyAlignment="1" pivotButton="0" quotePrefix="0" xfId="0">
      <alignment horizontal="general" vertical="bottom"/>
    </xf>
    <xf numFmtId="1" fontId="14" fillId="0" borderId="1" applyAlignment="1" pivotButton="0" quotePrefix="0" xfId="0">
      <alignment horizontal="general" vertical="bottom"/>
    </xf>
    <xf numFmtId="0" fontId="16" fillId="0" borderId="1" applyAlignment="1" pivotButton="0" quotePrefix="0" xfId="0">
      <alignment horizontal="center" vertical="center"/>
    </xf>
    <xf numFmtId="0" fontId="65" fillId="0" borderId="0" applyAlignment="1" pivotButton="0" quotePrefix="0" xfId="0">
      <alignment horizontal="general" vertical="center" wrapText="1"/>
    </xf>
    <xf numFmtId="0" fontId="16" fillId="0" borderId="1" applyAlignment="1" pivotButton="0" quotePrefix="0" xfId="0">
      <alignment horizontal="general" vertical="bottom"/>
    </xf>
    <xf numFmtId="165" fontId="42" fillId="0" borderId="1" applyAlignment="1" pivotButton="0" quotePrefix="0" xfId="0">
      <alignment horizontal="general" vertical="bottom"/>
    </xf>
    <xf numFmtId="1" fontId="17" fillId="0" borderId="1" applyAlignment="1" pivotButton="0" quotePrefix="0" xfId="0">
      <alignment horizontal="general" vertical="bottom"/>
    </xf>
    <xf numFmtId="0" fontId="17" fillId="0" borderId="1" applyAlignment="1" pivotButton="0" quotePrefix="0" xfId="0">
      <alignment horizontal="general" vertical="bottom"/>
    </xf>
    <xf numFmtId="172" fontId="66" fillId="0" borderId="0" applyAlignment="1" pivotButton="0" quotePrefix="0" xfId="0">
      <alignment horizontal="general" vertical="center" wrapText="1"/>
    </xf>
    <xf numFmtId="0" fontId="10" fillId="3" borderId="1" applyAlignment="1" pivotButton="0" quotePrefix="0" xfId="0">
      <alignment horizontal="general" vertical="bottom"/>
    </xf>
    <xf numFmtId="164" fontId="8" fillId="2" borderId="1" applyAlignment="1" pivotButton="0" quotePrefix="0" xfId="0">
      <alignment horizontal="center" vertical="center" wrapText="1"/>
    </xf>
    <xf numFmtId="164" fontId="14" fillId="0" borderId="1" applyAlignment="1" pivotButton="0" quotePrefix="0" xfId="0">
      <alignment horizontal="general" vertical="center" wrapText="1"/>
    </xf>
    <xf numFmtId="0" fontId="41" fillId="0" borderId="1" applyAlignment="1" pivotButton="0" quotePrefix="0" xfId="0">
      <alignment horizontal="general" vertical="bottom"/>
    </xf>
    <xf numFmtId="0" fontId="35" fillId="2" borderId="1" applyAlignment="1" pivotButton="0" quotePrefix="0" xfId="0">
      <alignment horizontal="general" vertical="center" wrapText="1"/>
    </xf>
    <xf numFmtId="0" fontId="43" fillId="0" borderId="1" applyAlignment="1" pivotButton="0" quotePrefix="0" xfId="0">
      <alignment horizontal="general" vertical="center" wrapText="1"/>
    </xf>
    <xf numFmtId="0" fontId="66" fillId="0" borderId="0" applyAlignment="1" pivotButton="0" quotePrefix="0" xfId="0">
      <alignment horizontal="general" vertical="center" wrapText="1"/>
    </xf>
    <xf numFmtId="0" fontId="8" fillId="0" borderId="1" applyAlignment="1" pivotButton="0" quotePrefix="0" xfId="0">
      <alignment horizontal="center" vertical="center"/>
    </xf>
    <xf numFmtId="166" fontId="14" fillId="6" borderId="1" applyAlignment="1" pivotButton="0" quotePrefix="0" xfId="0">
      <alignment horizontal="general" vertical="bottom"/>
    </xf>
    <xf numFmtId="0" fontId="21" fillId="0" borderId="1" applyAlignment="1" pivotButton="0" quotePrefix="0" xfId="0">
      <alignment horizontal="center" vertical="center"/>
    </xf>
    <xf numFmtId="0" fontId="11" fillId="2" borderId="1" applyAlignment="1" pivotButton="0" quotePrefix="0" xfId="0">
      <alignment horizontal="center" vertical="center" wrapText="1"/>
    </xf>
    <xf numFmtId="173" fontId="37" fillId="6" borderId="1" applyAlignment="1" pivotButton="0" quotePrefix="0" xfId="0">
      <alignment horizontal="center" vertical="center" wrapText="1"/>
    </xf>
    <xf numFmtId="164" fontId="37" fillId="6" borderId="1" applyAlignment="1" pivotButton="0" quotePrefix="0" xfId="0">
      <alignment horizontal="center" vertical="center" wrapText="1"/>
    </xf>
    <xf numFmtId="4" fontId="56" fillId="6" borderId="1" applyAlignment="1" pivotButton="0" quotePrefix="0" xfId="0">
      <alignment horizontal="center" vertical="center" wrapText="1"/>
    </xf>
    <xf numFmtId="164" fontId="14" fillId="2" borderId="1" applyAlignment="1" pivotButton="0" quotePrefix="0" xfId="0">
      <alignment horizontal="center" vertical="center" wrapText="1"/>
    </xf>
    <xf numFmtId="166" fontId="17" fillId="2" borderId="1" applyAlignment="1" pivotButton="0" quotePrefix="0" xfId="0">
      <alignment horizontal="center" vertical="center" wrapText="1"/>
    </xf>
    <xf numFmtId="0" fontId="11" fillId="2" borderId="1" applyAlignment="1" pivotButton="0" quotePrefix="0" xfId="0">
      <alignment horizontal="center" vertical="center"/>
    </xf>
    <xf numFmtId="165" fontId="39" fillId="6" borderId="1" applyAlignment="1" pivotButton="0" quotePrefix="0" xfId="0">
      <alignment horizontal="center" vertical="center" wrapText="1"/>
    </xf>
    <xf numFmtId="0" fontId="52" fillId="2" borderId="1" applyAlignment="1" pivotButton="0" quotePrefix="0" xfId="0">
      <alignment horizontal="center" vertical="center"/>
    </xf>
    <xf numFmtId="173" fontId="37" fillId="6" borderId="1" applyAlignment="1" pivotButton="0" quotePrefix="0" xfId="0">
      <alignment horizontal="general" vertical="bottom"/>
    </xf>
    <xf numFmtId="4" fontId="56" fillId="6" borderId="1" applyAlignment="1" pivotButton="0" quotePrefix="0" xfId="0">
      <alignment horizontal="general" vertical="bottom"/>
    </xf>
    <xf numFmtId="166" fontId="17" fillId="6" borderId="1" applyAlignment="1" pivotButton="0" quotePrefix="0" xfId="0">
      <alignment horizontal="general" vertical="bottom"/>
    </xf>
    <xf numFmtId="173" fontId="11" fillId="2" borderId="1" applyAlignment="1" pivotButton="0" quotePrefix="0" xfId="0">
      <alignment horizontal="general" vertical="bottom"/>
    </xf>
    <xf numFmtId="164" fontId="11" fillId="2" borderId="1" applyAlignment="1" pivotButton="0" quotePrefix="0" xfId="0">
      <alignment horizontal="general" vertical="bottom"/>
    </xf>
    <xf numFmtId="166" fontId="41" fillId="2" borderId="1" applyAlignment="1" pivotButton="0" quotePrefix="0" xfId="0">
      <alignment horizontal="general" vertical="bottom"/>
    </xf>
    <xf numFmtId="0" fontId="35" fillId="2" borderId="1" applyAlignment="1" pivotButton="0" quotePrefix="0" xfId="0">
      <alignment horizontal="center" vertical="center"/>
    </xf>
    <xf numFmtId="0" fontId="35" fillId="3" borderId="0" applyAlignment="1" pivotButton="0" quotePrefix="0" xfId="0">
      <alignment horizontal="general" vertical="center" wrapText="1"/>
    </xf>
    <xf numFmtId="4" fontId="14" fillId="0" borderId="1" applyAlignment="1" pivotButton="0" quotePrefix="0" xfId="0">
      <alignment horizontal="general" vertical="bottom"/>
    </xf>
    <xf numFmtId="4" fontId="19" fillId="0" borderId="1" applyAlignment="1" pivotButton="0" quotePrefix="0" xfId="0">
      <alignment horizontal="general" vertical="bottom"/>
    </xf>
    <xf numFmtId="0" fontId="8" fillId="2" borderId="1" applyAlignment="1" pivotButton="0" quotePrefix="0" xfId="0">
      <alignment horizontal="general" vertical="bottom"/>
    </xf>
    <xf numFmtId="1" fontId="8" fillId="2" borderId="1" applyAlignment="1" pivotButton="0" quotePrefix="0" xfId="0">
      <alignment horizontal="center" vertical="center"/>
    </xf>
    <xf numFmtId="0" fontId="18" fillId="0" borderId="0" applyAlignment="1" pivotButton="0" quotePrefix="0" xfId="0">
      <alignment horizontal="general" vertical="center" wrapText="1"/>
    </xf>
    <xf numFmtId="166" fontId="8" fillId="0" borderId="1" applyAlignment="1" pivotButton="0" quotePrefix="0" xfId="0">
      <alignment horizontal="general" vertical="bottom"/>
    </xf>
    <xf numFmtId="174" fontId="37" fillId="6" borderId="1" applyAlignment="1" pivotButton="0" quotePrefix="0" xfId="0">
      <alignment horizontal="general" vertical="bottom"/>
    </xf>
    <xf numFmtId="175" fontId="17" fillId="0" borderId="1" applyAlignment="1" pivotButton="0" quotePrefix="0" xfId="0">
      <alignment horizontal="center" vertical="center"/>
    </xf>
    <xf numFmtId="164" fontId="41" fillId="2" borderId="1" applyAlignment="1" pivotButton="0" quotePrefix="0" xfId="0">
      <alignment horizontal="general" vertical="center" wrapText="1"/>
    </xf>
    <xf numFmtId="0" fontId="41" fillId="0" borderId="0" applyAlignment="1" pivotButton="0" quotePrefix="0" xfId="0">
      <alignment horizontal="general" vertical="bottom"/>
    </xf>
    <xf numFmtId="0" fontId="11" fillId="0" borderId="0" applyAlignment="1" pivotButton="0" quotePrefix="0" xfId="0">
      <alignment horizontal="general" vertical="center" wrapText="1"/>
    </xf>
    <xf numFmtId="3" fontId="14" fillId="0" borderId="1" applyAlignment="1" pivotButton="0" quotePrefix="0" xfId="0">
      <alignment horizontal="general" vertical="bottom"/>
    </xf>
    <xf numFmtId="3" fontId="41" fillId="2" borderId="1" applyAlignment="1" pivotButton="0" quotePrefix="0" xfId="0">
      <alignment horizontal="general" vertical="bottom"/>
    </xf>
    <xf numFmtId="0" fontId="34" fillId="0" borderId="1" applyAlignment="1" pivotButton="0" quotePrefix="0" xfId="0">
      <alignment horizontal="general" vertical="bottom"/>
    </xf>
    <xf numFmtId="0" fontId="9" fillId="0" borderId="1" applyAlignment="1" pivotButton="0" quotePrefix="0" xfId="0">
      <alignment horizontal="general" vertical="bottom"/>
    </xf>
    <xf numFmtId="0" fontId="29" fillId="2" borderId="1" applyAlignment="1" pivotButton="0" quotePrefix="0" xfId="0">
      <alignment horizontal="center" vertical="center"/>
    </xf>
    <xf numFmtId="3" fontId="11" fillId="0" borderId="1" applyAlignment="1" pivotButton="0" quotePrefix="0" xfId="0">
      <alignment horizontal="general" vertical="bottom"/>
    </xf>
    <xf numFmtId="3" fontId="42" fillId="0" borderId="1" applyAlignment="1" pivotButton="0" quotePrefix="0" xfId="0">
      <alignment horizontal="general" vertical="bottom"/>
    </xf>
    <xf numFmtId="3" fontId="8" fillId="2" borderId="1" applyAlignment="1" pivotButton="0" quotePrefix="0" xfId="0">
      <alignment horizontal="general" vertical="bottom"/>
    </xf>
    <xf numFmtId="3" fontId="29" fillId="2" borderId="1" applyAlignment="1" pivotButton="0" quotePrefix="0" xfId="0">
      <alignment horizontal="general" vertical="bottom"/>
    </xf>
    <xf numFmtId="3" fontId="20" fillId="0" borderId="1" applyAlignment="1" pivotButton="0" quotePrefix="0" xfId="0">
      <alignment horizontal="general" vertical="bottom"/>
    </xf>
    <xf numFmtId="0" fontId="54" fillId="0" borderId="1" applyAlignment="1" pivotButton="0" quotePrefix="0" xfId="0">
      <alignment horizontal="general" vertical="bottom"/>
    </xf>
    <xf numFmtId="3" fontId="67" fillId="0" borderId="1" applyAlignment="1" pivotButton="0" quotePrefix="0" xfId="0">
      <alignment horizontal="general" vertical="bottom"/>
    </xf>
    <xf numFmtId="0" fontId="40" fillId="0" borderId="0" applyAlignment="1" pivotButton="0" quotePrefix="0" xfId="0">
      <alignment horizontal="general" vertical="center" wrapText="1"/>
    </xf>
    <xf numFmtId="0" fontId="64" fillId="0" borderId="0" applyAlignment="1" pivotButton="0" quotePrefix="0" xfId="0">
      <alignment horizontal="general" vertical="bottom"/>
    </xf>
    <xf numFmtId="0" fontId="61" fillId="7" borderId="0" applyAlignment="1" pivotButton="0" quotePrefix="0" xfId="0">
      <alignment horizontal="center" vertical="center"/>
    </xf>
    <xf numFmtId="4" fontId="39" fillId="0" borderId="0" applyAlignment="1" pivotButton="0" quotePrefix="0" xfId="0">
      <alignment horizontal="center" vertical="center"/>
    </xf>
    <xf numFmtId="4" fontId="68" fillId="0" borderId="0" applyAlignment="1" pivotButton="0" quotePrefix="0" xfId="0">
      <alignment horizontal="center" vertical="center"/>
    </xf>
    <xf numFmtId="0" fontId="39" fillId="0" borderId="0" applyAlignment="1" pivotButton="0" quotePrefix="0" xfId="0">
      <alignment horizontal="general" vertical="center" wrapText="1"/>
    </xf>
    <xf numFmtId="4" fontId="50" fillId="0" borderId="0" applyAlignment="1" pivotButton="0" quotePrefix="0" xfId="0">
      <alignment horizontal="center" vertical="center"/>
    </xf>
    <xf numFmtId="0" fontId="39" fillId="7" borderId="0" applyAlignment="1" pivotButton="0" quotePrefix="0" xfId="0">
      <alignment horizontal="general" vertical="bottom"/>
    </xf>
    <xf numFmtId="4" fontId="39" fillId="7" borderId="0" applyAlignment="1" pivotButton="0" quotePrefix="0" xfId="0">
      <alignment horizontal="center" vertical="center"/>
    </xf>
    <xf numFmtId="4" fontId="50" fillId="7" borderId="0" applyAlignment="1" pivotButton="0" quotePrefix="0" xfId="0">
      <alignment horizontal="center" vertical="center"/>
    </xf>
    <xf numFmtId="0" fontId="62" fillId="7" borderId="0" applyAlignment="1" pivotButton="0" quotePrefix="0" xfId="0">
      <alignment horizontal="general" vertical="bottom"/>
    </xf>
    <xf numFmtId="4" fontId="62" fillId="7" borderId="0" applyAlignment="1" pivotButton="0" quotePrefix="0" xfId="0">
      <alignment horizontal="center" vertical="center"/>
    </xf>
    <xf numFmtId="4" fontId="64" fillId="7" borderId="0" applyAlignment="1" pivotButton="0" quotePrefix="0" xfId="0">
      <alignment horizontal="center" vertical="center"/>
    </xf>
    <xf numFmtId="0" fontId="63" fillId="0" borderId="0" applyAlignment="1" pivotButton="0" quotePrefix="0" xfId="0">
      <alignment horizontal="general" vertical="bottom"/>
    </xf>
    <xf numFmtId="0" fontId="61" fillId="0" borderId="0" applyAlignment="1" pivotButton="0" quotePrefix="0" xfId="0">
      <alignment horizontal="general" vertical="bottom"/>
    </xf>
    <xf numFmtId="4" fontId="44" fillId="0" borderId="0" applyAlignment="1" pivotButton="0" quotePrefix="0" xfId="0">
      <alignment horizontal="center" vertical="center"/>
    </xf>
    <xf numFmtId="4" fontId="68" fillId="7" borderId="0" applyAlignment="1" pivotButton="0" quotePrefix="0" xfId="0">
      <alignment horizontal="center" vertical="center"/>
    </xf>
    <xf numFmtId="0" fontId="40" fillId="0" borderId="0" applyAlignment="1" pivotButton="0" quotePrefix="0" xfId="0">
      <alignment horizontal="general" vertical="bottom"/>
    </xf>
    <xf numFmtId="0" fontId="62" fillId="7" borderId="0" applyAlignment="1" pivotButton="0" quotePrefix="0" xfId="0">
      <alignment horizontal="center" vertical="center"/>
    </xf>
    <xf numFmtId="0" fontId="64" fillId="7" borderId="0" applyAlignment="1" pivotButton="0" quotePrefix="0" xfId="0">
      <alignment horizontal="center" vertical="center"/>
    </xf>
    <xf numFmtId="4" fontId="61" fillId="0" borderId="0" applyAlignment="1" pivotButton="0" quotePrefix="0" xfId="0">
      <alignment horizontal="center" vertical="center"/>
    </xf>
    <xf numFmtId="0" fontId="39" fillId="0" borderId="0" applyAlignment="1" pivotButton="0" quotePrefix="0" xfId="0">
      <alignment horizontal="center" vertical="center"/>
    </xf>
    <xf numFmtId="0" fontId="68" fillId="0" borderId="0" applyAlignment="1" pivotButton="0" quotePrefix="0" xfId="0">
      <alignment horizontal="center" vertical="center"/>
    </xf>
    <xf numFmtId="0" fontId="69" fillId="0" borderId="0" applyAlignment="1" pivotButton="0" quotePrefix="0" xfId="0">
      <alignment horizontal="center" vertical="center"/>
    </xf>
    <xf numFmtId="0" fontId="70" fillId="0" borderId="0" applyAlignment="1" pivotButton="0" quotePrefix="0" xfId="0">
      <alignment horizontal="general" vertical="bottom"/>
    </xf>
    <xf numFmtId="0" fontId="71" fillId="0" borderId="0" applyAlignment="1" pivotButton="0" quotePrefix="0" xfId="0">
      <alignment horizontal="center" vertical="center"/>
    </xf>
    <xf numFmtId="1" fontId="42" fillId="0" borderId="1" applyAlignment="1" pivotButton="0" quotePrefix="0" xfId="0">
      <alignment horizontal="general" vertical="bottom"/>
    </xf>
    <xf numFmtId="164" fontId="8" fillId="0" borderId="1" applyAlignment="1" pivotButton="0" quotePrefix="0" xfId="0">
      <alignment horizontal="center" vertical="center"/>
    </xf>
    <xf numFmtId="0" fontId="19" fillId="0" borderId="1" applyAlignment="1" pivotButton="0" quotePrefix="0" xfId="0">
      <alignment horizontal="left" vertical="center" wrapText="1"/>
    </xf>
    <xf numFmtId="0" fontId="35" fillId="0" borderId="0" applyAlignment="1" pivotButton="0" quotePrefix="0" xfId="0">
      <alignment horizontal="general" vertical="bottom"/>
    </xf>
    <xf numFmtId="0" fontId="42" fillId="0" borderId="1" applyAlignment="1" pivotButton="0" quotePrefix="0" xfId="0">
      <alignment horizontal="general" vertical="bottom"/>
    </xf>
    <xf numFmtId="164" fontId="15" fillId="0" borderId="1" applyAlignment="1" pivotButton="0" quotePrefix="0" xfId="0">
      <alignment horizontal="general" vertical="bottom"/>
    </xf>
    <xf numFmtId="0" fontId="72" fillId="0" borderId="0" applyAlignment="1" pivotButton="0" quotePrefix="0" xfId="0">
      <alignment horizontal="general" vertical="bottom"/>
    </xf>
    <xf numFmtId="4" fontId="73" fillId="0" borderId="1" applyAlignment="1" pivotButton="0" quotePrefix="0" xfId="0">
      <alignment horizontal="general" vertical="bottom"/>
    </xf>
    <xf numFmtId="2" fontId="20" fillId="0" borderId="1" applyAlignment="1" pivotButton="0" quotePrefix="0" xfId="0">
      <alignment horizontal="center" vertical="center"/>
    </xf>
    <xf numFmtId="0" fontId="75" fillId="0" borderId="1" applyAlignment="1" pivotButton="0" quotePrefix="0" xfId="0">
      <alignment horizontal="general" vertical="bottom"/>
    </xf>
    <xf numFmtId="164" fontId="17" fillId="3" borderId="1" applyAlignment="1" pivotButton="0" quotePrefix="0" xfId="0">
      <alignment horizontal="general" vertical="bottom"/>
    </xf>
    <xf numFmtId="2" fontId="20" fillId="3" borderId="1" applyAlignment="1" pivotButton="0" quotePrefix="0" xfId="0">
      <alignment horizontal="center" vertical="center"/>
    </xf>
    <xf numFmtId="0" fontId="14" fillId="3" borderId="1" applyAlignment="1" pivotButton="0" quotePrefix="0" xfId="0">
      <alignment horizontal="center" vertical="center"/>
    </xf>
    <xf numFmtId="4" fontId="17" fillId="2" borderId="1" applyAlignment="1" pivotButton="0" quotePrefix="0" xfId="0">
      <alignment horizontal="center" vertical="center" wrapText="1"/>
    </xf>
    <xf numFmtId="2" fontId="20" fillId="2" borderId="1" applyAlignment="1" pivotButton="0" quotePrefix="0" xfId="0">
      <alignment horizontal="center" vertical="center"/>
    </xf>
    <xf numFmtId="0" fontId="14" fillId="2" borderId="1" applyAlignment="1" pivotButton="0" quotePrefix="0" xfId="0">
      <alignment horizontal="center" vertical="center"/>
    </xf>
    <xf numFmtId="0" fontId="15" fillId="2" borderId="1" applyAlignment="1" pivotButton="0" quotePrefix="0" xfId="0">
      <alignment horizontal="general" vertical="center" wrapText="1"/>
    </xf>
    <xf numFmtId="1" fontId="20" fillId="0" borderId="1" applyAlignment="1" pivotButton="0" quotePrefix="0" xfId="0">
      <alignment horizontal="center" vertical="center"/>
    </xf>
    <xf numFmtId="0" fontId="20" fillId="0" borderId="1" applyAlignment="1" pivotButton="0" quotePrefix="0" xfId="0">
      <alignment horizontal="general" vertical="bottom"/>
    </xf>
    <xf numFmtId="165" fontId="20" fillId="0" borderId="1" applyAlignment="1" pivotButton="0" quotePrefix="0" xfId="0">
      <alignment horizontal="general" vertical="bottom"/>
    </xf>
    <xf numFmtId="0" fontId="43" fillId="0" borderId="1" applyAlignment="1" pivotButton="0" quotePrefix="0" xfId="0">
      <alignment horizontal="general" vertical="bottom"/>
    </xf>
    <xf numFmtId="0" fontId="20" fillId="0" borderId="1" applyAlignment="1" pivotButton="0" quotePrefix="0" xfId="0">
      <alignment vertical="top" wrapText="1"/>
    </xf>
    <xf numFmtId="0" fontId="6" fillId="0" borderId="0"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65" fontId="1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0">
    <dxf>
      <font>
        <name val="Arial"/>
        <charset val="1"/>
        <family val="0"/>
        <b val="1"/>
        <color rgb="FFB4232B"/>
        <sz val="10"/>
      </font>
    </dxf>
    <dxf>
      <fill>
        <patternFill>
          <bgColor rgb="FF1B7F5A"/>
        </patternFill>
      </fill>
    </dxf>
    <dxf>
      <fill>
        <patternFill>
          <bgColor rgb="FFB8860B"/>
        </patternFill>
      </fill>
    </dxf>
    <dxf>
      <fill>
        <patternFill>
          <bgColor rgb="FFC2410C"/>
        </patternFill>
      </fill>
    </dxf>
    <dxf>
      <font>
        <name val="Arial"/>
        <charset val="1"/>
        <family val="0"/>
        <b val="1"/>
        <color rgb="FFB4232B"/>
        <sz val="9"/>
      </font>
    </dxf>
    <dxf>
      <font>
        <name val="Arial"/>
        <charset val="1"/>
        <family val="0"/>
        <b val="1"/>
        <color rgb="FFC2410C"/>
        <sz val="9"/>
      </font>
    </dxf>
    <dxf>
      <font>
        <name val="Arial"/>
        <charset val="1"/>
        <family val="0"/>
        <b val="1"/>
        <color rgb="FFB8860B"/>
        <sz val="9"/>
      </font>
    </dxf>
    <dxf>
      <fill>
        <patternFill patternType="solid">
          <fgColor rgb="FF10213A"/>
          <bgColor rgb="FF000000"/>
        </patternFill>
      </fill>
    </dxf>
    <dxf>
      <fill>
        <patternFill patternType="solid">
          <fgColor rgb="FFF6F8FB"/>
          <bgColor rgb="FF000000"/>
        </patternFill>
      </fill>
    </dxf>
    <dxf>
      <fill>
        <patternFill patternType="solid">
          <fgColor rgb="FFFFF6D6"/>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8000"/>
          <bgColor rgb="FF000000"/>
        </patternFill>
      </fill>
    </dxf>
    <dxf>
      <fill>
        <patternFill patternType="solid">
          <bgColor rgb="FF000000"/>
        </patternFill>
      </fill>
    </dxf>
    <dxf>
      <fill>
        <patternFill patternType="solid">
          <fgColor rgb="FFB4232B"/>
          <bgColor rgb="FF000000"/>
        </patternFill>
      </fill>
    </dxf>
    <dxf>
      <fill>
        <patternFill patternType="solid">
          <fgColor rgb="FF000000"/>
          <bgColor rgb="FF000000"/>
        </patternFill>
      </fill>
    </dxf>
    <dxf>
      <fill>
        <patternFill patternType="solid">
          <fgColor rgb="FF5B6B80"/>
          <bgColor rgb="FF000000"/>
        </patternFill>
      </fill>
    </dxf>
    <dxf>
      <fill>
        <patternFill patternType="solid">
          <fgColor rgb="FF0A1526"/>
          <bgColor rgb="FF000000"/>
        </patternFill>
      </fill>
    </dxf>
    <dxf>
      <fill>
        <patternFill patternType="solid">
          <fgColor rgb="FF3FB984"/>
          <bgColor rgb="FF000000"/>
        </patternFill>
      </fill>
    </dxf>
    <dxf>
      <fill>
        <patternFill patternType="solid">
          <fgColor rgb="FF1B7F5A"/>
          <bgColor rgb="FF000000"/>
        </patternFill>
      </fill>
    </dxf>
    <dxf>
      <font>
        <name val="Arial"/>
        <charset val="1"/>
        <family val="0"/>
        <b val="1"/>
        <color rgb="FF1B7F5A"/>
        <sz val="9"/>
      </font>
    </dxf>
    <dxf>
      <font>
        <name val="Arial"/>
        <charset val="1"/>
        <family val="0"/>
        <b val="1"/>
        <color rgb="FF1B7F5A"/>
        <sz val="10"/>
      </font>
    </dxf>
    <dxf>
      <font>
        <name val="Arial"/>
        <charset val="1"/>
        <family val="0"/>
        <b val="1"/>
        <color rgb="FFB4232B"/>
        <sz val="8"/>
      </font>
    </dxf>
    <dxf>
      <font>
        <name val="Arial"/>
        <charset val="1"/>
        <family val="0"/>
        <b val="1"/>
        <color rgb="FF1B7F5A"/>
        <sz val="8"/>
      </font>
    </dxf>
    <dxf>
      <font>
        <name val="Arial"/>
        <charset val="1"/>
        <family val="0"/>
        <b val="1"/>
        <color rgb="FFC2410C"/>
        <sz val="8"/>
      </font>
    </dxf>
    <dxf>
      <font>
        <name val="Arial"/>
        <charset val="1"/>
        <family val="0"/>
        <b val="1"/>
        <color rgb="FFC6A15B"/>
        <sz val="8"/>
      </font>
    </dxf>
    <dxf>
      <font>
        <name val="Arial"/>
        <charset val="1"/>
        <family val="0"/>
        <b val="1"/>
        <color rgb="FFB4232B"/>
        <sz val="11"/>
      </font>
    </dxf>
    <dxf>
      <font>
        <name val="Arial"/>
        <charset val="1"/>
        <family val="0"/>
        <b val="1"/>
        <color rgb="FFC2410C"/>
        <sz val="11"/>
      </font>
    </dxf>
    <dxf>
      <font>
        <name val="Arial"/>
        <charset val="1"/>
        <family val="0"/>
        <b val="1"/>
        <color rgb="FF1B7F5A"/>
        <sz val="11"/>
      </font>
    </dxf>
    <dxf>
      <font>
        <name val="Arial"/>
        <charset val="1"/>
        <family val="0"/>
        <b val="1"/>
        <color rgb="FFC2410C"/>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1B7F5A"/>
      <rgbColor rgb="FFB8CD97"/>
      <rgbColor rgb="FF878787"/>
      <rgbColor rgb="FF93A9CE"/>
      <rgbColor rgb="FFAB4744"/>
      <rgbColor rgb="FFFFF6D6"/>
      <rgbColor rgb="FFF6F8FB"/>
      <rgbColor rgb="FF660066"/>
      <rgbColor rgb="FFDC853E"/>
      <rgbColor rgb="FF4672A8"/>
      <rgbColor rgb="FFD8DEE7"/>
      <rgbColor rgb="FF000080"/>
      <rgbColor rgb="FFFF00FF"/>
      <rgbColor rgb="FFFFFF00"/>
      <rgbColor rgb="FF00FFFF"/>
      <rgbColor rgb="FF800080"/>
      <rgbColor rgb="FF800000"/>
      <rgbColor rgb="FF4F81BD"/>
      <rgbColor rgb="FF0000FF"/>
      <rgbColor rgb="FF3FB984"/>
      <rgbColor rgb="FFFDF2F2"/>
      <rgbColor rgb="FFF4EFE4"/>
      <rgbColor rgb="FFFFFF99"/>
      <rgbColor rgb="FF99CCFF"/>
      <rgbColor rgb="FFD09493"/>
      <rgbColor rgb="FF8064A2"/>
      <rgbColor rgb="FFD9D9D9"/>
      <rgbColor rgb="FF4A7EBB"/>
      <rgbColor rgb="FF4BACC6"/>
      <rgbColor rgb="FF9BBB59"/>
      <rgbColor rgb="FFC6A15B"/>
      <rgbColor rgb="FFF79646"/>
      <rgbColor rgb="FFC2410C"/>
      <rgbColor rgb="FF5B6B80"/>
      <rgbColor rgb="FF8AA64F"/>
      <rgbColor rgb="FF10213A"/>
      <rgbColor rgb="FF4299B0"/>
      <rgbColor rgb="FF0A1526"/>
      <rgbColor rgb="FF333300"/>
      <rgbColor rgb="FFB4232B"/>
      <rgbColor rgb="FFC0504D"/>
      <rgbColor rgb="FF725990"/>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Spending by category</a:t>
            </a:r>
          </a:p>
        </rich>
      </tx>
      <overlay val="0"/>
      <spPr>
        <a:noFill/>
        <a:ln w="0">
          <a:noFill/>
          <a:prstDash val="solid"/>
        </a:ln>
      </spPr>
    </title>
    <plotArea>
      <pieChart>
        <varyColors val="1"/>
        <ser>
          <idx val="0"/>
          <order val="0"/>
          <tx>
            <strRef>
              <f>'Spending Breakdown'!I6</f>
              <strCache>
                <ptCount val="1"/>
                <pt idx="0">
                  <v>Amount</v>
                </pt>
              </strCache>
            </strRef>
          </tx>
          <spPr>
            <a:solidFill>
              <a:srgbClr val="4f81bd"/>
            </a:solidFill>
            <a:ln w="0">
              <a:noFill/>
              <a:prstDash val="solid"/>
            </a:ln>
          </spPr>
          <explosion val="0"/>
          <dPt>
            <idx val="0"/>
            <spPr>
              <a:solidFill>
                <a:srgbClr val="4672a8"/>
              </a:solidFill>
              <a:ln w="0">
                <a:noFill/>
                <a:prstDash val="solid"/>
              </a:ln>
            </spPr>
          </dPt>
          <dPt>
            <idx val="1"/>
            <spPr>
              <a:solidFill>
                <a:srgbClr val="ab4744"/>
              </a:solidFill>
              <a:ln w="0">
                <a:noFill/>
                <a:prstDash val="solid"/>
              </a:ln>
            </spPr>
          </dPt>
          <dPt>
            <idx val="2"/>
            <spPr>
              <a:solidFill>
                <a:srgbClr val="8aa64f"/>
              </a:solidFill>
              <a:ln w="0">
                <a:noFill/>
                <a:prstDash val="solid"/>
              </a:ln>
            </spPr>
          </dPt>
          <dPt>
            <idx val="3"/>
            <spPr>
              <a:solidFill>
                <a:srgbClr val="725990"/>
              </a:solidFill>
              <a:ln w="0">
                <a:noFill/>
                <a:prstDash val="solid"/>
              </a:ln>
            </spPr>
          </dPt>
          <dPt>
            <idx val="4"/>
            <spPr>
              <a:solidFill>
                <a:srgbClr val="4299b0"/>
              </a:solidFill>
              <a:ln w="0">
                <a:noFill/>
                <a:prstDash val="solid"/>
              </a:ln>
            </spPr>
          </dPt>
          <dPt>
            <idx val="5"/>
            <spPr>
              <a:solidFill>
                <a:srgbClr val="dc853e"/>
              </a:solidFill>
              <a:ln w="0">
                <a:noFill/>
                <a:prstDash val="solid"/>
              </a:ln>
            </spPr>
          </dPt>
          <dPt>
            <idx val="6"/>
            <spPr>
              <a:solidFill>
                <a:srgbClr val="93a9ce"/>
              </a:solidFill>
              <a:ln w="0">
                <a:noFill/>
                <a:prstDash val="solid"/>
              </a:ln>
            </spPr>
          </dPt>
          <dPt>
            <idx val="7"/>
            <spPr>
              <a:solidFill>
                <a:srgbClr val="d09493"/>
              </a:solidFill>
              <a:ln w="0">
                <a:noFill/>
                <a:prstDash val="solid"/>
              </a:ln>
            </spPr>
          </dPt>
          <dPt>
            <idx val="8"/>
            <spPr>
              <a:solidFill>
                <a:srgbClr val="b8cd97"/>
              </a:solidFill>
              <a:ln w="0">
                <a:noFill/>
                <a:prstDash val="solid"/>
              </a:ln>
            </spPr>
          </dPt>
          <dLbls>
            <dLbl>
              <idx val="0"/>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dLbl>
              <idx val="1"/>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dLbl>
              <idx val="2"/>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dLbl>
              <idx val="3"/>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dLbl>
              <idx val="4"/>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dLbl>
              <idx val="5"/>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dLbl>
              <idx val="6"/>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dLbl>
              <idx val="7"/>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dLbl>
              <idx val="8"/>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dLbl>
            <txPr>
              <a:bodyPr wrap="square"/>
              <a:lstStyle/>
              <a:p>
                <a:pPr>
                  <a:defRPr sz="1000" b="0" strike="noStrike" spc="-1">
                    <a:solidFill>
                      <a:srgbClr val="000000"/>
                    </a:solidFill>
                    <a:latin typeface="Arial"/>
                  </a:defRPr>
                </a:pPr>
                <a:r>
                  <a:t>None</a:t>
                </a:r>
              </a:p>
            </txPr>
            <dLblPos val="bestFit"/>
            <showLegendKey val="0"/>
            <showVal val="0"/>
            <showCatName val="0"/>
            <showSerName val="0"/>
            <showPercent val="0"/>
            <showLeaderLines val="1"/>
          </dLbls>
          <cat>
            <strRef>
              <f>'Spending Breakdown'!$H$7:$H$15</f>
              <strCache>
                <ptCount val="9"/>
                <pt idx="0">
                  <v>Travel &amp; Airfare</v>
                </pt>
                <pt idx="1">
                  <v>Utilities</v>
                </pt>
                <pt idx="2">
                  <v>Lifestyle</v>
                </pt>
                <pt idx="3">
                  <v>Food &amp; Dining</v>
                </pt>
                <pt idx="4">
                  <v>Family Support</v>
                </pt>
                <pt idx="5">
                  <v>Groceries</v>
                </pt>
                <pt idx="6">
                  <v>Transport</v>
                </pt>
                <pt idx="7">
                  <v>Household Other</v>
                </pt>
                <pt idx="8">
                  <v>Entertainment</v>
                </pt>
              </strCache>
            </strRef>
          </cat>
          <val>
            <numRef>
              <f>'Spending Breakdown'!$I$7:$I$15</f>
              <numCache>
                <formatCode>#,##0.00;\(#,##0.00\);\–</formatCode>
                <ptCount val="9"/>
                <pt idx="0">
                  <v>1430</v>
                </pt>
                <pt idx="1">
                  <v>914.9299999999999</v>
                </pt>
                <pt idx="2">
                  <v>549.75</v>
                </pt>
                <pt idx="3">
                  <v>306.52</v>
                </pt>
                <pt idx="4">
                  <v>100</v>
                </pt>
                <pt idx="5">
                  <v>77.75</v>
                </pt>
                <pt idx="6">
                  <v>70</v>
                </pt>
                <pt idx="7">
                  <v>22.97</v>
                </pt>
                <pt idx="8">
                  <v>20</v>
                </pt>
              </numCache>
            </numRef>
          </val>
        </ser>
        <firstSliceAng val="0"/>
      </pieChart>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Category totals (AED)</a:t>
            </a:r>
          </a:p>
        </rich>
      </tx>
      <overlay val="0"/>
      <spPr>
        <a:noFill/>
        <a:ln w="0">
          <a:noFill/>
          <a:prstDash val="solid"/>
        </a:ln>
      </spPr>
    </title>
    <plotArea>
      <barChart>
        <barDir val="bar"/>
        <grouping val="clustered"/>
        <varyColors val="0"/>
        <ser>
          <idx val="0"/>
          <order val="0"/>
          <tx>
            <strRef>
              <f>'Spending Breakdown'!I6</f>
              <strCache>
                <ptCount val="1"/>
                <pt idx="0">
                  <v>Amount</v>
                </pt>
              </strCache>
            </strRef>
          </tx>
          <spPr>
            <a:solidFill>
              <a:srgbClr val="4f81b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'Spending Breakdown'!$H$7:$H$15</f>
              <strCache>
                <ptCount val="9"/>
                <pt idx="0">
                  <v>Travel &amp; Airfare</v>
                </pt>
                <pt idx="1">
                  <v>Utilities</v>
                </pt>
                <pt idx="2">
                  <v>Lifestyle</v>
                </pt>
                <pt idx="3">
                  <v>Food &amp; Dining</v>
                </pt>
                <pt idx="4">
                  <v>Family Support</v>
                </pt>
                <pt idx="5">
                  <v>Groceries</v>
                </pt>
                <pt idx="6">
                  <v>Transport</v>
                </pt>
                <pt idx="7">
                  <v>Household Other</v>
                </pt>
                <pt idx="8">
                  <v>Entertainment</v>
                </pt>
              </strCache>
            </strRef>
          </cat>
          <val>
            <numRef>
              <f>'Spending Breakdown'!$I$7:$I$15</f>
              <numCache>
                <formatCode>#,##0.00;\(#,##0.00\);\–</formatCode>
                <ptCount val="9"/>
                <pt idx="0">
                  <v>1430</v>
                </pt>
                <pt idx="1">
                  <v>914.9299999999999</v>
                </pt>
                <pt idx="2">
                  <v>549.75</v>
                </pt>
                <pt idx="3">
                  <v>306.52</v>
                </pt>
                <pt idx="4">
                  <v>100</v>
                </pt>
                <pt idx="5">
                  <v>77.75</v>
                </pt>
                <pt idx="6">
                  <v>70</v>
                </pt>
                <pt idx="7">
                  <v>22.97</v>
                </pt>
                <pt idx="8">
                  <v>20</v>
                </pt>
              </numCache>
            </numRef>
          </val>
        </ser>
        <gapWidth val="150"/>
        <overlap val="0"/>
        <axId val="65721274"/>
        <axId val="75846126"/>
      </barChart>
      <catAx>
        <axId val="65721274"/>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75846126"/>
        <crosses val="autoZero"/>
        <auto val="1"/>
        <lblAlgn val="ctr"/>
        <lblOffset val="100"/>
        <noMultiLvlLbl val="0"/>
      </catAx>
      <valAx>
        <axId val="75846126"/>
        <scaling>
          <orientation val="minMax"/>
        </scaling>
        <delete val="0"/>
        <axPos val="l"/>
        <majorGridlines>
          <spPr>
            <a:ln w="9360">
              <a:solidFill>
                <a:srgbClr val="878787"/>
              </a:solidFill>
              <a:prstDash val="solid"/>
              <a:round/>
            </a:ln>
          </spPr>
        </majorGridlines>
        <numFmt formatCode="#,##0.0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65721274"/>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Income vs Expenses by month</a:t>
            </a:r>
          </a:p>
        </rich>
      </tx>
      <overlay val="0"/>
      <spPr>
        <a:noFill/>
        <a:ln w="0">
          <a:noFill/>
          <a:prstDash val="solid"/>
        </a:ln>
      </spPr>
    </title>
    <plotArea>
      <barChart>
        <barDir val="col"/>
        <grouping val="clustered"/>
        <varyColors val="0"/>
        <ser>
          <idx val="0"/>
          <order val="0"/>
          <tx>
            <strRef>
              <f>'Monthly History'!B6</f>
              <strCache>
                <ptCount val="1"/>
                <pt idx="0">
                  <v>Income</v>
                </pt>
              </strCache>
            </strRef>
          </tx>
          <spPr>
            <a:solidFill>
              <a:srgbClr val="4f81b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'Monthly History'!$A$7:$A$18</f>
              <strCache>
                <ptCount val="12"/>
                <pt idx="0">
                  <v>2026-07</v>
                </pt>
                <pt idx="1">
                  <v>2026-08</v>
                </pt>
                <pt idx="2">
                  <v>2026-09</v>
                </pt>
                <pt idx="3">
                  <v>2026-10</v>
                </pt>
                <pt idx="4">
                  <v>2026-11</v>
                </pt>
                <pt idx="5">
                  <v>2026-12</v>
                </pt>
                <pt idx="6">
                  <v>2027-01</v>
                </pt>
                <pt idx="7">
                  <v>2027-02</v>
                </pt>
                <pt idx="8">
                  <v>2027-03</v>
                </pt>
                <pt idx="9">
                  <v>2027-04</v>
                </pt>
                <pt idx="10">
                  <v>2027-05</v>
                </pt>
                <pt idx="11">
                  <v>2027-06</v>
                </pt>
              </strCache>
            </strRef>
          </cat>
          <val>
            <numRef>
              <f>'Monthly History'!$B$7:$B$18</f>
              <numCache>
                <formatCode>#,##0.00;\(#,##0.00\);\–</formatCode>
                <ptCount val="12"/>
                <pt idx="0">
                  <v>0</v>
                </pt>
                <pt idx="1">
                  <v>11466.7</v>
                </pt>
                <pt idx="2">
                  <v>0</v>
                </pt>
                <pt idx="3">
                  <v>0</v>
                </pt>
                <pt idx="4">
                  <v>0</v>
                </pt>
                <pt idx="5">
                  <v>0</v>
                </pt>
                <pt idx="6">
                  <v>0</v>
                </pt>
                <pt idx="7">
                  <v>0</v>
                </pt>
                <pt idx="8">
                  <v>0</v>
                </pt>
                <pt idx="9">
                  <v>0</v>
                </pt>
                <pt idx="10">
                  <v>0</v>
                </pt>
                <pt idx="11">
                  <v>0</v>
                </pt>
              </numCache>
            </numRef>
          </val>
        </ser>
        <ser>
          <idx val="1"/>
          <order val="1"/>
          <tx>
            <strRef>
              <f>'Monthly History'!C6</f>
              <strCache>
                <ptCount val="1"/>
                <pt idx="0">
                  <v>Expenses</v>
                </pt>
              </strCache>
            </strRef>
          </tx>
          <spPr>
            <a:solidFill>
              <a:srgbClr val="c0504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'Monthly History'!$A$7:$A$18</f>
              <strCache>
                <ptCount val="12"/>
                <pt idx="0">
                  <v>2026-07</v>
                </pt>
                <pt idx="1">
                  <v>2026-08</v>
                </pt>
                <pt idx="2">
                  <v>2026-09</v>
                </pt>
                <pt idx="3">
                  <v>2026-10</v>
                </pt>
                <pt idx="4">
                  <v>2026-11</v>
                </pt>
                <pt idx="5">
                  <v>2026-12</v>
                </pt>
                <pt idx="6">
                  <v>2027-01</v>
                </pt>
                <pt idx="7">
                  <v>2027-02</v>
                </pt>
                <pt idx="8">
                  <v>2027-03</v>
                </pt>
                <pt idx="9">
                  <v>2027-04</v>
                </pt>
                <pt idx="10">
                  <v>2027-05</v>
                </pt>
                <pt idx="11">
                  <v>2027-06</v>
                </pt>
              </strCache>
            </strRef>
          </cat>
          <val>
            <numRef>
              <f>'Monthly History'!$C$7:$C$18</f>
              <numCache>
                <formatCode>#,##0.00;\(#,##0.00\);\–</formatCode>
                <ptCount val="12"/>
                <pt idx="0">
                  <v>0</v>
                </pt>
                <pt idx="1">
                  <v>7587.65</v>
                </pt>
                <pt idx="2">
                  <v>0</v>
                </pt>
                <pt idx="3">
                  <v>0</v>
                </pt>
                <pt idx="4">
                  <v>0</v>
                </pt>
                <pt idx="5">
                  <v>0</v>
                </pt>
                <pt idx="6">
                  <v>0</v>
                </pt>
                <pt idx="7">
                  <v>0</v>
                </pt>
                <pt idx="8">
                  <v>0</v>
                </pt>
                <pt idx="9">
                  <v>0</v>
                </pt>
                <pt idx="10">
                  <v>0</v>
                </pt>
                <pt idx="11">
                  <v>0</v>
                </pt>
              </numCache>
            </numRef>
          </val>
        </ser>
        <gapWidth val="150"/>
        <overlap val="0"/>
        <axId val="33109604"/>
        <axId val="39241202"/>
      </barChart>
      <catAx>
        <axId val="33109604"/>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39241202"/>
        <crosses val="autoZero"/>
        <auto val="1"/>
        <lblAlgn val="ctr"/>
        <lblOffset val="100"/>
        <noMultiLvlLbl val="0"/>
      </catAx>
      <valAx>
        <axId val="39241202"/>
        <scaling>
          <orientation val="minMax"/>
        </scaling>
        <delete val="0"/>
        <axPos val="l"/>
        <majorGridlines>
          <spPr>
            <a:ln w="9360">
              <a:solidFill>
                <a:srgbClr val="878787"/>
              </a:solidFill>
              <a:prstDash val="solid"/>
              <a:round/>
            </a:ln>
          </spPr>
        </majorGridlines>
        <numFmt formatCode="#,##0.0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33109604"/>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Household vs Personal spending</a:t>
            </a:r>
          </a:p>
        </rich>
      </tx>
      <overlay val="0"/>
      <spPr>
        <a:noFill/>
        <a:ln w="0">
          <a:noFill/>
          <a:prstDash val="solid"/>
        </a:ln>
      </spPr>
    </title>
    <plotArea>
      <barChart>
        <barDir val="col"/>
        <grouping val="clustered"/>
        <varyColors val="0"/>
        <ser>
          <idx val="0"/>
          <order val="0"/>
          <tx>
            <strRef>
              <f>'Monthly History'!D6</f>
              <strCache>
                <ptCount val="1"/>
                <pt idx="0">
                  <v>Household</v>
                </pt>
              </strCache>
            </strRef>
          </tx>
          <spPr>
            <a:solidFill>
              <a:srgbClr val="4f81b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'Monthly History'!$A$7:$A$18</f>
              <strCache>
                <ptCount val="12"/>
                <pt idx="0">
                  <v>2026-07</v>
                </pt>
                <pt idx="1">
                  <v>2026-08</v>
                </pt>
                <pt idx="2">
                  <v>2026-09</v>
                </pt>
                <pt idx="3">
                  <v>2026-10</v>
                </pt>
                <pt idx="4">
                  <v>2026-11</v>
                </pt>
                <pt idx="5">
                  <v>2026-12</v>
                </pt>
                <pt idx="6">
                  <v>2027-01</v>
                </pt>
                <pt idx="7">
                  <v>2027-02</v>
                </pt>
                <pt idx="8">
                  <v>2027-03</v>
                </pt>
                <pt idx="9">
                  <v>2027-04</v>
                </pt>
                <pt idx="10">
                  <v>2027-05</v>
                </pt>
                <pt idx="11">
                  <v>2027-06</v>
                </pt>
              </strCache>
            </strRef>
          </cat>
          <val>
            <numRef>
              <f>'Monthly History'!$D$7:$D$18</f>
              <numCache>
                <formatCode>#,##0.00;\(#,##0.00\);\–</formatCode>
                <ptCount val="12"/>
                <pt idx="0">
                  <v>0</v>
                </pt>
                <pt idx="1">
                  <v>6028.4</v>
                </pt>
                <pt idx="2">
                  <v>0</v>
                </pt>
                <pt idx="3">
                  <v>0</v>
                </pt>
                <pt idx="4">
                  <v>0</v>
                </pt>
                <pt idx="5">
                  <v>0</v>
                </pt>
                <pt idx="6">
                  <v>0</v>
                </pt>
                <pt idx="7">
                  <v>0</v>
                </pt>
                <pt idx="8">
                  <v>0</v>
                </pt>
                <pt idx="9">
                  <v>0</v>
                </pt>
                <pt idx="10">
                  <v>0</v>
                </pt>
                <pt idx="11">
                  <v>0</v>
                </pt>
              </numCache>
            </numRef>
          </val>
        </ser>
        <ser>
          <idx val="1"/>
          <order val="1"/>
          <tx>
            <strRef>
              <f>'Monthly History'!E6</f>
              <strCache>
                <ptCount val="1"/>
                <pt idx="0">
                  <v>Personal</v>
                </pt>
              </strCache>
            </strRef>
          </tx>
          <spPr>
            <a:solidFill>
              <a:srgbClr val="c0504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'Monthly History'!$A$7:$A$18</f>
              <strCache>
                <ptCount val="12"/>
                <pt idx="0">
                  <v>2026-07</v>
                </pt>
                <pt idx="1">
                  <v>2026-08</v>
                </pt>
                <pt idx="2">
                  <v>2026-09</v>
                </pt>
                <pt idx="3">
                  <v>2026-10</v>
                </pt>
                <pt idx="4">
                  <v>2026-11</v>
                </pt>
                <pt idx="5">
                  <v>2026-12</v>
                </pt>
                <pt idx="6">
                  <v>2027-01</v>
                </pt>
                <pt idx="7">
                  <v>2027-02</v>
                </pt>
                <pt idx="8">
                  <v>2027-03</v>
                </pt>
                <pt idx="9">
                  <v>2027-04</v>
                </pt>
                <pt idx="10">
                  <v>2027-05</v>
                </pt>
                <pt idx="11">
                  <v>2027-06</v>
                </pt>
              </strCache>
            </strRef>
          </cat>
          <val>
            <numRef>
              <f>'Monthly History'!$E$7:$E$18</f>
              <numCache>
                <formatCode>#,##0.00;\(#,##0.00\);\–</formatCode>
                <ptCount val="12"/>
                <pt idx="0">
                  <v>0</v>
                </pt>
                <pt idx="1">
                  <v>1559.25</v>
                </pt>
                <pt idx="2">
                  <v>0</v>
                </pt>
                <pt idx="3">
                  <v>0</v>
                </pt>
                <pt idx="4">
                  <v>0</v>
                </pt>
                <pt idx="5">
                  <v>0</v>
                </pt>
                <pt idx="6">
                  <v>0</v>
                </pt>
                <pt idx="7">
                  <v>0</v>
                </pt>
                <pt idx="8">
                  <v>0</v>
                </pt>
                <pt idx="9">
                  <v>0</v>
                </pt>
                <pt idx="10">
                  <v>0</v>
                </pt>
                <pt idx="11">
                  <v>0</v>
                </pt>
              </numCache>
            </numRef>
          </val>
        </ser>
        <gapWidth val="150"/>
        <overlap val="0"/>
        <axId val="61266593"/>
        <axId val="75650768"/>
      </barChart>
      <catAx>
        <axId val="61266593"/>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75650768"/>
        <crosses val="autoZero"/>
        <auto val="1"/>
        <lblAlgn val="ctr"/>
        <lblOffset val="100"/>
        <noMultiLvlLbl val="0"/>
      </catAx>
      <valAx>
        <axId val="75650768"/>
        <scaling>
          <orientation val="minMax"/>
        </scaling>
        <delete val="0"/>
        <axPos val="l"/>
        <majorGridlines>
          <spPr>
            <a:ln w="9360">
              <a:solidFill>
                <a:srgbClr val="878787"/>
              </a:solidFill>
              <a:prstDash val="solid"/>
              <a:round/>
            </a:ln>
          </spPr>
        </majorGridlines>
        <numFmt formatCode="#,##0.0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61266593"/>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Net cash flow by month</a:t>
            </a:r>
          </a:p>
        </rich>
      </tx>
      <overlay val="0"/>
      <spPr>
        <a:noFill/>
        <a:ln w="0">
          <a:noFill/>
          <a:prstDash val="solid"/>
        </a:ln>
      </spPr>
    </title>
    <plotArea>
      <lineChart>
        <grouping val="standard"/>
        <varyColors val="0"/>
        <ser>
          <idx val="0"/>
          <order val="0"/>
          <tx>
            <strRef>
              <f>'Monthly History'!H6</f>
              <strCache>
                <ptCount val="1"/>
                <pt idx="0">
                  <v>Net cash flow</v>
                </pt>
              </strCache>
            </strRef>
          </tx>
          <spPr>
            <a:solidFill>
              <a:srgbClr val="4a7ebb"/>
            </a:solidFill>
            <a:ln w="28440">
              <a:solidFill>
                <a:srgbClr val="4a7ebb"/>
              </a:solidFill>
              <a:prstDash val="solid"/>
              <a:round/>
            </a:ln>
          </spPr>
          <marker>
            <symbol val="none"/>
            <spPr>
              <a:ln>
                <a:prstDash val="solid"/>
              </a:ln>
            </spPr>
          </marker>
          <dLbls>
            <txPr>
              <a:bodyPr wrap="square"/>
              <a:lstStyle/>
              <a:p>
                <a:pPr>
                  <a:defRPr sz="1000" b="0" strike="noStrike" spc="-1">
                    <a:solidFill>
                      <a:srgbClr val="000000"/>
                    </a:solidFill>
                    <a:latin typeface="Arial"/>
                  </a:defRPr>
                </a:pPr>
                <a:r>
                  <a:t>None</a:t>
                </a:r>
              </a:p>
            </txPr>
            <dLblPos val="r"/>
            <showLegendKey val="0"/>
            <showVal val="0"/>
            <showCatName val="0"/>
            <showSerName val="0"/>
            <showPercent val="0"/>
            <showLeaderLines val="1"/>
          </dLbls>
          <cat>
            <strRef>
              <f>'Monthly History'!$A$7:$A$18</f>
              <strCache>
                <ptCount val="12"/>
                <pt idx="0">
                  <v>2026-07</v>
                </pt>
                <pt idx="1">
                  <v>2026-08</v>
                </pt>
                <pt idx="2">
                  <v>2026-09</v>
                </pt>
                <pt idx="3">
                  <v>2026-10</v>
                </pt>
                <pt idx="4">
                  <v>2026-11</v>
                </pt>
                <pt idx="5">
                  <v>2026-12</v>
                </pt>
                <pt idx="6">
                  <v>2027-01</v>
                </pt>
                <pt idx="7">
                  <v>2027-02</v>
                </pt>
                <pt idx="8">
                  <v>2027-03</v>
                </pt>
                <pt idx="9">
                  <v>2027-04</v>
                </pt>
                <pt idx="10">
                  <v>2027-05</v>
                </pt>
                <pt idx="11">
                  <v>2027-06</v>
                </pt>
              </strCache>
            </strRef>
          </cat>
          <val>
            <numRef>
              <f>'Monthly History'!$H$7:$H$18</f>
              <numCache>
                <formatCode>#,##0.00;\(#,##0.00\);\–</formatCode>
                <ptCount val="12"/>
                <pt idx="0">
                  <v>0</v>
                </pt>
                <pt idx="1">
                  <v>3879.05</v>
                </pt>
                <pt idx="2">
                  <v>0</v>
                </pt>
                <pt idx="3">
                  <v>0</v>
                </pt>
                <pt idx="4">
                  <v>0</v>
                </pt>
                <pt idx="5">
                  <v>0</v>
                </pt>
                <pt idx="6">
                  <v>0</v>
                </pt>
                <pt idx="7">
                  <v>0</v>
                </pt>
                <pt idx="8">
                  <v>0</v>
                </pt>
                <pt idx="9">
                  <v>0</v>
                </pt>
                <pt idx="10">
                  <v>0</v>
                </pt>
                <pt idx="11">
                  <v>0</v>
                </pt>
              </numCache>
            </numRef>
          </val>
          <smooth val="1"/>
        </ser>
        <hiLowLines>
          <spPr>
            <a:ln w="0">
              <a:noFill/>
              <a:prstDash val="solid"/>
            </a:ln>
          </spPr>
        </hiLowLines>
        <marker val="0"/>
        <axId val="14295140"/>
        <axId val="63281689"/>
      </lineChart>
      <catAx>
        <axId val="14295140"/>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63281689"/>
        <crosses val="autoZero"/>
        <auto val="1"/>
        <lblAlgn val="ctr"/>
        <lblOffset val="100"/>
        <noMultiLvlLbl val="0"/>
      </catAx>
      <valAx>
        <axId val="63281689"/>
        <scaling>
          <orientation val="minMax"/>
        </scaling>
        <delete val="0"/>
        <axPos val="l"/>
        <majorGridlines>
          <spPr>
            <a:ln w="9360">
              <a:solidFill>
                <a:srgbClr val="878787"/>
              </a:solidFill>
              <a:prstDash val="solid"/>
              <a:round/>
            </a:ln>
          </spPr>
        </majorGridlines>
        <numFmt formatCode="#,##0.0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14295140"/>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Spending by category — this month</a:t>
            </a:r>
          </a:p>
        </rich>
      </tx>
      <overlay val="0"/>
      <spPr>
        <a:noFill/>
        <a:ln w="0">
          <a:noFill/>
          <a:prstDash val="solid"/>
        </a:ln>
      </spPr>
    </title>
    <plotArea>
      <barChart>
        <barDir val="bar"/>
        <grouping val="clustered"/>
        <varyColors val="0"/>
        <ser>
          <idx val="0"/>
          <order val="0"/>
          <tx>
            <strRef>
              <f>Forecast!C21</f>
              <strCache>
                <ptCount val="1"/>
                <pt idx="0">
                  <v>Actual this month</v>
                </pt>
              </strCache>
            </strRef>
          </tx>
          <spPr>
            <a:solidFill>
              <a:srgbClr val="4f81b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Forecast!$A$22:$A$36</f>
              <strCache>
                <ptCount val="15"/>
                <pt idx="0">
                  <v>Groceries</v>
                </pt>
                <pt idx="1">
                  <v>Food &amp; Dining</v>
                </pt>
                <pt idx="2">
                  <v>Utilities</v>
                </pt>
                <pt idx="3">
                  <v>Telecom</v>
                </pt>
                <pt idx="4">
                  <v>Transport</v>
                </pt>
                <pt idx="5">
                  <v>Travel &amp; Airfare</v>
                </pt>
                <pt idx="6">
                  <v>Household Other</v>
                </pt>
                <pt idx="7">
                  <v>Family Support</v>
                </pt>
                <pt idx="8">
                  <v>Lifestyle</v>
                </pt>
                <pt idx="9">
                  <v>Entertainment</v>
                </pt>
                <pt idx="10">
                  <v>Shopping</v>
                </pt>
                <pt idx="11">
                  <v>Health</v>
                </pt>
                <pt idx="12">
                  <v>BNPL</v>
                </pt>
                <pt idx="13">
                  <v>Investments</v>
                </pt>
                <pt idx="14">
                  <v>Other</v>
                </pt>
              </strCache>
            </strRef>
          </cat>
          <val>
            <numRef>
              <f>Forecast!$C$22:$C$36</f>
              <numCache>
                <formatCode>#,##0.00;\(#,##0.00\);\–</formatCode>
                <ptCount val="15"/>
                <pt idx="0">
                  <v>134.23</v>
                </pt>
                <pt idx="1">
                  <v>867.27</v>
                </pt>
                <pt idx="2">
                  <v>1728.21</v>
                </pt>
                <pt idx="3">
                  <v>0</v>
                </pt>
                <pt idx="4">
                  <v>389.07</v>
                </pt>
                <pt idx="5">
                  <v>1430</v>
                </pt>
                <pt idx="6">
                  <v>22.97</v>
                </pt>
                <pt idx="7">
                  <v>100</v>
                </pt>
                <pt idx="8">
                  <v>787.5599999999999</v>
                </pt>
                <pt idx="9">
                  <v>20</v>
                </pt>
                <pt idx="10">
                  <v>0</v>
                </pt>
                <pt idx="11">
                  <v>65</v>
                </pt>
                <pt idx="12">
                  <v>1358.65</v>
                </pt>
                <pt idx="13">
                  <v>465.6</v>
                </pt>
                <pt idx="14">
                  <v>183</v>
                </pt>
              </numCache>
            </numRef>
          </val>
        </ser>
        <gapWidth val="150"/>
        <overlap val="0"/>
        <axId val="20801591"/>
        <axId val="87225846"/>
      </barChart>
      <catAx>
        <axId val="20801591"/>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87225846"/>
        <crosses val="autoZero"/>
        <auto val="1"/>
        <lblAlgn val="ctr"/>
        <lblOffset val="100"/>
        <noMultiLvlLbl val="0"/>
      </catAx>
      <valAx>
        <axId val="87225846"/>
        <scaling>
          <orientation val="minMax"/>
        </scaling>
        <delete val="0"/>
        <axPos val="l"/>
        <majorGridlines>
          <spPr>
            <a:ln w="9360">
              <a:solidFill>
                <a:srgbClr val="878787"/>
              </a:solidFill>
              <a:prstDash val="solid"/>
              <a:round/>
            </a:ln>
          </spPr>
        </majorGridlines>
        <numFmt formatCode="#,##0.0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20801591"/>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Budget vs actual</a:t>
            </a:r>
          </a:p>
        </rich>
      </tx>
      <overlay val="0"/>
      <spPr>
        <a:noFill/>
        <a:ln w="0">
          <a:noFill/>
          <a:prstDash val="solid"/>
        </a:ln>
      </spPr>
    </title>
    <plotArea>
      <barChart>
        <barDir val="col"/>
        <grouping val="clustered"/>
        <varyColors val="0"/>
        <ser>
          <idx val="0"/>
          <order val="0"/>
          <tx>
            <strRef>
              <f>Forecast!B21</f>
              <strCache>
                <ptCount val="1"/>
                <pt idx="0">
                  <v>Monthly budget</v>
                </pt>
              </strCache>
            </strRef>
          </tx>
          <spPr>
            <a:solidFill>
              <a:srgbClr val="4f81b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Forecast!$A$22:$A$36</f>
              <strCache>
                <ptCount val="15"/>
                <pt idx="0">
                  <v>Groceries</v>
                </pt>
                <pt idx="1">
                  <v>Food &amp; Dining</v>
                </pt>
                <pt idx="2">
                  <v>Utilities</v>
                </pt>
                <pt idx="3">
                  <v>Telecom</v>
                </pt>
                <pt idx="4">
                  <v>Transport</v>
                </pt>
                <pt idx="5">
                  <v>Travel &amp; Airfare</v>
                </pt>
                <pt idx="6">
                  <v>Household Other</v>
                </pt>
                <pt idx="7">
                  <v>Family Support</v>
                </pt>
                <pt idx="8">
                  <v>Lifestyle</v>
                </pt>
                <pt idx="9">
                  <v>Entertainment</v>
                </pt>
                <pt idx="10">
                  <v>Shopping</v>
                </pt>
                <pt idx="11">
                  <v>Health</v>
                </pt>
                <pt idx="12">
                  <v>BNPL</v>
                </pt>
                <pt idx="13">
                  <v>Investments</v>
                </pt>
                <pt idx="14">
                  <v>Other</v>
                </pt>
              </strCache>
            </strRef>
          </cat>
          <val>
            <numRef>
              <f>Forecast!$B$22:$B$36</f>
              <numCache>
                <formatCode>#,##0.00;\(#,##0.00\);\–</formatCode>
                <ptCount val="15"/>
                <pt idx="0">
                  <v>400</v>
                </pt>
                <pt idx="1">
                  <v>500</v>
                </pt>
                <pt idx="2">
                  <v>800</v>
                </pt>
                <pt idx="3">
                  <v>920</v>
                </pt>
                <pt idx="4">
                  <v>150</v>
                </pt>
                <pt idx="5">
                  <v>0</v>
                </pt>
                <pt idx="6">
                  <v>150</v>
                </pt>
                <pt idx="7">
                  <v>150</v>
                </pt>
                <pt idx="8">
                  <v>300</v>
                </pt>
                <pt idx="9">
                  <v>50</v>
                </pt>
                <pt idx="10">
                  <v>0</v>
                </pt>
                <pt idx="11">
                  <v>50</v>
                </pt>
                <pt idx="12">
                  <v>1315</v>
                </pt>
                <pt idx="13">
                  <v>462</v>
                </pt>
                <pt idx="14">
                  <v>0</v>
                </pt>
              </numCache>
            </numRef>
          </val>
        </ser>
        <ser>
          <idx val="1"/>
          <order val="1"/>
          <tx>
            <strRef>
              <f>Forecast!C21</f>
              <strCache>
                <ptCount val="1"/>
                <pt idx="0">
                  <v>Actual this month</v>
                </pt>
              </strCache>
            </strRef>
          </tx>
          <spPr>
            <a:solidFill>
              <a:srgbClr val="c0504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Forecast!$A$22:$A$36</f>
              <strCache>
                <ptCount val="15"/>
                <pt idx="0">
                  <v>Groceries</v>
                </pt>
                <pt idx="1">
                  <v>Food &amp; Dining</v>
                </pt>
                <pt idx="2">
                  <v>Utilities</v>
                </pt>
                <pt idx="3">
                  <v>Telecom</v>
                </pt>
                <pt idx="4">
                  <v>Transport</v>
                </pt>
                <pt idx="5">
                  <v>Travel &amp; Airfare</v>
                </pt>
                <pt idx="6">
                  <v>Household Other</v>
                </pt>
                <pt idx="7">
                  <v>Family Support</v>
                </pt>
                <pt idx="8">
                  <v>Lifestyle</v>
                </pt>
                <pt idx="9">
                  <v>Entertainment</v>
                </pt>
                <pt idx="10">
                  <v>Shopping</v>
                </pt>
                <pt idx="11">
                  <v>Health</v>
                </pt>
                <pt idx="12">
                  <v>BNPL</v>
                </pt>
                <pt idx="13">
                  <v>Investments</v>
                </pt>
                <pt idx="14">
                  <v>Other</v>
                </pt>
              </strCache>
            </strRef>
          </cat>
          <val>
            <numRef>
              <f>Forecast!$C$22:$C$36</f>
              <numCache>
                <formatCode>#,##0.00;\(#,##0.00\);\–</formatCode>
                <ptCount val="15"/>
                <pt idx="0">
                  <v>134.23</v>
                </pt>
                <pt idx="1">
                  <v>867.27</v>
                </pt>
                <pt idx="2">
                  <v>1728.21</v>
                </pt>
                <pt idx="3">
                  <v>0</v>
                </pt>
                <pt idx="4">
                  <v>389.07</v>
                </pt>
                <pt idx="5">
                  <v>1430</v>
                </pt>
                <pt idx="6">
                  <v>22.97</v>
                </pt>
                <pt idx="7">
                  <v>100</v>
                </pt>
                <pt idx="8">
                  <v>787.5599999999999</v>
                </pt>
                <pt idx="9">
                  <v>20</v>
                </pt>
                <pt idx="10">
                  <v>0</v>
                </pt>
                <pt idx="11">
                  <v>65</v>
                </pt>
                <pt idx="12">
                  <v>1358.65</v>
                </pt>
                <pt idx="13">
                  <v>465.6</v>
                </pt>
                <pt idx="14">
                  <v>183</v>
                </pt>
              </numCache>
            </numRef>
          </val>
        </ser>
        <gapWidth val="150"/>
        <overlap val="0"/>
        <axId val="10457018"/>
        <axId val="96553594"/>
      </barChart>
      <catAx>
        <axId val="10457018"/>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96553594"/>
        <crosses val="autoZero"/>
        <auto val="1"/>
        <lblAlgn val="ctr"/>
        <lblOffset val="100"/>
        <noMultiLvlLbl val="0"/>
      </catAx>
      <valAx>
        <axId val="96553594"/>
        <scaling>
          <orientation val="minMax"/>
        </scaling>
        <delete val="0"/>
        <axPos val="l"/>
        <majorGridlines>
          <spPr>
            <a:ln w="9360">
              <a:solidFill>
                <a:srgbClr val="878787"/>
              </a:solidFill>
              <a:prstDash val="solid"/>
              <a:round/>
            </a:ln>
          </spPr>
        </majorGridlines>
        <numFmt formatCode="#,##0.0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10457018"/>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8.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Cash flow to the rent cheque — available vs committed</a:t>
            </a:r>
          </a:p>
        </rich>
      </tx>
      <overlay val="0"/>
      <spPr>
        <a:noFill/>
        <a:ln w="0">
          <a:noFill/>
          <a:prstDash val="solid"/>
        </a:ln>
      </spPr>
    </title>
    <plotArea>
      <barChart>
        <barDir val="col"/>
        <grouping val="clustered"/>
        <varyColors val="0"/>
        <ser>
          <idx val="0"/>
          <order val="0"/>
          <spPr>
            <a:solidFill>
              <a:srgbClr val="4f81b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Forecast!$B$6:$D$6</f>
              <strCache>
                <ptCount val="3"/>
                <pt idx="0">
                  <v>Aug (from today)</v>
                </pt>
                <pt idx="1">
                  <v>Sep 2026</v>
                </pt>
                <pt idx="2">
                  <v>Oct 1 – 21</v>
                </pt>
              </strCache>
            </strRef>
          </cat>
          <val>
            <numRef>
              <f>Forecast!$B$12</f>
              <numCache>
                <formatCode>#,##0.00;\(#,##0.00\);\–</formatCode>
                <ptCount val="1"/>
                <pt idx="0">
                  <v>156.8</v>
                </pt>
              </numCache>
            </numRef>
          </val>
        </ser>
        <ser>
          <idx val="1"/>
          <order val="1"/>
          <spPr>
            <a:solidFill>
              <a:srgbClr val="c0504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Forecast!$B$6:$D$6</f>
              <strCache>
                <ptCount val="3"/>
                <pt idx="0">
                  <v>Aug (from today)</v>
                </pt>
                <pt idx="1">
                  <v>Sep 2026</v>
                </pt>
                <pt idx="2">
                  <v>Oct 1 – 21</v>
                </pt>
              </strCache>
            </strRef>
          </cat>
          <val>
            <numRef>
              <f>Forecast!$C$12</f>
              <numCache>
                <formatCode>#,##0.00;\(#,##0.00\);\–</formatCode>
                <ptCount val="1"/>
                <pt idx="0">
                  <v>7996.68</v>
                </pt>
              </numCache>
            </numRef>
          </val>
        </ser>
        <ser>
          <idx val="2"/>
          <order val="2"/>
          <spPr>
            <a:solidFill>
              <a:srgbClr val="9bbb59"/>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Forecast!$B$6:$D$6</f>
              <strCache>
                <ptCount val="3"/>
                <pt idx="0">
                  <v>Aug (from today)</v>
                </pt>
                <pt idx="1">
                  <v>Sep 2026</v>
                </pt>
                <pt idx="2">
                  <v>Oct 1 – 21</v>
                </pt>
              </strCache>
            </strRef>
          </cat>
          <val>
            <numRef>
              <f>Forecast!$D$12</f>
              <numCache>
                <formatCode>#,##0.00;\(#,##0.00\);\–</formatCode>
                <ptCount val="1"/>
                <pt idx="0">
                  <v>5375.93</v>
                </pt>
              </numCache>
            </numRef>
          </val>
        </ser>
        <ser>
          <idx val="3"/>
          <order val="3"/>
          <spPr>
            <a:solidFill>
              <a:srgbClr val="8064a2"/>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Forecast!$B$6:$D$6</f>
              <strCache>
                <ptCount val="3"/>
                <pt idx="0">
                  <v>Aug (from today)</v>
                </pt>
                <pt idx="1">
                  <v>Sep 2026</v>
                </pt>
                <pt idx="2">
                  <v>Oct 1 – 21</v>
                </pt>
              </strCache>
            </strRef>
          </cat>
          <val>
            <numRef>
              <f>Forecast!$B$13</f>
              <numCache>
                <formatCode>#,##0.00;\(#,##0.00\);\–</formatCode>
                <ptCount val="1"/>
                <pt idx="0">
                  <v>0</v>
                </pt>
              </numCache>
            </numRef>
          </val>
        </ser>
        <ser>
          <idx val="4"/>
          <order val="4"/>
          <spPr>
            <a:solidFill>
              <a:srgbClr val="4bacc6"/>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Forecast!$B$6:$D$6</f>
              <strCache>
                <ptCount val="3"/>
                <pt idx="0">
                  <v>Aug (from today)</v>
                </pt>
                <pt idx="1">
                  <v>Sep 2026</v>
                </pt>
                <pt idx="2">
                  <v>Oct 1 – 21</v>
                </pt>
              </strCache>
            </strRef>
          </cat>
          <val>
            <numRef>
              <f>Forecast!$C$13</f>
              <numCache>
                <formatCode>#,##0.00;\(#,##0.00\);\–</formatCode>
                <ptCount val="1"/>
                <pt idx="0">
                  <v>2170.75</v>
                </pt>
              </numCache>
            </numRef>
          </val>
        </ser>
        <ser>
          <idx val="5"/>
          <order val="5"/>
          <spPr>
            <a:solidFill>
              <a:srgbClr val="f79646"/>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Forecast!$B$6:$D$6</f>
              <strCache>
                <ptCount val="3"/>
                <pt idx="0">
                  <v>Aug (from today)</v>
                </pt>
                <pt idx="1">
                  <v>Sep 2026</v>
                </pt>
                <pt idx="2">
                  <v>Oct 1 – 21</v>
                </pt>
              </strCache>
            </strRef>
          </cat>
          <val>
            <numRef>
              <f>Forecast!$D$13</f>
              <numCache>
                <formatCode>#,##0.00;\(#,##0.00\);\–</formatCode>
                <ptCount val="1"/>
                <pt idx="0">
                  <v>2092.66</v>
                </pt>
              </numCache>
            </numRef>
          </val>
        </ser>
        <gapWidth val="150"/>
        <overlap val="0"/>
        <axId val="65214658"/>
        <axId val="45617410"/>
      </barChart>
      <catAx>
        <axId val="65214658"/>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45617410"/>
        <crosses val="autoZero"/>
        <auto val="1"/>
        <lblAlgn val="ctr"/>
        <lblOffset val="100"/>
        <noMultiLvlLbl val="0"/>
      </catAx>
      <valAx>
        <axId val="45617410"/>
        <scaling>
          <orientation val="minMax"/>
        </scaling>
        <delete val="0"/>
        <axPos val="l"/>
        <majorGridlines>
          <spPr>
            <a:ln w="9360">
              <a:solidFill>
                <a:srgbClr val="878787"/>
              </a:solidFill>
              <a:prstDash val="solid"/>
              <a:round/>
            </a:ln>
          </spPr>
        </majorGridlines>
        <numFmt formatCode="#,##0.0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65214658"/>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9.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Latest balance by account</a:t>
            </a:r>
          </a:p>
        </rich>
      </tx>
      <overlay val="0"/>
      <spPr>
        <a:noFill/>
        <a:ln w="0">
          <a:noFill/>
          <a:prstDash val="solid"/>
        </a:ln>
      </spPr>
    </title>
    <plotArea>
      <barChart>
        <barDir val="col"/>
        <grouping val="clustered"/>
        <varyColors val="0"/>
        <ser>
          <idx val="0"/>
          <order val="0"/>
          <tx>
            <strRef>
              <f>'Account History'!B21</f>
              <strCache>
                <ptCount val="1"/>
                <pt idx="0">
                  <v>Latest balance</v>
                </pt>
              </strCache>
            </strRef>
          </tx>
          <spPr>
            <a:solidFill>
              <a:srgbClr val="4f81bd"/>
            </a:solidFill>
            <a:ln w="0">
              <a:noFill/>
              <a:prstDash val="solid"/>
            </a:ln>
          </spPr>
          <invertIfNegative val="0"/>
          <dLbls>
            <txPr>
              <a:bodyPr wrap="square"/>
              <a:lstStyle/>
              <a:p>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'Account History'!$A$22:$A$29</f>
              <strCache>
                <ptCount val="8"/>
                <pt idx="0">
                  <v>FAB 4001 Current</v>
                </pt>
                <pt idx="1">
                  <v>FAB 4002 Home Expenditure</v>
                </pt>
                <pt idx="2">
                  <v>FAB 4003 Emergency Fund</v>
                </pt>
                <pt idx="3">
                  <v>NBD Current</v>
                </pt>
                <pt idx="4">
                  <v>NBD Plus Saver</v>
                </pt>
                <pt idx="5">
                  <v>Tabby Cash</v>
                </pt>
                <pt idx="6">
                  <v>Cash / Wio</v>
                </pt>
                <pt idx="7">
                  <v>ICICI (INR)</v>
                </pt>
              </strCache>
            </strRef>
          </cat>
          <val>
            <numRef>
              <f>'Account History'!$B$22:$B$29</f>
              <numCache>
                <formatCode>#,##0.00;\(#,##0.00\);\–</formatCode>
                <ptCount val="8"/>
                <pt idx="0">
                  <v>245.09</v>
                </pt>
                <pt idx="1">
                  <v>4004.61</v>
                </pt>
                <pt idx="2">
                  <v>7.67</v>
                </pt>
                <pt idx="3">
                  <v>2.2</v>
                </pt>
                <pt idx="4">
                  <v>2.73</v>
                </pt>
                <pt idx="5">
                  <v>0.89</v>
                </pt>
                <pt idx="6">
                  <v>0</v>
                </pt>
                <pt idx="7">
                  <v>388.51</v>
                </pt>
              </numCache>
            </numRef>
          </val>
        </ser>
        <gapWidth val="150"/>
        <overlap val="0"/>
        <axId val="79968431"/>
        <axId val="13816595"/>
      </barChart>
      <catAx>
        <axId val="79968431"/>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13816595"/>
        <crosses val="autoZero"/>
        <auto val="1"/>
        <lblAlgn val="ctr"/>
        <lblOffset val="100"/>
        <noMultiLvlLbl val="0"/>
      </catAx>
      <valAx>
        <axId val="13816595"/>
        <scaling>
          <orientation val="minMax"/>
        </scaling>
        <delete val="0"/>
        <axPos val="l"/>
        <majorGridlines>
          <spPr>
            <a:ln w="9360">
              <a:solidFill>
                <a:srgbClr val="878787"/>
              </a:solidFill>
              <a:prstDash val="solid"/>
              <a:round/>
            </a:ln>
          </spPr>
        </majorGridlines>
        <numFmt formatCode="#,##0.0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79968431"/>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 Type="http://schemas.openxmlformats.org/officeDocument/2006/relationships/chart" Target="/xl/charts/chart6.xml" Id="rId4" /><Relationship Type="http://schemas.openxmlformats.org/officeDocument/2006/relationships/chart" Target="/xl/charts/chart7.xml" Id="rId5" /><Relationship Type="http://schemas.openxmlformats.org/officeDocument/2006/relationships/chart" Target="/xl/charts/chart8.xml" Id="rId6" /><Relationship Type="http://schemas.openxmlformats.org/officeDocument/2006/relationships/chart" Target="/xl/charts/chart9.xml" Id="rId7"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41</row>
      <rowOff>78480</rowOff>
    </from>
    <to>
      <col>4</col>
      <colOff>27360</colOff>
      <row>58</row>
      <rowOff>79560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7</col>
      <colOff>0</colOff>
      <row>41</row>
      <rowOff>78480</rowOff>
    </from>
    <to>
      <col>13</col>
      <colOff>541800</colOff>
      <row>58</row>
      <rowOff>79560</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4</row>
      <rowOff>0</rowOff>
    </from>
    <to>
      <col>6</col>
      <colOff>747360</colOff>
      <row>18</row>
      <rowOff>32040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9</col>
      <colOff>0</colOff>
      <row>4</row>
      <rowOff>0</rowOff>
    </from>
    <to>
      <col>15</col>
      <colOff>747000</colOff>
      <row>18</row>
      <rowOff>32040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0</colOff>
      <row>20</row>
      <rowOff>0</rowOff>
    </from>
    <to>
      <col>6</col>
      <colOff>747360</colOff>
      <row>34</row>
      <rowOff>32400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9</col>
      <colOff>0</colOff>
      <row>20</row>
      <rowOff>0</rowOff>
    </from>
    <to>
      <col>15</col>
      <colOff>747000</colOff>
      <row>37</row>
      <rowOff>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0</col>
      <colOff>0</colOff>
      <row>38</row>
      <rowOff>0</rowOff>
    </from>
    <to>
      <col>6</col>
      <colOff>747360</colOff>
      <row>54</row>
      <rowOff>176760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9</col>
      <colOff>0</colOff>
      <row>38</row>
      <rowOff>0</rowOff>
    </from>
    <to>
      <col>15</col>
      <colOff>747000</colOff>
      <row>52</row>
      <rowOff>32400</rowOff>
    </to>
    <graphicFrame>
      <nvGraphicFramePr>
        <cNvPr id="6" name="Chart 6"/>
        <cNvGraphicFramePr/>
      </nvGraphicFramePr>
      <xfrm/>
      <a:graphic>
        <a:graphicData uri="http://schemas.openxmlformats.org/drawingml/2006/chart">
          <c:chart r:id="rId6"/>
        </a:graphicData>
      </a:graphic>
    </graphicFrame>
    <clientData/>
  </twoCellAnchor>
  <twoCellAnchor editAs="oneCell">
    <from>
      <col>0</col>
      <colOff>0</colOff>
      <row>54</row>
      <rowOff>176040</rowOff>
    </from>
    <to>
      <col>6</col>
      <colOff>747360</colOff>
      <row>70</row>
      <rowOff>7200</rowOff>
    </to>
    <graphicFrame>
      <nvGraphicFramePr>
        <cNvPr id="7" name="Chart 7"/>
        <cNvGraphicFramePr/>
      </nvGraphicFramePr>
      <xfrm/>
      <a:graphic>
        <a:graphicData uri="http://schemas.openxmlformats.org/drawingml/2006/chart">
          <c:chart r:id="rId7"/>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Relationships xmlns="http://schemas.openxmlformats.org/package/2006/relationships"><Relationship Type="http://schemas.openxmlformats.org/officeDocument/2006/relationships/drawing" Target="/xl/drawings/drawing1.xml" Id="rId1" /></Relationships>
</file>

<file path=xl/worksheets/_rels/sheet2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tabColor rgb="FFC6A15B"/>
    <outlinePr summaryBelow="1" summaryRight="1"/>
    <pageSetUpPr fitToPage="1"/>
  </sheetPr>
  <dimension ref="A1:D3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77" min="1" max="1"/>
    <col width="32" customWidth="1" style="277" min="2" max="2"/>
    <col width="66" customWidth="1" style="277" min="3" max="3"/>
    <col width="22" customWidth="1" style="277" min="4" max="4"/>
  </cols>
  <sheetData>
    <row r="1" ht="37.5" customHeight="1" s="278">
      <c r="B1" s="279" t="inlineStr">
        <is>
          <t>JOHNNY'S EDGE</t>
        </is>
      </c>
    </row>
    <row r="2" ht="19.5" customHeight="1" s="278">
      <c r="B2" s="280" t="inlineStr">
        <is>
          <t>Personal Finance Operating System</t>
        </is>
      </c>
    </row>
    <row r="3" ht="15.75" customHeight="1" s="278">
      <c r="B3" s="565" t="str">
        <f>"Built 11 Aug 2026 · Last structural update "&amp;TEXT(TODAY(),"dd mmm yyyy")</f>
        <v>Built 11 Aug 2026 · Last structural update 26 Aug 2026</v>
      </c>
    </row>
    <row r="4" ht="9.75" customHeight="1" s="278"/>
    <row r="5" ht="15.75" customHeight="1" s="278">
      <c r="B5" s="282" t="inlineStr">
        <is>
          <t>Every number on every sheet is a live formula. Update a balance on Accounts, add a row on Transactions, or change an assumption on Settings — everything downstream recalculates. Nothing here is typed twice.</t>
        </is>
      </c>
    </row>
    <row r="6" ht="15.75" customHeight="1" s="278"/>
    <row r="7" ht="9.75" customHeight="1" s="278"/>
    <row r="8" ht="27.75" customHeight="1" s="278">
      <c r="B8" s="383" t="inlineStr">
        <is>
          <t>Sheet</t>
        </is>
      </c>
      <c r="C8" s="383" t="inlineStr">
        <is>
          <t>What it's for</t>
        </is>
      </c>
    </row>
    <row r="9" ht="27.75" customHeight="1" s="278">
      <c r="B9" s="296" t="inlineStr">
        <is>
          <t>Command Center</t>
        </is>
      </c>
      <c r="C9" s="285" t="inlineStr">
        <is>
          <t>Open this first, every day. Cash position, this month, what you may spend, the gap, upcoming bills, live alerts.</t>
        </is>
      </c>
    </row>
    <row r="10" ht="27.75" customHeight="1" s="278">
      <c r="B10" s="296" t="inlineStr">
        <is>
          <t>Today's Brief</t>
        </is>
      </c>
      <c r="C10" s="285" t="inlineStr">
        <is>
          <t>The same picture in plain English — read it out loud to yourself in 30 seconds.</t>
        </is>
      </c>
    </row>
    <row r="11" ht="27.75" customHeight="1" s="278">
      <c r="B11" s="296" t="inlineStr">
        <is>
          <t>Cash Calendar</t>
        </is>
      </c>
      <c r="C11" s="285" t="inlineStr">
        <is>
          <t>Week by week to the rent cheque. Shows exactly which week gets tight.</t>
        </is>
      </c>
    </row>
    <row r="12" ht="27.75" customHeight="1" s="278">
      <c r="B12" s="296" t="inlineStr">
        <is>
          <t>Goals &amp; Future Planning</t>
        </is>
      </c>
      <c r="C12" s="285" t="inlineStr">
        <is>
          <t>NEW — UNTOLD Dubai, the couple's trip, and the January rent renewal, with savings targets that never outrank the rent gap.</t>
        </is>
      </c>
    </row>
    <row r="13" ht="27.75" customHeight="1" s="278">
      <c r="B13" s="296" t="inlineStr">
        <is>
          <t>Weekly Check-In</t>
        </is>
      </c>
      <c r="C13" s="285" t="inlineStr">
        <is>
          <t>NEW — spending shown by the week and month, not the day. On-track/over/watch status, plus a rolling 12-week history.</t>
        </is>
      </c>
    </row>
    <row r="14" ht="27.75" customHeight="1" s="278">
      <c r="B14" s="296" t="inlineStr">
        <is>
          <t>Family &amp; Future Security</t>
        </is>
      </c>
      <c r="C14" s="285" t="inlineStr">
        <is>
          <t>NEW — a staged plan for a possible pregnancy, a family-sized emergency fund, and a home, with researched real costs and an honest reality check on timing.</t>
        </is>
      </c>
    </row>
    <row r="15" ht="27.75" customHeight="1" s="278">
      <c r="B15" s="296" t="inlineStr">
        <is>
          <t>Settings</t>
        </is>
      </c>
      <c r="C15" s="285" t="inlineStr">
        <is>
          <t>Every assumption lives here — salary, rent, buffers, thresholds. Change nothing anywhere else.</t>
        </is>
      </c>
    </row>
    <row r="16" ht="27.75" customHeight="1" s="278">
      <c r="B16" s="296" t="inlineStr">
        <is>
          <t>Accounts</t>
        </is>
      </c>
      <c r="C16" s="285" t="inlineStr">
        <is>
          <t>Every account, current balance, what's reserved, what's genuinely spendable.</t>
        </is>
      </c>
    </row>
    <row r="17" ht="27.75" customHeight="1" s="278">
      <c r="B17" s="296" t="inlineStr">
        <is>
          <t>Account History</t>
        </is>
      </c>
      <c r="C17" s="285" t="inlineStr">
        <is>
          <t>NEW — a running log of every account's balance over time, with a trend chart.</t>
        </is>
      </c>
    </row>
    <row r="18" ht="27.75" customHeight="1" s="278">
      <c r="B18" s="296" t="inlineStr">
        <is>
          <t>Transactions</t>
        </is>
      </c>
      <c r="C18" s="285" t="inlineStr">
        <is>
          <t>The master ledger. Add a row here for every expense or income — everything else derives from it.</t>
        </is>
      </c>
    </row>
    <row r="19" ht="27.75" customHeight="1" s="278">
      <c r="B19" s="296" t="inlineStr">
        <is>
          <t>Bills &amp; Commitments</t>
        </is>
      </c>
      <c r="C19" s="285" t="inlineStr">
        <is>
          <t>Every bill and expected inflow, sorted by due date, with real billing-cycle rules.</t>
        </is>
      </c>
    </row>
    <row r="20" ht="27.75" customHeight="1" s="278">
      <c r="B20" s="296" t="inlineStr">
        <is>
          <t>Rent Vault</t>
        </is>
      </c>
      <c r="C20" s="285" t="inlineStr">
        <is>
          <t>The October rent cheque's funding position and the zero-gap closure plan.</t>
        </is>
      </c>
    </row>
    <row r="21" ht="27.75" customHeight="1" s="278">
      <c r="B21" s="296" t="inlineStr">
        <is>
          <t>BNPL &amp; Debt</t>
        </is>
      </c>
      <c r="C21" s="285" t="inlineStr">
        <is>
          <t>Tabby statement detail, utilisation, and the September breakdown.</t>
        </is>
      </c>
    </row>
    <row r="22" ht="27.75" customHeight="1" s="278">
      <c r="B22" s="296" t="inlineStr">
        <is>
          <t>Investments</t>
        </is>
      </c>
      <c r="C22" s="285" t="inlineStr">
        <is>
          <t>NEW — every holding across mutual funds, Amana and Binance, with a manual price-update engine and rebalancing flags.</t>
        </is>
      </c>
    </row>
    <row r="23" ht="27.75" customHeight="1" s="278">
      <c r="B23" s="296" t="inlineStr">
        <is>
          <t>Forecast</t>
        </is>
      </c>
      <c r="C23" s="285" t="inlineStr">
        <is>
          <t>Cash flow to the rent cheque, and budget vs actual by category.</t>
        </is>
      </c>
    </row>
    <row r="24" ht="27.75" customHeight="1" s="278">
      <c r="B24" s="296" t="inlineStr">
        <is>
          <t>Scenarios</t>
        </is>
      </c>
      <c r="C24" s="285" t="inlineStr">
        <is>
          <t>Month-end survival forecast, weekend control, and a what-if simulator.</t>
        </is>
      </c>
    </row>
    <row r="25" ht="27.75" customHeight="1" s="278">
      <c r="B25" s="296" t="inlineStr">
        <is>
          <t>Monthly History</t>
        </is>
      </c>
      <c r="C25" s="285" t="inlineStr">
        <is>
          <t>Every month, never overwritten — income, spending, savings rate, category breakdown.</t>
        </is>
      </c>
    </row>
    <row r="26" ht="27.75" customHeight="1" s="278">
      <c r="B26" s="296" t="inlineStr">
        <is>
          <t>Reconciliation</t>
        </is>
      </c>
      <c r="C26" s="285" t="inlineStr">
        <is>
          <t>Proves every account balance against its recorded transactions.</t>
        </is>
      </c>
    </row>
    <row r="27" ht="15" customHeight="1" s="278">
      <c r="B27" s="296" t="inlineStr">
        <is>
          <t>Analytics</t>
        </is>
      </c>
      <c r="C27" s="285" t="inlineStr">
        <is>
          <t>Six charts — income vs expenses, spending by category, net worth trend, and more.</t>
        </is>
      </c>
    </row>
    <row r="28" ht="19.5" customHeight="1" s="278">
      <c r="B28" s="296" t="inlineStr">
        <is>
          <t>Checks &amp; Audit</t>
        </is>
      </c>
      <c r="C28" s="285" t="inlineStr">
        <is>
          <t>24 automatic integrity checks, plus the full source and assumption log.</t>
        </is>
      </c>
    </row>
    <row r="29" ht="15" customHeight="1" s="278">
      <c r="B29" s="296" t="inlineStr">
        <is>
          <t>Archive - Original</t>
        </is>
      </c>
      <c r="C29" s="285" t="inlineStr">
        <is>
          <t>Your original workbook, exactly as uploaded, untouched.</t>
        </is>
      </c>
    </row>
    <row r="30" ht="18" customHeight="1" s="278"/>
    <row r="31" ht="18" customHeight="1" s="278">
      <c r="A31" s="382" t="inlineStr">
        <is>
          <t>DAILY ROUTINE  ·  under two minutes</t>
        </is>
      </c>
      <c r="B31" s="287" t="n"/>
      <c r="C31" s="287" t="n"/>
    </row>
    <row r="32" ht="18" customHeight="1" s="278"/>
    <row r="33" ht="18" customHeight="1" s="278">
      <c r="B33" s="288" t="inlineStr">
        <is>
          <t>1.</t>
        </is>
      </c>
      <c r="C33" s="289" t="inlineStr">
        <is>
          <t>Open Command Center. Check the status colour and read the alerts.</t>
        </is>
      </c>
    </row>
    <row r="34" ht="15" customHeight="1" s="278">
      <c r="B34" s="288" t="inlineStr">
        <is>
          <t>2.</t>
        </is>
      </c>
      <c r="C34" s="289" t="inlineStr">
        <is>
          <t>Update any account balance that's changed on the Accounts sheet.</t>
        </is>
      </c>
    </row>
    <row r="35" ht="15" customHeight="1" s="278">
      <c r="B35" s="288" t="inlineStr">
        <is>
          <t>3.</t>
        </is>
      </c>
      <c r="C35" s="289" t="inlineStr">
        <is>
          <t>Add today's spending to Transactions — five fields, everything else fills itself.</t>
        </is>
      </c>
    </row>
    <row r="36" ht="15" customHeight="1" s="278">
      <c r="B36" s="288" t="inlineStr">
        <is>
          <t>4.</t>
        </is>
      </c>
      <c r="C36" s="289" t="inlineStr">
        <is>
          <t>Once a week: open Cash Calendar and check nothing has gone red.</t>
        </is>
      </c>
    </row>
  </sheetData>
  <mergeCells count="1">
    <mergeCell ref="B5:D6"/>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C6A15B"/>
    <outlinePr summaryBelow="1" summaryRight="1"/>
    <pageSetUpPr fitToPage="0"/>
  </sheetPr>
  <dimension ref="A1:F5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77" min="1" max="1"/>
    <col width="34" customWidth="1" style="277" min="2" max="2"/>
    <col width="16" customWidth="1" style="277" min="3" max="5"/>
    <col width="46" customWidth="1" style="277" min="6" max="6"/>
  </cols>
  <sheetData>
    <row r="1" ht="31.5" customHeight="1" s="278">
      <c r="B1" s="290" t="inlineStr">
        <is>
          <t>THE MASTER PLAN</t>
        </is>
      </c>
    </row>
    <row r="2" ht="15.75" customHeight="1" s="278">
      <c r="B2" s="291" t="str">
        <f>"Everything in one place · "&amp;TEXT(TODAY(),"dd mmmm yyyy")</f>
        <v>Everything in one place · 26 August 2026</v>
      </c>
    </row>
    <row r="3" ht="13.5" customHeight="1" s="278">
      <c r="B3" s="565" t="inlineStr">
        <is>
          <t>Cash, rent, debt, investments, family and goals — sequenced. Nothing below jumps the queue.</t>
        </is>
      </c>
    </row>
    <row r="5" ht="19.5" customHeight="1" s="278">
      <c r="A5" s="382" t="inlineStr">
        <is>
          <t>WHERE YOU STAND TODAY</t>
        </is>
      </c>
      <c r="B5" s="287" t="n"/>
      <c r="C5" s="287" t="n"/>
      <c r="D5" s="287" t="n"/>
      <c r="E5" s="287" t="n"/>
      <c r="F5" s="287" t="n"/>
    </row>
    <row r="6" ht="27.75" customHeight="1" s="278">
      <c r="A6" s="383" t="n"/>
      <c r="B6" s="383" t="inlineStr">
        <is>
          <t>Measure</t>
        </is>
      </c>
      <c r="C6" s="383" t="inlineStr">
        <is>
          <t>Value</t>
        </is>
      </c>
      <c r="D6" s="383" t="n"/>
      <c r="E6" s="383" t="n"/>
      <c r="F6" s="383" t="inlineStr">
        <is>
          <t>Note</t>
        </is>
      </c>
    </row>
    <row r="7" ht="15" customHeight="1" s="278">
      <c r="B7" s="366" t="inlineStr">
        <is>
          <t>Liquid cash (all AED accounts)</t>
        </is>
      </c>
      <c r="C7" s="293">
        <f>Settings!$B$60</f>
        <v>6105.17</v>
      </c>
      <c r="F7" s="368" t="inlineStr">
        <is>
          <t>Every account you can touch</t>
        </is>
      </c>
    </row>
    <row r="8" ht="15" customHeight="1" s="278">
      <c r="B8" s="366" t="inlineStr">
        <is>
          <t>Protected (rent vault + emergency)</t>
        </is>
      </c>
      <c r="C8" s="293">
        <f>Settings!$B$61</f>
        <v>5948.37</v>
      </c>
      <c r="F8" s="368" t="inlineStr">
        <is>
          <t>Committed — not spending money</t>
        </is>
      </c>
    </row>
    <row r="9" ht="15" customHeight="1" s="278">
      <c r="B9" s="366" t="inlineStr">
        <is>
          <t>Genuinely spendable</t>
        </is>
      </c>
      <c r="C9" s="293">
        <f>Settings!$B$62</f>
        <v>156.8</v>
      </c>
      <c r="F9" s="368" t="inlineStr">
        <is>
          <t>What has to last to 26 August</t>
        </is>
      </c>
    </row>
    <row r="10" ht="15" customHeight="1" s="278">
      <c r="B10" s="366" t="inlineStr">
        <is>
          <t>Investments (MF + Amana + Binance)</t>
        </is>
      </c>
      <c r="C10" s="293">
        <f>Settings!$B$114</f>
        <v>12805.3317681146</v>
      </c>
      <c r="F10" s="368" t="inlineStr">
        <is>
          <t>Not liquid, not for the rent gap</t>
        </is>
      </c>
    </row>
    <row r="11" ht="15" customHeight="1" s="278">
      <c r="B11" s="296" t="inlineStr">
        <is>
          <t>TOTAL ASSETS</t>
        </is>
      </c>
      <c r="C11" s="297">
        <f>Settings!$B$115</f>
        <v>18910.5017681146</v>
      </c>
      <c r="D11" s="296" t="inlineStr">
        <is>
          <t>Net worth after Tabby</t>
        </is>
      </c>
      <c r="E11" s="297">
        <f>Settings!$B$118</f>
        <v>16223.1417681146</v>
      </c>
      <c r="F11" s="368" t="inlineStr">
        <is>
          <t>Everything you own, tracked. This line does not net off what you owe.</t>
        </is>
      </c>
    </row>
    <row r="12" ht="15" customHeight="1" s="278">
      <c r="B12" s="366" t="inlineStr">
        <is>
          <t>Status</t>
        </is>
      </c>
      <c r="C12" s="298" t="str">
        <f>Settings!$B$109</f>
        <v>CRITICAL</v>
      </c>
      <c r="F12" s="368" t="inlineStr">
        <is>
          <t>Driven by the rent gap, not by net worth</t>
        </is>
      </c>
    </row>
    <row r="14" ht="19.5" customHeight="1" s="278">
      <c r="A14" s="382" t="inlineStr">
        <is>
          <t>STAGE 1 · NOW → 21 OCTOBER   ·   close the rent gap. Nothing else matters until this is done.</t>
        </is>
      </c>
      <c r="B14" s="287" t="n"/>
      <c r="C14" s="287" t="n"/>
      <c r="D14" s="287" t="n"/>
      <c r="E14" s="287" t="n"/>
      <c r="F14" s="287" t="n"/>
    </row>
    <row r="15" ht="27.75" customHeight="1" s="278">
      <c r="A15" s="383" t="n"/>
      <c r="B15" s="383" t="inlineStr">
        <is>
          <t>Item</t>
        </is>
      </c>
      <c r="C15" s="383" t="inlineStr">
        <is>
          <t>Value</t>
        </is>
      </c>
      <c r="D15" s="383" t="inlineStr">
        <is>
          <t>Deadline</t>
        </is>
      </c>
      <c r="E15" s="383" t="n"/>
      <c r="F15" s="383" t="inlineStr">
        <is>
          <t>How</t>
        </is>
      </c>
    </row>
    <row r="16" ht="15" customHeight="1" s="278">
      <c r="B16" s="366" t="inlineStr">
        <is>
          <t>Rent cheque due</t>
        </is>
      </c>
      <c r="C16" s="293">
        <f>Settings!$B$19</f>
        <v>11750.0</v>
      </c>
      <c r="D16" s="299" t="n">
        <v>46317</v>
      </c>
      <c r="F16" s="368" t="inlineStr">
        <is>
          <t>Cheque clears — must be funded by the 21st</t>
        </is>
      </c>
    </row>
    <row r="17" ht="15" customHeight="1" s="278">
      <c r="B17" s="366" t="inlineStr">
        <is>
          <t>Already vaulted</t>
        </is>
      </c>
      <c r="C17" s="293">
        <f>'Rent Vault'!$B$11</f>
        <v>5940.7</v>
      </c>
      <c r="F17" s="368" t="inlineStr">
        <is>
          <t>FAB 4002</t>
        </is>
      </c>
    </row>
    <row r="18" ht="15" customHeight="1" s="278">
      <c r="B18" s="366" t="inlineStr">
        <is>
          <t>Still to fund</t>
        </is>
      </c>
      <c r="C18" s="293">
        <f>'Rent Vault'!$B$12</f>
        <v>5809.3</v>
      </c>
      <c r="D18" s="299" t="n">
        <v>46316</v>
      </c>
      <c r="F18" s="368" t="inlineStr">
        <is>
          <t>What the vault still needs</t>
        </is>
      </c>
    </row>
    <row r="19" ht="15" customHeight="1" s="278">
      <c r="B19" s="366" t="inlineStr">
        <is>
          <t>SHORTFALL after all income and bills</t>
        </is>
      </c>
      <c r="C19" s="293">
        <f>Settings!$B$81</f>
        <v>3091.03</v>
      </c>
      <c r="D19" s="299" t="n">
        <v>46316</v>
      </c>
      <c r="F19" s="368" t="inlineStr">
        <is>
          <t>The real number — income must cover this</t>
        </is>
      </c>
    </row>
    <row r="20" ht="15" customHeight="1" s="278">
      <c r="B20" s="366" t="inlineStr">
        <is>
          <t>Earn per week</t>
        </is>
      </c>
      <c r="C20" s="293">
        <f>Settings!$B$83</f>
        <v>386.37875</v>
      </c>
      <c r="F20" s="368" t="inlineStr">
        <is>
          <t>Every week from now. Log it as it lands.</t>
        </is>
      </c>
    </row>
    <row r="21" ht="15" customHeight="1" s="278">
      <c r="B21" s="366" t="inlineStr">
        <is>
          <t>Daily spending cap to 26 Aug</t>
        </is>
      </c>
      <c r="C21" s="293">
        <f>Settings!$B$62/14</f>
        <v>11.2</v>
      </c>
      <c r="F21" s="368" t="inlineStr">
        <is>
          <t>What's left divided by days to payday</t>
        </is>
      </c>
    </row>
    <row r="22" ht="18.75" customHeight="1" s="278">
      <c r="B22" s="366" t="inlineStr">
        <is>
          <t>Survival floor</t>
        </is>
      </c>
      <c r="C22" s="293">
        <f>Settings!$B$15</f>
        <v>15.0</v>
      </c>
      <c r="F22" s="368" t="inlineStr">
        <is>
          <t>Your cap sits BELOW this — the gap closes through income, not cuts</t>
        </is>
      </c>
    </row>
    <row r="24" ht="19.5" customHeight="1" s="278">
      <c r="A24" s="382" t="inlineStr">
        <is>
          <t>STAGE 2 · OCT → MID 2027   ·   rebuild the floor beneath you</t>
        </is>
      </c>
      <c r="B24" s="287" t="n"/>
      <c r="C24" s="287" t="n"/>
      <c r="D24" s="287" t="n"/>
      <c r="E24" s="287" t="n"/>
      <c r="F24" s="287" t="n"/>
    </row>
    <row r="25" ht="27.75" customHeight="1" s="278">
      <c r="A25" s="383" t="n"/>
      <c r="B25" s="383" t="inlineStr">
        <is>
          <t>Item</t>
        </is>
      </c>
      <c r="C25" s="383" t="inlineStr">
        <is>
          <t>Target</t>
        </is>
      </c>
      <c r="D25" s="383" t="inlineStr">
        <is>
          <t>Now</t>
        </is>
      </c>
      <c r="E25" s="383" t="inlineStr">
        <is>
          <t>Gap</t>
        </is>
      </c>
      <c r="F25" s="383" t="inlineStr">
        <is>
          <t>Why it comes first</t>
        </is>
      </c>
    </row>
    <row r="26" ht="15" customHeight="1" s="278">
      <c r="B26" s="296" t="inlineStr">
        <is>
          <t>Safety buffer</t>
        </is>
      </c>
      <c r="C26" s="293">
        <f>Settings!$B$14</f>
        <v>250.0</v>
      </c>
      <c r="D26" s="385">
        <f>MIN(Settings!$B$62,Settings!$B$14)</f>
        <v>156.8</v>
      </c>
      <c r="E26" s="293">
        <f>MAX($C26-$D26,0)</f>
        <v>93.2</v>
      </c>
      <c r="F26" s="368" t="inlineStr">
        <is>
          <t>One month of breathing room</t>
        </is>
      </c>
    </row>
    <row r="27" ht="18.75" customHeight="1" s="278">
      <c r="B27" s="296" t="inlineStr">
        <is>
          <t>Emergency fund</t>
        </is>
      </c>
      <c r="C27" s="293">
        <f>'Family &amp; Future Security'!$B$18</f>
        <v>21966.0</v>
      </c>
      <c r="D27" s="385">
        <f>Accounts!$D$9</f>
        <v>7.67</v>
      </c>
      <c r="E27" s="293">
        <f>MAX($C27-$D27,0)</f>
        <v>21958.33</v>
      </c>
      <c r="F27" s="368" t="inlineStr">
        <is>
          <t>Six months of essentials. Single income, family coming — this is the real insurance.</t>
        </is>
      </c>
    </row>
    <row r="28" ht="15" customHeight="1" s="278">
      <c r="B28" s="296" t="inlineStr">
        <is>
          <t>Tabby cleared</t>
        </is>
      </c>
      <c r="C28" s="293">
        <f>Settings!$B$32</f>
        <v>2687.36</v>
      </c>
      <c r="D28" s="385">
        <f>0</f>
        <v>0.0</v>
      </c>
      <c r="E28" s="293">
        <f>MAX($C28-$D28,0)</f>
        <v>2687.36</v>
      </c>
      <c r="F28" s="368" t="inlineStr">
        <is>
          <t>Once paid, AED 1,314.50/month returns to you permanently</t>
        </is>
      </c>
    </row>
    <row r="30" ht="19.5" customHeight="1" s="278">
      <c r="A30" s="382" t="inlineStr">
        <is>
          <t>STAGE 3 · FAMILY   ·   start the insurance check now, the saving after Stage 2</t>
        </is>
      </c>
      <c r="B30" s="287" t="n"/>
      <c r="C30" s="287" t="n"/>
      <c r="D30" s="287" t="n"/>
      <c r="E30" s="287" t="n"/>
      <c r="F30" s="287" t="n"/>
    </row>
    <row r="31" ht="27.75" customHeight="1" s="278">
      <c r="A31" s="383" t="n"/>
      <c r="B31" s="383" t="inlineStr">
        <is>
          <t>Item</t>
        </is>
      </c>
      <c r="C31" s="383" t="inlineStr">
        <is>
          <t>Amount</t>
        </is>
      </c>
      <c r="D31" s="383" t="inlineStr">
        <is>
          <t>When</t>
        </is>
      </c>
      <c r="E31" s="383" t="n"/>
      <c r="F31" s="383" t="inlineStr">
        <is>
          <t>Note</t>
        </is>
      </c>
    </row>
    <row r="32" ht="18.75" customHeight="1" s="278">
      <c r="B32" s="366" t="inlineStr">
        <is>
          <t>Maternity provision</t>
        </is>
      </c>
      <c r="C32" s="293">
        <f>'Family &amp; Future Security'!$B$32</f>
        <v>11000.0</v>
      </c>
      <c r="F32" s="368" t="inlineStr">
        <is>
          <t>Her EBP covers most of it — this is the gap plus newborn essentials</t>
        </is>
      </c>
    </row>
    <row r="33" ht="15" customHeight="1" s="278">
      <c r="B33" s="366" t="inlineStr">
        <is>
          <t>→ contingency for scans and extras</t>
        </is>
      </c>
      <c r="C33" s="293">
        <f>'Family &amp; Future Security'!$B$30</f>
        <v>3000.0</v>
      </c>
      <c r="F33" s="368" t="inlineStr">
        <is>
          <t>Editable on the Family sheet</t>
        </is>
      </c>
    </row>
    <row r="34" ht="15" customHeight="1" s="278">
      <c r="B34" s="366" t="inlineStr">
        <is>
          <t>→ newborn first year</t>
        </is>
      </c>
      <c r="C34" s="293">
        <f>Settings!$B$149</f>
        <v>8000.0</v>
      </c>
      <c r="F34" s="368" t="inlineStr">
        <is>
          <t>Crib, car seat, paediatrician — insurance covers none of it</t>
        </is>
      </c>
    </row>
    <row r="35" ht="18.75" customHeight="1" s="278">
      <c r="B35" s="296" t="inlineStr">
        <is>
          <t>CONFIRM WITH HR</t>
        </is>
      </c>
      <c r="C35" s="301" t="inlineStr">
        <is>
          <t>—</t>
        </is>
      </c>
      <c r="F35" s="302" t="inlineStr">
        <is>
          <t>Five-minute call: is maternity excluded on the Basic tier? Do this regardless of timing.</t>
        </is>
      </c>
    </row>
    <row r="37" ht="19.5" customHeight="1" s="278">
      <c r="A37" s="382" t="inlineStr">
        <is>
          <t>STAGE 4 · INVESTMENTS   ·   already running — protect it, then accelerate</t>
        </is>
      </c>
      <c r="B37" s="287" t="n"/>
      <c r="C37" s="287" t="n"/>
      <c r="D37" s="287" t="n"/>
      <c r="E37" s="287" t="n"/>
      <c r="F37" s="287" t="n"/>
    </row>
    <row r="38" ht="27.75" customHeight="1" s="278">
      <c r="A38" s="383" t="n"/>
      <c r="B38" s="383" t="inlineStr">
        <is>
          <t>Path</t>
        </is>
      </c>
      <c r="C38" s="383" t="inlineStr">
        <is>
          <t>Timeline to ₹1 crore</t>
        </is>
      </c>
      <c r="D38" s="383" t="inlineStr">
        <is>
          <t>Monthly cost</t>
        </is>
      </c>
      <c r="E38" s="383" t="n"/>
      <c r="F38" s="383" t="inlineStr">
        <is>
          <t>Trade-off</t>
        </is>
      </c>
    </row>
    <row r="39" ht="15" customHeight="1" s="278">
      <c r="B39" s="366" t="inlineStr">
        <is>
          <t>Keep SIP flat (₹12,000/mo)</t>
        </is>
      </c>
      <c r="C39" s="303" t="inlineStr">
        <is>
          <t>13.4 years</t>
        </is>
      </c>
      <c r="D39" s="304" t="inlineStr">
        <is>
          <t>₹12,000</t>
        </is>
      </c>
      <c r="F39" s="368" t="inlineStr">
        <is>
          <t>No change. Slowest, but survivable today.</t>
        </is>
      </c>
    </row>
    <row r="40" ht="15" customHeight="1" s="278">
      <c r="B40" s="366" t="inlineStr">
        <is>
          <t>10% annual step-up</t>
        </is>
      </c>
      <c r="C40" s="303" t="inlineStr">
        <is>
          <t>11.8 years</t>
        </is>
      </c>
      <c r="D40" s="304" t="inlineStr">
        <is>
          <t>Grows to ₹28,297 by yr 10</t>
        </is>
      </c>
      <c r="F40" s="368" t="inlineStr">
        <is>
          <t>Costs more every year. Needs real income growth.</t>
        </is>
      </c>
    </row>
    <row r="41" ht="15" customHeight="1" s="278">
      <c r="B41" s="366" t="inlineStr">
        <is>
          <t>Step-up + restart Motilal ₹6k for 5 yrs</t>
        </is>
      </c>
      <c r="C41" s="303" t="inlineStr">
        <is>
          <t>10.75 years</t>
        </is>
      </c>
      <c r="D41" s="304" t="inlineStr">
        <is>
          <t>Peaks ~₹34,000/mo in yr 5</t>
        </is>
      </c>
      <c r="F41" s="368" t="inlineStr">
        <is>
          <t>Fastest realistic path. Motilal is your best performer at 23.81%.</t>
        </is>
      </c>
    </row>
    <row r="42" ht="18.75" customHeight="1" s="278">
      <c r="B42" s="366" t="inlineStr">
        <is>
          <t>Step-up + Motilal forever</t>
        </is>
      </c>
      <c r="C42" s="303" t="inlineStr">
        <is>
          <t>10.4 years</t>
        </is>
      </c>
      <c r="D42" s="304" t="inlineStr">
        <is>
          <t>Same, ongoing</t>
        </is>
      </c>
      <c r="F42" s="368" t="inlineStr">
        <is>
          <t>Only 4 months faster than stopping at 5 years — not worth the extra commitment.</t>
        </is>
      </c>
    </row>
    <row r="43" ht="18.75" customHeight="1" s="278">
      <c r="B43" s="305" t="inlineStr">
        <is>
          <t>7 years is not achievable</t>
        </is>
      </c>
      <c r="C43" s="301" t="inlineStr">
        <is>
          <t>—</t>
        </is>
      </c>
      <c r="F43" s="302" t="inlineStr">
        <is>
          <t>Would need ~₹55,000/month, roughly 4.5× your salary. The lever that moves this is income growth, not fund selection.</t>
        </is>
      </c>
    </row>
    <row r="44" ht="18.75" customHeight="1" s="278">
      <c r="B44" s="296" t="inlineStr">
        <is>
          <t>Current portfolio</t>
        </is>
      </c>
      <c r="C44" s="293">
        <f>Settings!$B$114</f>
        <v>12805.3317681146</v>
      </c>
      <c r="F44" s="368" t="inlineStr">
        <is>
          <t>MF ₹245,086 + Amana AED 3,176 + Binance AED 192. Nippon is 95% of the MF side — concentrated in one fund house.</t>
        </is>
      </c>
    </row>
    <row r="46" ht="19.5" customHeight="1" s="278">
      <c r="A46" s="382" t="inlineStr">
        <is>
          <t>STAGE 5 · GOALS &amp; HOME   ·   funded only after Stages 1–3</t>
        </is>
      </c>
      <c r="B46" s="287" t="n"/>
      <c r="C46" s="287" t="n"/>
      <c r="D46" s="287" t="n"/>
      <c r="E46" s="287" t="n"/>
      <c r="F46" s="287" t="n"/>
    </row>
    <row r="47" ht="27.75" customHeight="1" s="278">
      <c r="A47" s="383" t="n"/>
      <c r="B47" s="383" t="inlineStr">
        <is>
          <t>Goal</t>
        </is>
      </c>
      <c r="C47" s="383" t="inlineStr">
        <is>
          <t>Amount</t>
        </is>
      </c>
      <c r="D47" s="383" t="inlineStr">
        <is>
          <t>When</t>
        </is>
      </c>
      <c r="E47" s="383" t="inlineStr">
        <is>
          <t>Per week</t>
        </is>
      </c>
      <c r="F47" s="383" t="inlineStr">
        <is>
          <t>Reality</t>
        </is>
      </c>
    </row>
    <row r="48" ht="15" customHeight="1" s="278">
      <c r="B48" s="296" t="inlineStr">
        <is>
          <t>UNTOLD Dubai · 1 ticket</t>
        </is>
      </c>
      <c r="C48" s="293">
        <f>Settings!$B$135</f>
        <v>350.0</v>
      </c>
      <c r="D48" s="299" t="n">
        <v>46331</v>
      </c>
      <c r="E48" s="306">
        <f>'Goals &amp; Future Planning'!$B$19</f>
        <v>31.8181818182</v>
      </c>
      <c r="F48" s="368" t="inlineStr">
        <is>
          <t>Fundable once the rent gap closes — not before</t>
        </is>
      </c>
    </row>
    <row r="49" ht="15" customHeight="1" s="278">
      <c r="B49" s="296" t="inlineStr">
        <is>
          <t>Couple's trip · 4–5 days</t>
        </is>
      </c>
      <c r="C49" s="293">
        <f>Settings!$B$136</f>
        <v>4000.0</v>
      </c>
      <c r="D49" s="301" t="inlineStr">
        <is>
          <t>—</t>
        </is>
      </c>
      <c r="E49" s="307" t="inlineStr">
        <is>
          <t>—</t>
        </is>
      </c>
      <c r="F49" s="368" t="inlineStr">
        <is>
          <t>No date set. Set one on Settings to activate the countdown.</t>
        </is>
      </c>
    </row>
    <row r="50" ht="15" customHeight="1" s="278">
      <c r="B50" s="296" t="inlineStr">
        <is>
          <t>January rent cheque</t>
        </is>
      </c>
      <c r="C50" s="293">
        <f>Settings!$B$128</f>
        <v>11750.0</v>
      </c>
      <c r="D50" s="299" t="n">
        <v>46409</v>
      </c>
      <c r="E50" s="307" t="inlineStr">
        <is>
          <t>—</t>
        </is>
      </c>
      <c r="F50" s="368" t="inlineStr">
        <is>
          <t>Quarterly. Assumed flat — confirm with the landlord.</t>
        </is>
      </c>
    </row>
    <row r="51" ht="18.75" customHeight="1" s="278">
      <c r="B51" s="296" t="inlineStr">
        <is>
          <t>Home · Dubai</t>
        </is>
      </c>
      <c r="C51" s="293">
        <f>1000000</f>
        <v>1000000.0</v>
      </c>
      <c r="D51" s="301" t="inlineStr">
        <is>
          <t>—</t>
        </is>
      </c>
      <c r="E51" s="307" t="inlineStr">
        <is>
          <t>—</t>
        </is>
      </c>
      <c r="F51" s="368" t="inlineStr">
        <is>
          <t>Needs ~AED 270–280k cash at closing and AED 15,000/mo salary. Not eligible on current income — multi-year, income-led.</t>
        </is>
      </c>
    </row>
    <row r="52" ht="15" customHeight="1" s="278">
      <c r="B52" s="296" t="inlineStr">
        <is>
          <t>Home · India</t>
        </is>
      </c>
      <c r="C52" s="293">
        <f>0</f>
        <v>0.0</v>
      </c>
      <c r="D52" s="301" t="inlineStr">
        <is>
          <t>—</t>
        </is>
      </c>
      <c r="E52" s="307" t="inlineStr">
        <is>
          <t>—</t>
        </is>
      </c>
      <c r="F52" s="368" t="inlineStr">
        <is>
          <t>No city set. Tell me where and I'll research real numbers.</t>
        </is>
      </c>
    </row>
    <row r="55" ht="19.5" customHeight="1" s="278">
      <c r="A55" s="382" t="inlineStr">
        <is>
          <t>IF YOU REMEMBER ONE THING</t>
        </is>
      </c>
      <c r="B55" s="287" t="n"/>
      <c r="C55" s="287" t="n"/>
      <c r="D55" s="287" t="n"/>
      <c r="E55" s="287" t="n"/>
      <c r="F55" s="287" t="n"/>
    </row>
    <row r="56" ht="15" customHeight="1" s="278">
      <c r="B56" s="308" t="str">
        <f>"Earn AED "&amp;TEXT(Settings!$B$83,"#,##0.00")&amp;" a week and don't spend it. That single number closes the rent gap. Everything else on this sheet — the emergency fund, the maternity provision, UNTOLD, the trip, the ₹1 crore timeline, the home — waits behind it and becomes possible once it's done."</f>
        <v>Earn AED 386.38 a week and don't spend it. That single number closes the rent gap. Everything else on this sheet — the emergency fund, the maternity provision, UNTOLD, the trip, the ₹1 crore timeline, the home — waits behind it and becomes possible once it's done.</v>
      </c>
    </row>
    <row r="57" ht="15" customHeight="1" s="278"/>
    <row r="58" ht="15" customHeight="1" s="278"/>
  </sheetData>
  <mergeCells count="1">
    <mergeCell ref="B56:F58"/>
  </mergeCells>
  <conditionalFormatting sqref="C12">
    <cfRule type="cellIs" rank="0" priority="2" equalAverage="0" operator="equal" aboveAverage="0" dxfId="0" text="" percent="0" bottom="0">
      <formula>"CRITICAL"</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C6A15B"/>
    <outlinePr summaryBelow="1" summaryRight="1"/>
    <pageSetUpPr fitToPage="1"/>
  </sheetPr>
  <dimension ref="A1:L52"/>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52" customWidth="1" style="277" min="1" max="12"/>
  </cols>
  <sheetData>
    <row r="1" ht="33.75" customHeight="1" s="278">
      <c r="A1" s="309" t="inlineStr">
        <is>
          <t>JOHNNY'S EDGE</t>
        </is>
      </c>
    </row>
    <row r="2" ht="15.75" customHeight="1" s="278">
      <c r="A2" s="291" t="str">
        <f>"Financial Command Center   ·   "&amp;TEXT(Settings!$B$9,"dddd, dd mmmm yyyy")&amp;"   ·   "&amp;Settings!$B$66&amp;" days until income"</f>
        <v>Financial Command Center   ·   Wednesday, 26 August 2026   ·   31 days until income</v>
      </c>
    </row>
    <row r="3" ht="7.5" customHeight="1" s="278"/>
    <row r="4" ht="25.5" customHeight="1" s="278">
      <c r="A4" s="310" t="str">
        <f>Settings!$B$109&amp;"   ·   HEALTH SCORE "&amp;TEXT(Settings!$B$108,"0")&amp;"/100"&amp;CHAR(10)&amp;IF(Settings!$B$72&lt;0,"After protecting rent and every confirmed commitment you are short by AED "&amp;TEXT(Settings!$B$81,"#,##0.00")&amp;" to reach 21 October. Nothing is safe to spend beyond AED "&amp;TEXT(Settings!$B$75,"#,##0.00")&amp;" a day.","After protecting rent and every confirmed commitment you have AED "&amp;TEXT(Settings!$B$72,"#,##0.00")&amp;" for "&amp;Settings!$B$73&amp;" days — about AED "&amp;TEXT(Settings!$B$75,"#,##0.00")&amp;" a day.")</f>
        <v>CRITICAL   ·   HEALTH SCORE 18/100
After protecting rent and every confirmed commitment you are short by AED 3,091.03 to reach 21 October. Nothing is safe to spend beyond AED 0.00 a day.</v>
      </c>
    </row>
    <row r="5" ht="25.5" customHeight="1" s="278"/>
    <row r="7" ht="18" customHeight="1" s="278">
      <c r="A7" s="311" t="inlineStr">
        <is>
          <t>CASH POSITION</t>
        </is>
      </c>
    </row>
    <row r="8" ht="15.75" customHeight="1" s="278">
      <c r="A8" s="312" t="inlineStr">
        <is>
          <t>TOTAL LIQUID CASH</t>
        </is>
      </c>
      <c r="B8" s="313" t="n"/>
      <c r="C8" s="314" t="n"/>
      <c r="D8" s="312" t="inlineStr">
        <is>
          <t>PROTECTED / RESERVED</t>
        </is>
      </c>
      <c r="E8" s="313" t="n"/>
      <c r="F8" s="314" t="n"/>
      <c r="G8" s="312" t="inlineStr">
        <is>
          <t>TRUE SPENDABLE CASH</t>
        </is>
      </c>
      <c r="H8" s="313" t="n"/>
      <c r="I8" s="314" t="n"/>
      <c r="J8" s="312" t="inlineStr">
        <is>
          <t>TOTAL ACCESSIBLE ASSETS</t>
        </is>
      </c>
      <c r="K8" s="313" t="n"/>
      <c r="L8" s="314" t="n"/>
    </row>
    <row r="9" ht="24" customHeight="1" s="278">
      <c r="A9" s="315">
        <f>Settings!$B$60</f>
        <v>6105.17</v>
      </c>
      <c r="C9" s="316" t="n"/>
      <c r="D9" s="315">
        <f>Settings!$B$61</f>
        <v>5948.37</v>
      </c>
      <c r="F9" s="316" t="n"/>
      <c r="G9" s="315">
        <f>Settings!$B$62</f>
        <v>156.8</v>
      </c>
      <c r="I9" s="316" t="n"/>
      <c r="J9" s="317">
        <f>Settings!$B$115</f>
        <v>18910.5017681146</v>
      </c>
      <c r="K9" s="318" t="n"/>
      <c r="L9" s="319" t="n"/>
    </row>
    <row r="10" ht="7.5" customHeight="1" s="278">
      <c r="A10" s="320" t="inlineStr">
        <is>
          <t>All AED accounts</t>
        </is>
      </c>
      <c r="B10" s="321" t="n"/>
      <c r="C10" s="322" t="n"/>
      <c r="D10" s="320" t="inlineStr">
        <is>
          <t>Rent vault + emergency</t>
        </is>
      </c>
      <c r="E10" s="321" t="n"/>
      <c r="F10" s="322" t="n"/>
      <c r="G10" s="320" t="inlineStr">
        <is>
          <t>Before upcoming bills</t>
        </is>
      </c>
      <c r="H10" s="321" t="n"/>
      <c r="I10" s="322" t="n"/>
      <c r="J10" s="320" t="inlineStr">
        <is>
          <t>Cash + investments</t>
        </is>
      </c>
      <c r="K10" s="321" t="n"/>
      <c r="L10" s="322" t="n"/>
    </row>
    <row r="11" ht="15.75" customHeight="1" s="278">
      <c r="A11" s="312" t="inlineStr">
        <is>
          <t>EMERGENCY FUND</t>
        </is>
      </c>
      <c r="B11" s="313" t="n"/>
      <c r="C11" s="314" t="n"/>
      <c r="D11" s="312" t="inlineStr">
        <is>
          <t>INVESTMENTS (AED)</t>
        </is>
      </c>
      <c r="E11" s="313" t="n"/>
      <c r="F11" s="314" t="n"/>
      <c r="G11" s="312" t="inlineStr">
        <is>
          <t>BNPL EXPOSURE</t>
        </is>
      </c>
      <c r="H11" s="313" t="n"/>
      <c r="I11" s="314" t="n"/>
      <c r="J11" s="312" t="inlineStr">
        <is>
          <t>RENT FUNDED</t>
        </is>
      </c>
      <c r="K11" s="313" t="n"/>
      <c r="L11" s="314" t="n"/>
    </row>
    <row r="12" ht="24" customHeight="1" s="278">
      <c r="A12" s="315">
        <f>Settings!$B$98</f>
        <v>7.67</v>
      </c>
      <c r="C12" s="316" t="n"/>
      <c r="D12" s="317">
        <f>Settings!$B$96+Settings!$B$110+Settings!$B$113</f>
        <v>12805.3317681146</v>
      </c>
      <c r="E12" s="318" t="n"/>
      <c r="F12" s="319" t="n"/>
      <c r="G12" s="315">
        <f>Settings!$B$101</f>
        <v>2687.36</v>
      </c>
      <c r="I12" s="316" t="n"/>
      <c r="J12" s="323">
        <f>Settings!$B$100</f>
        <v>0.5055914894</v>
      </c>
      <c r="L12" s="316" t="n"/>
    </row>
    <row r="13" ht="12.75" customHeight="1" s="278">
      <c r="A13" s="320" t="str">
        <f>"Target AED "&amp;TEXT(Settings!$B$23,"#,##0")&amp;" · "&amp;TEXT(Settings!$B$99,"0.0%")</f>
        <v>Target AED 1,000 · 0.8%</v>
      </c>
      <c r="B13" s="321" t="n"/>
      <c r="C13" s="322" t="n"/>
      <c r="D13" s="324" t="str">
        <f>"MF "&amp;TEXT(Settings!$B$96,"#,##0")&amp;" + Amana "&amp;TEXT(Settings!$B$110,"#,##0")&amp;" + Binance "&amp;TEXT(Settings!$B$113,"#,##0")</f>
        <v>MF 9,437 + Amana 3,176 + Binance 192</v>
      </c>
      <c r="E13" s="318" t="n"/>
      <c r="F13" s="319" t="n"/>
      <c r="G13" s="320" t="inlineStr">
        <is>
          <t>Tabby — card frozen</t>
        </is>
      </c>
      <c r="H13" s="321" t="n"/>
      <c r="I13" s="322" t="n"/>
      <c r="J13" s="320" t="str">
        <f>"AED "&amp;TEXT(Settings!$B$70,"#,##0.00")&amp;" still to fund"</f>
        <v>AED 5,809.30 still to fund</v>
      </c>
      <c r="K13" s="321" t="n"/>
      <c r="L13" s="322" t="n"/>
    </row>
    <row r="14" ht="7.5" customHeight="1" s="278"/>
    <row r="15" ht="18" customHeight="1" s="278">
      <c r="A15" s="311" t="inlineStr">
        <is>
          <t>THIS MONTH</t>
        </is>
      </c>
    </row>
    <row r="16" ht="15.75" customHeight="1" s="278">
      <c r="A16" s="312" t="inlineStr">
        <is>
          <t>INCOME RECEIVED</t>
        </is>
      </c>
      <c r="B16" s="313" t="n"/>
      <c r="C16" s="314" t="n"/>
      <c r="D16" s="312" t="inlineStr">
        <is>
          <t>SPENT THIS MONTH</t>
        </is>
      </c>
      <c r="E16" s="313" t="n"/>
      <c r="F16" s="314" t="n"/>
      <c r="G16" s="312" t="inlineStr">
        <is>
          <t>HOUSEHOLD</t>
        </is>
      </c>
      <c r="H16" s="313" t="n"/>
      <c r="I16" s="314" t="n"/>
      <c r="J16" s="312" t="inlineStr">
        <is>
          <t>PERSONAL / LIFESTYLE</t>
        </is>
      </c>
      <c r="K16" s="313" t="n"/>
      <c r="L16" s="314" t="n"/>
    </row>
    <row r="17" ht="24" customHeight="1" s="278">
      <c r="A17" s="315">
        <f>Settings!$B$85</f>
        <v>11466.7</v>
      </c>
      <c r="C17" s="316" t="n"/>
      <c r="D17" s="315">
        <f>Settings!$B$86</f>
        <v>7587.65</v>
      </c>
      <c r="F17" s="316" t="n"/>
      <c r="G17" s="315">
        <f>Settings!$B$87</f>
        <v>6028.4</v>
      </c>
      <c r="I17" s="316" t="n"/>
      <c r="J17" s="315">
        <f>Settings!$B$88</f>
        <v>1559.25</v>
      </c>
      <c r="L17" s="316" t="n"/>
    </row>
    <row r="18" ht="12.75" customHeight="1" s="278">
      <c r="A18" s="320" t="inlineStr">
        <is>
          <t>Banked only</t>
        </is>
      </c>
      <c r="B18" s="321" t="n"/>
      <c r="C18" s="322" t="n"/>
      <c r="D18" s="320" t="str">
        <f>"Avg AED "&amp;TEXT(Settings!$B$90,"#,##0.00")&amp;"/day"</f>
        <v>Avg AED 119.99/day</v>
      </c>
      <c r="E18" s="321" t="n"/>
      <c r="F18" s="322" t="n"/>
      <c r="G18" s="320" t="inlineStr">
        <is>
          <t>Essential home costs</t>
        </is>
      </c>
      <c r="H18" s="321" t="n"/>
      <c r="I18" s="322" t="n"/>
      <c r="J18" s="320" t="inlineStr">
        <is>
          <t>Discretionary</t>
        </is>
      </c>
      <c r="K18" s="321" t="n"/>
      <c r="L18" s="322" t="n"/>
    </row>
    <row r="19" ht="15.75" customHeight="1" s="278">
      <c r="A19" s="312" t="inlineStr">
        <is>
          <t>REMAINING OBLIGATIONS</t>
        </is>
      </c>
      <c r="B19" s="313" t="n"/>
      <c r="C19" s="314" t="n"/>
      <c r="D19" s="312" t="inlineStr">
        <is>
          <t>EXPECTED INFLOWS</t>
        </is>
      </c>
      <c r="E19" s="313" t="n"/>
      <c r="F19" s="314" t="n"/>
      <c r="G19" s="312" t="inlineStr">
        <is>
          <t>PROJECTED MONTH-END CASH</t>
        </is>
      </c>
      <c r="H19" s="313" t="n"/>
      <c r="I19" s="314" t="n"/>
      <c r="J19" s="312" t="inlineStr">
        <is>
          <t>DAYS UNTIL INCOME</t>
        </is>
      </c>
      <c r="K19" s="313" t="n"/>
      <c r="L19" s="314" t="n"/>
    </row>
    <row r="20" ht="24" customHeight="1" s="278">
      <c r="A20" s="315">
        <f>Settings!$B$92</f>
        <v>0.0</v>
      </c>
      <c r="C20" s="316" t="n"/>
      <c r="D20" s="315">
        <f>Settings!$B$93</f>
        <v>0.0</v>
      </c>
      <c r="F20" s="316" t="n"/>
      <c r="G20" s="315">
        <f>Settings!$B$94</f>
        <v>-443.1596153846</v>
      </c>
      <c r="I20" s="316" t="n"/>
      <c r="J20" s="325">
        <f>Settings!$B$66</f>
        <v>31.0</v>
      </c>
      <c r="L20" s="316" t="n"/>
    </row>
    <row r="21" ht="12.75" customHeight="1" s="278">
      <c r="A21" s="320" t="inlineStr">
        <is>
          <t>Bills left this month</t>
        </is>
      </c>
      <c r="B21" s="321" t="n"/>
      <c r="C21" s="322" t="n"/>
      <c r="D21" s="320" t="inlineStr">
        <is>
          <t>Not yet banked</t>
        </is>
      </c>
      <c r="E21" s="321" t="n"/>
      <c r="F21" s="322" t="n"/>
      <c r="G21" s="320" t="inlineStr">
        <is>
          <t>At current burn rate</t>
        </is>
      </c>
      <c r="H21" s="321" t="n"/>
      <c r="I21" s="322" t="n"/>
      <c r="J21" s="320" t="str">
        <f>"Payday "&amp;TEXT(Settings!$B$12,"dd mmm")</f>
        <v>Payday 26 Sep</v>
      </c>
      <c r="K21" s="321" t="n"/>
      <c r="L21" s="322" t="n"/>
    </row>
    <row r="22" ht="7.5" customHeight="1" s="278"/>
    <row r="23" ht="18" customHeight="1" s="278">
      <c r="A23" s="311" t="inlineStr">
        <is>
          <t>WHAT YOU MAY ACTUALLY SPEND</t>
        </is>
      </c>
    </row>
    <row r="24" ht="15.75" customHeight="1" s="278">
      <c r="A24" s="326" t="inlineStr">
        <is>
          <t>SURVIVAL / WEEK</t>
        </is>
      </c>
      <c r="B24" s="318" t="n"/>
      <c r="C24" s="319" t="n"/>
      <c r="D24" s="326" t="inlineStr">
        <is>
          <t>SAFE / WEEK</t>
        </is>
      </c>
      <c r="E24" s="318" t="n"/>
      <c r="F24" s="319" t="n"/>
      <c r="G24" s="326" t="inlineStr">
        <is>
          <t>COMFORTABLE / WEEK</t>
        </is>
      </c>
      <c r="H24" s="318" t="n"/>
      <c r="I24" s="319" t="n"/>
      <c r="J24" s="312" t="inlineStr">
        <is>
          <t>WEEKEND ALLOWANCE</t>
        </is>
      </c>
      <c r="K24" s="313" t="n"/>
      <c r="L24" s="314" t="n"/>
    </row>
    <row r="25" ht="24" customHeight="1" s="278">
      <c r="A25" s="317">
        <f>Settings!$B$76*7</f>
        <v>-332.0551612903</v>
      </c>
      <c r="B25" s="318" t="n"/>
      <c r="C25" s="319" t="n"/>
      <c r="D25" s="317">
        <f>Settings!$B$75*7</f>
        <v>0.0</v>
      </c>
      <c r="E25" s="318" t="n"/>
      <c r="F25" s="319" t="n"/>
      <c r="G25" s="317">
        <f>Settings!$B$77*7</f>
        <v>0.0</v>
      </c>
      <c r="H25" s="318" t="n"/>
      <c r="I25" s="319" t="n"/>
      <c r="J25" s="315">
        <f>Settings!$B$78</f>
        <v>0.0</v>
      </c>
      <c r="L25" s="316" t="n"/>
    </row>
    <row r="26" ht="12.75" customHeight="1" s="278">
      <c r="A26" s="327" t="str">
        <f>"AED "&amp;TEXT(Settings!$B$76,"#,##0.00")&amp;"/day"</f>
        <v>AED -47.44/day</v>
      </c>
      <c r="B26" s="318" t="n"/>
      <c r="C26" s="319" t="n"/>
      <c r="D26" s="327" t="str">
        <f>"AED "&amp;TEXT(Settings!$B$75,"#,##0.00")&amp;"/day · the binding limit"</f>
        <v>AED 0.00/day · the binding limit</v>
      </c>
      <c r="E26" s="318" t="n"/>
      <c r="F26" s="319" t="n"/>
      <c r="G26" s="327" t="inlineStr">
        <is>
          <t>Zero unless finances allow</t>
        </is>
      </c>
      <c r="H26" s="318" t="n"/>
      <c r="I26" s="319" t="n"/>
      <c r="J26" s="320" t="inlineStr">
        <is>
          <t>Safe daily x weekend length</t>
        </is>
      </c>
      <c r="K26" s="321" t="n"/>
      <c r="L26" s="322" t="n"/>
    </row>
    <row r="27" ht="7.5" customHeight="1" s="278"/>
    <row r="28" ht="18" customHeight="1" s="278">
      <c r="A28" s="311" t="inlineStr">
        <is>
          <t>THE GAP</t>
        </is>
      </c>
    </row>
    <row r="29" ht="15.75" customHeight="1" s="278">
      <c r="A29" s="312" t="inlineStr">
        <is>
          <t>FINANCIAL GAP</t>
        </is>
      </c>
      <c r="B29" s="313" t="n"/>
      <c r="C29" s="314" t="n"/>
      <c r="D29" s="312" t="inlineStr">
        <is>
          <t>GAP WITHOUT BUFFER</t>
        </is>
      </c>
      <c r="E29" s="313" t="n"/>
      <c r="F29" s="314" t="n"/>
      <c r="G29" s="312" t="inlineStr">
        <is>
          <t>EXTRA INCOME / DAY</t>
        </is>
      </c>
      <c r="H29" s="313" t="n"/>
      <c r="I29" s="314" t="n"/>
      <c r="J29" s="312" t="inlineStr">
        <is>
          <t>EXTRA INCOME / WEEK</t>
        </is>
      </c>
      <c r="K29" s="313" t="n"/>
      <c r="L29" s="314" t="n"/>
    </row>
    <row r="30" ht="24" customHeight="1" s="278">
      <c r="A30" s="315">
        <f>Settings!$B$81</f>
        <v>3091.03</v>
      </c>
      <c r="C30" s="316" t="n"/>
      <c r="D30" s="315">
        <f>Settings!$B$80</f>
        <v>2841.03</v>
      </c>
      <c r="F30" s="316" t="n"/>
      <c r="G30" s="315">
        <f>Settings!$B$82</f>
        <v>55.1969642857</v>
      </c>
      <c r="I30" s="316" t="n"/>
      <c r="J30" s="315">
        <f>Settings!$B$83</f>
        <v>386.37875</v>
      </c>
      <c r="L30" s="316" t="n"/>
    </row>
    <row r="31" ht="12.75" customHeight="1" s="278">
      <c r="A31" s="320" t="inlineStr">
        <is>
          <t>To 21 Oct, buffer intact</t>
        </is>
      </c>
      <c r="B31" s="321" t="n"/>
      <c r="C31" s="322" t="n"/>
      <c r="D31" s="320" t="inlineStr">
        <is>
          <t>If you sacrifice the buffer</t>
        </is>
      </c>
      <c r="E31" s="321" t="n"/>
      <c r="F31" s="322" t="n"/>
      <c r="G31" s="320" t="inlineStr">
        <is>
          <t>To close the gap</t>
        </is>
      </c>
      <c r="H31" s="321" t="n"/>
      <c r="I31" s="322" t="n"/>
      <c r="J31" s="320" t="inlineStr">
        <is>
          <t>Weekly earning target</t>
        </is>
      </c>
      <c r="K31" s="321" t="n"/>
      <c r="L31" s="322" t="n"/>
    </row>
    <row r="32" ht="7.5" customHeight="1" s="278"/>
    <row r="33" ht="18" customHeight="1" s="278">
      <c r="A33" s="311" t="inlineStr">
        <is>
          <t>UPCOMING OBLIGATIONS  ·  next payments, soonest first</t>
        </is>
      </c>
    </row>
    <row r="34" ht="18" customHeight="1" s="278">
      <c r="A34" s="328" t="inlineStr">
        <is>
          <t>Payment</t>
        </is>
      </c>
      <c r="B34" s="318" t="n"/>
      <c r="C34" s="319" t="n"/>
      <c r="D34" s="328" t="inlineStr">
        <is>
          <t>Due date</t>
        </is>
      </c>
      <c r="E34" s="319" t="n"/>
      <c r="F34" s="328" t="inlineStr">
        <is>
          <t>Amount</t>
        </is>
      </c>
      <c r="G34" s="328" t="inlineStr">
        <is>
          <t>Pay from</t>
        </is>
      </c>
      <c r="H34" s="319" t="n"/>
      <c r="I34" s="328" t="inlineStr">
        <is>
          <t>Certainty</t>
        </is>
      </c>
      <c r="J34" s="328" t="inlineStr">
        <is>
          <t>Status</t>
        </is>
      </c>
      <c r="K34" s="319" t="n"/>
      <c r="L34" s="328" t="inlineStr">
        <is>
          <t>Days left</t>
        </is>
      </c>
    </row>
    <row r="35" ht="15.75" customHeight="1" s="278">
      <c r="A35" s="329" t="str">
        <f>IF(SMALL('Bills &amp; Commitments'!$S$7:$S$80,1)&gt;=99999,"",IFERROR(INDEX('Bills &amp; Commitments'!$B$7:$B$80,MATCH(SMALL('Bills &amp; Commitments'!$S$7:$S$80,1),'Bills &amp; Commitments'!$S$7:$S$80,0)),""))</f>
        <v>Nippon SIP — September</v>
      </c>
      <c r="B35" s="318" t="n"/>
      <c r="C35" s="319" t="n"/>
      <c r="D35" s="330">
        <f>IF(SMALL('Bills &amp; Commitments'!$S$7:$S$80,1)&gt;=99999,"",IFERROR(INDEX('Bills &amp; Commitments'!$A$7:$A$80,MATCH(SMALL('Bills &amp; Commitments'!$S$7:$S$80,1),'Bills &amp; Commitments'!$S$7:$S$80,0)),""))</f>
        <v>46275.0</v>
      </c>
      <c r="E35" s="319" t="n"/>
      <c r="F35" s="331">
        <f>IF(SMALL('Bills &amp; Commitments'!$S$7:$S$80,1)&gt;=99999,"",IFERROR(INDEX('Bills &amp; Commitments'!$G$7:$G$80,MATCH(SMALL('Bills &amp; Commitments'!$S$7:$S$80,1),'Bills &amp; Commitments'!$S$7:$S$80,0)),""))</f>
        <v>462.4</v>
      </c>
      <c r="G35" s="332" t="str">
        <f>IF(SMALL('Bills &amp; Commitments'!$S$7:$S$80,1)&gt;=99999,"",IFERROR(INDEX('Bills &amp; Commitments'!$K$7:$K$80,MATCH(SMALL('Bills &amp; Commitments'!$S$7:$S$80,1),'Bills &amp; Commitments'!$S$7:$S$80,0)),""))</f>
        <v>ICICI (INR)</v>
      </c>
      <c r="H35" s="319" t="n"/>
      <c r="I35" s="332" t="str">
        <f>IF(SMALL('Bills &amp; Commitments'!$S$7:$S$80,1)&gt;=99999,"",IFERROR(INDEX('Bills &amp; Commitments'!$O$7:$O$80,MATCH(SMALL('Bills &amp; Commitments'!$S$7:$S$80,1),'Bills &amp; Commitments'!$S$7:$S$80,0)),""))</f>
        <v>Estimated</v>
      </c>
      <c r="J35" s="332" t="str">
        <f>IF(SMALL('Bills &amp; Commitments'!$S$7:$S$80,1)&gt;=99999,"",IFERROR(INDEX('Bills &amp; Commitments'!$Q$7:$Q$80,MATCH(SMALL('Bills &amp; Commitments'!$S$7:$S$80,1),'Bills &amp; Commitments'!$S$7:$S$80,0)),""))</f>
        <v>Scheduled</v>
      </c>
      <c r="K35" s="319" t="n"/>
      <c r="L35" s="333">
        <f>IF(SMALL('Bills &amp; Commitments'!$S$7:$S$80,1)&gt;=99999,"",IFERROR(INDEX('Bills &amp; Commitments'!$P$7:$P$80,MATCH(SMALL('Bills &amp; Commitments'!$S$7:$S$80,1),'Bills &amp; Commitments'!$S$7:$S$80,0)),""))</f>
        <v>15.0</v>
      </c>
    </row>
    <row r="36" ht="15.75" customHeight="1" s="278">
      <c r="A36" s="329" t="str">
        <f>IF(SMALL('Bills &amp; Commitments'!$S$7:$S$80,2)&gt;=99999,"",IFERROR(INDEX('Bills &amp; Commitments'!$B$7:$B$80,MATCH(SMALL('Bills &amp; Commitments'!$S$7:$S$80,2),'Bills &amp; Commitments'!$S$7:$S$80,0)),""))</f>
        <v>du — September</v>
      </c>
      <c r="B36" s="318" t="n"/>
      <c r="C36" s="319" t="n"/>
      <c r="D36" s="330">
        <f>IF(SMALL('Bills &amp; Commitments'!$S$7:$S$80,2)&gt;=99999,"",IFERROR(INDEX('Bills &amp; Commitments'!$A$7:$A$80,MATCH(SMALL('Bills &amp; Commitments'!$S$7:$S$80,2),'Bills &amp; Commitments'!$S$7:$S$80,0)),""))</f>
        <v>46280.0</v>
      </c>
      <c r="E36" s="319" t="n"/>
      <c r="F36" s="331">
        <f>IF(SMALL('Bills &amp; Commitments'!$S$7:$S$80,2)&gt;=99999,"",IFERROR(INDEX('Bills &amp; Commitments'!$G$7:$G$80,MATCH(SMALL('Bills &amp; Commitments'!$S$7:$S$80,2),'Bills &amp; Commitments'!$S$7:$S$80,0)),""))</f>
        <v>590.98</v>
      </c>
      <c r="G36" s="332" t="str">
        <f>IF(SMALL('Bills &amp; Commitments'!$S$7:$S$80,2)&gt;=99999,"",IFERROR(INDEX('Bills &amp; Commitments'!$K$7:$K$80,MATCH(SMALL('Bills &amp; Commitments'!$S$7:$S$80,2),'Bills &amp; Commitments'!$S$7:$S$80,0)),""))</f>
        <v>FAB 4001 Current</v>
      </c>
      <c r="H36" s="319" t="n"/>
      <c r="I36" s="332" t="str">
        <f>IF(SMALL('Bills &amp; Commitments'!$S$7:$S$80,2)&gt;=99999,"",IFERROR(INDEX('Bills &amp; Commitments'!$O$7:$O$80,MATCH(SMALL('Bills &amp; Commitments'!$S$7:$S$80,2),'Bills &amp; Commitments'!$S$7:$S$80,0)),""))</f>
        <v>Estimated</v>
      </c>
      <c r="J36" s="332" t="str">
        <f>IF(SMALL('Bills &amp; Commitments'!$S$7:$S$80,2)&gt;=99999,"",IFERROR(INDEX('Bills &amp; Commitments'!$Q$7:$Q$80,MATCH(SMALL('Bills &amp; Commitments'!$S$7:$S$80,2),'Bills &amp; Commitments'!$S$7:$S$80,0)),""))</f>
        <v>Scheduled</v>
      </c>
      <c r="K36" s="319" t="n"/>
      <c r="L36" s="333">
        <f>IF(SMALL('Bills &amp; Commitments'!$S$7:$S$80,2)&gt;=99999,"",IFERROR(INDEX('Bills &amp; Commitments'!$P$7:$P$80,MATCH(SMALL('Bills &amp; Commitments'!$S$7:$S$80,2),'Bills &amp; Commitments'!$S$7:$S$80,0)),""))</f>
        <v>20.0</v>
      </c>
    </row>
    <row r="37" ht="15.75" customHeight="1" s="278">
      <c r="A37" s="329" t="str">
        <f>IF(SMALL('Bills &amp; Commitments'!$S$7:$S$80,3)&gt;=99999,"",IFERROR(INDEX('Bills &amp; Commitments'!$B$7:$B$80,MATCH(SMALL('Bills &amp; Commitments'!$S$7:$S$80,3),'Bills &amp; Commitments'!$S$7:$S$80,0)),""))</f>
        <v>Etisalat — September</v>
      </c>
      <c r="B37" s="318" t="n"/>
      <c r="C37" s="319" t="n"/>
      <c r="D37" s="330">
        <f>IF(SMALL('Bills &amp; Commitments'!$S$7:$S$80,3)&gt;=99999,"",IFERROR(INDEX('Bills &amp; Commitments'!$A$7:$A$80,MATCH(SMALL('Bills &amp; Commitments'!$S$7:$S$80,3),'Bills &amp; Commitments'!$S$7:$S$80,0)),""))</f>
        <v>46280.0</v>
      </c>
      <c r="E37" s="319" t="n"/>
      <c r="F37" s="331">
        <f>IF(SMALL('Bills &amp; Commitments'!$S$7:$S$80,3)&gt;=99999,"",IFERROR(INDEX('Bills &amp; Commitments'!$G$7:$G$80,MATCH(SMALL('Bills &amp; Commitments'!$S$7:$S$80,3),'Bills &amp; Commitments'!$S$7:$S$80,0)),""))</f>
        <v>323.95</v>
      </c>
      <c r="G37" s="332" t="str">
        <f>IF(SMALL('Bills &amp; Commitments'!$S$7:$S$80,3)&gt;=99999,"",IFERROR(INDEX('Bills &amp; Commitments'!$K$7:$K$80,MATCH(SMALL('Bills &amp; Commitments'!$S$7:$S$80,3),'Bills &amp; Commitments'!$S$7:$S$80,0)),""))</f>
        <v>FAB 4001 Current</v>
      </c>
      <c r="H37" s="319" t="n"/>
      <c r="I37" s="332" t="str">
        <f>IF(SMALL('Bills &amp; Commitments'!$S$7:$S$80,3)&gt;=99999,"",IFERROR(INDEX('Bills &amp; Commitments'!$O$7:$O$80,MATCH(SMALL('Bills &amp; Commitments'!$S$7:$S$80,3),'Bills &amp; Commitments'!$S$7:$S$80,0)),""))</f>
        <v>Estimated</v>
      </c>
      <c r="J37" s="332" t="str">
        <f>IF(SMALL('Bills &amp; Commitments'!$S$7:$S$80,3)&gt;=99999,"",IFERROR(INDEX('Bills &amp; Commitments'!$Q$7:$Q$80,MATCH(SMALL('Bills &amp; Commitments'!$S$7:$S$80,3),'Bills &amp; Commitments'!$S$7:$S$80,0)),""))</f>
        <v>Scheduled</v>
      </c>
      <c r="K37" s="319" t="n"/>
      <c r="L37" s="333">
        <f>IF(SMALL('Bills &amp; Commitments'!$S$7:$S$80,3)&gt;=99999,"",IFERROR(INDEX('Bills &amp; Commitments'!$P$7:$P$80,MATCH(SMALL('Bills &amp; Commitments'!$S$7:$S$80,3),'Bills &amp; Commitments'!$S$7:$S$80,0)),""))</f>
        <v>20.0</v>
      </c>
    </row>
    <row r="38" ht="15.75" customHeight="1" s="278">
      <c r="A38" s="329" t="str">
        <f>IF(SMALL('Bills &amp; Commitments'!$S$7:$S$80,4)&gt;=99999,"",IFERROR(INDEX('Bills &amp; Commitments'!$B$7:$B$80,MATCH(SMALL('Bills &amp; Commitments'!$S$7:$S$80,4),'Bills &amp; Commitments'!$S$7:$S$80,0)),""))</f>
        <v>DEWA — September</v>
      </c>
      <c r="B38" s="318" t="n"/>
      <c r="C38" s="319" t="n"/>
      <c r="D38" s="330">
        <f>IF(SMALL('Bills &amp; Commitments'!$S$7:$S$80,4)&gt;=99999,"",IFERROR(INDEX('Bills &amp; Commitments'!$A$7:$A$80,MATCH(SMALL('Bills &amp; Commitments'!$S$7:$S$80,4),'Bills &amp; Commitments'!$S$7:$S$80,0)),""))</f>
        <v>46295.0</v>
      </c>
      <c r="E38" s="319" t="n"/>
      <c r="F38" s="331">
        <f>IF(SMALL('Bills &amp; Commitments'!$S$7:$S$80,4)&gt;=99999,"",IFERROR(INDEX('Bills &amp; Commitments'!$G$7:$G$80,MATCH(SMALL('Bills &amp; Commitments'!$S$7:$S$80,4),'Bills &amp; Commitments'!$S$7:$S$80,0)),""))</f>
        <v>793.42</v>
      </c>
      <c r="G38" s="332" t="str">
        <f>IF(SMALL('Bills &amp; Commitments'!$S$7:$S$80,4)&gt;=99999,"",IFERROR(INDEX('Bills &amp; Commitments'!$K$7:$K$80,MATCH(SMALL('Bills &amp; Commitments'!$S$7:$S$80,4),'Bills &amp; Commitments'!$S$7:$S$80,0)),""))</f>
        <v>FAB 4001 Current</v>
      </c>
      <c r="H38" s="319" t="n"/>
      <c r="I38" s="332" t="str">
        <f>IF(SMALL('Bills &amp; Commitments'!$S$7:$S$80,4)&gt;=99999,"",IFERROR(INDEX('Bills &amp; Commitments'!$O$7:$O$80,MATCH(SMALL('Bills &amp; Commitments'!$S$7:$S$80,4),'Bills &amp; Commitments'!$S$7:$S$80,0)),""))</f>
        <v>Estimated</v>
      </c>
      <c r="J38" s="332" t="str">
        <f>IF(SMALL('Bills &amp; Commitments'!$S$7:$S$80,4)&gt;=99999,"",IFERROR(INDEX('Bills &amp; Commitments'!$Q$7:$Q$80,MATCH(SMALL('Bills &amp; Commitments'!$S$7:$S$80,4),'Bills &amp; Commitments'!$S$7:$S$80,0)),""))</f>
        <v>Scheduled</v>
      </c>
      <c r="K38" s="319" t="n"/>
      <c r="L38" s="333">
        <f>IF(SMALL('Bills &amp; Commitments'!$S$7:$S$80,4)&gt;=99999,"",IFERROR(INDEX('Bills &amp; Commitments'!$P$7:$P$80,MATCH(SMALL('Bills &amp; Commitments'!$S$7:$S$80,4),'Bills &amp; Commitments'!$S$7:$S$80,0)),""))</f>
        <v>35.0</v>
      </c>
    </row>
    <row r="39" ht="15.75" customHeight="1" s="278">
      <c r="A39" s="329" t="str">
        <f>IF(SMALL('Bills &amp; Commitments'!$S$7:$S$80,5)&gt;=99999,"",IFERROR(INDEX('Bills &amp; Commitments'!$B$7:$B$80,MATCH(SMALL('Bills &amp; Commitments'!$S$7:$S$80,5),'Bills &amp; Commitments'!$S$7:$S$80,0)),""))</f>
        <v>Tabby — September statement</v>
      </c>
      <c r="B39" s="318" t="n"/>
      <c r="C39" s="319" t="n"/>
      <c r="D39" s="330">
        <f>IF(SMALL('Bills &amp; Commitments'!$S$7:$S$80,5)&gt;=99999,"",IFERROR(INDEX('Bills &amp; Commitments'!$A$7:$A$80,MATCH(SMALL('Bills &amp; Commitments'!$S$7:$S$80,5),'Bills &amp; Commitments'!$S$7:$S$80,0)),""))</f>
        <v>46298.0</v>
      </c>
      <c r="E39" s="319" t="n"/>
      <c r="F39" s="331">
        <f>IF(SMALL('Bills &amp; Commitments'!$S$7:$S$80,5)&gt;=99999,"",IFERROR(INDEX('Bills &amp; Commitments'!$G$7:$G$80,MATCH(SMALL('Bills &amp; Commitments'!$S$7:$S$80,5),'Bills &amp; Commitments'!$S$7:$S$80,0)),""))</f>
        <v>715.33</v>
      </c>
      <c r="G39" s="332" t="str">
        <f>IF(SMALL('Bills &amp; Commitments'!$S$7:$S$80,5)&gt;=99999,"",IFERROR(INDEX('Bills &amp; Commitments'!$K$7:$K$80,MATCH(SMALL('Bills &amp; Commitments'!$S$7:$S$80,5),'Bills &amp; Commitments'!$S$7:$S$80,0)),""))</f>
        <v>FAB 4001 Current</v>
      </c>
      <c r="H39" s="319" t="n"/>
      <c r="I39" s="332" t="str">
        <f>IF(SMALL('Bills &amp; Commitments'!$S$7:$S$80,5)&gt;=99999,"",IFERROR(INDEX('Bills &amp; Commitments'!$O$7:$O$80,MATCH(SMALL('Bills &amp; Commitments'!$S$7:$S$80,5),'Bills &amp; Commitments'!$S$7:$S$80,0)),""))</f>
        <v>Actual</v>
      </c>
      <c r="J39" s="332" t="str">
        <f>IF(SMALL('Bills &amp; Commitments'!$S$7:$S$80,5)&gt;=99999,"",IFERROR(INDEX('Bills &amp; Commitments'!$Q$7:$Q$80,MATCH(SMALL('Bills &amp; Commitments'!$S$7:$S$80,5),'Bills &amp; Commitments'!$S$7:$S$80,0)),""))</f>
        <v>Scheduled</v>
      </c>
      <c r="K39" s="319" t="n"/>
      <c r="L39" s="333">
        <f>IF(SMALL('Bills &amp; Commitments'!$S$7:$S$80,5)&gt;=99999,"",IFERROR(INDEX('Bills &amp; Commitments'!$P$7:$P$80,MATCH(SMALL('Bills &amp; Commitments'!$S$7:$S$80,5),'Bills &amp; Commitments'!$S$7:$S$80,0)),""))</f>
        <v>38.0</v>
      </c>
    </row>
    <row r="40" ht="15.75" customHeight="1" s="278">
      <c r="A40" s="329" t="str">
        <f>IF(SMALL('Bills &amp; Commitments'!$S$7:$S$80,6)&gt;=99999,"",IFERROR(INDEX('Bills &amp; Commitments'!$B$7:$B$80,MATCH(SMALL('Bills &amp; Commitments'!$S$7:$S$80,6),'Bills &amp; Commitments'!$S$7:$S$80,0)),""))</f>
        <v>Nippon SIP — October</v>
      </c>
      <c r="B40" s="318" t="n"/>
      <c r="C40" s="319" t="n"/>
      <c r="D40" s="330">
        <f>IF(SMALL('Bills &amp; Commitments'!$S$7:$S$80,6)&gt;=99999,"",IFERROR(INDEX('Bills &amp; Commitments'!$A$7:$A$80,MATCH(SMALL('Bills &amp; Commitments'!$S$7:$S$80,6),'Bills &amp; Commitments'!$S$7:$S$80,0)),""))</f>
        <v>46305.0</v>
      </c>
      <c r="E40" s="319" t="n"/>
      <c r="F40" s="331">
        <f>IF(SMALL('Bills &amp; Commitments'!$S$7:$S$80,6)&gt;=99999,"",IFERROR(INDEX('Bills &amp; Commitments'!$G$7:$G$80,MATCH(SMALL('Bills &amp; Commitments'!$S$7:$S$80,6),'Bills &amp; Commitments'!$S$7:$S$80,0)),""))</f>
        <v>462.4</v>
      </c>
      <c r="G40" s="332" t="str">
        <f>IF(SMALL('Bills &amp; Commitments'!$S$7:$S$80,6)&gt;=99999,"",IFERROR(INDEX('Bills &amp; Commitments'!$K$7:$K$80,MATCH(SMALL('Bills &amp; Commitments'!$S$7:$S$80,6),'Bills &amp; Commitments'!$S$7:$S$80,0)),""))</f>
        <v>ICICI (INR)</v>
      </c>
      <c r="H40" s="319" t="n"/>
      <c r="I40" s="332" t="str">
        <f>IF(SMALL('Bills &amp; Commitments'!$S$7:$S$80,6)&gt;=99999,"",IFERROR(INDEX('Bills &amp; Commitments'!$O$7:$O$80,MATCH(SMALL('Bills &amp; Commitments'!$S$7:$S$80,6),'Bills &amp; Commitments'!$S$7:$S$80,0)),""))</f>
        <v>Estimated</v>
      </c>
      <c r="J40" s="332" t="str">
        <f>IF(SMALL('Bills &amp; Commitments'!$S$7:$S$80,6)&gt;=99999,"",IFERROR(INDEX('Bills &amp; Commitments'!$Q$7:$Q$80,MATCH(SMALL('Bills &amp; Commitments'!$S$7:$S$80,6),'Bills &amp; Commitments'!$S$7:$S$80,0)),""))</f>
        <v>Scheduled</v>
      </c>
      <c r="K40" s="319" t="n"/>
      <c r="L40" s="333">
        <f>IF(SMALL('Bills &amp; Commitments'!$S$7:$S$80,6)&gt;=99999,"",IFERROR(INDEX('Bills &amp; Commitments'!$P$7:$P$80,MATCH(SMALL('Bills &amp; Commitments'!$S$7:$S$80,6),'Bills &amp; Commitments'!$S$7:$S$80,0)),""))</f>
        <v>45.0</v>
      </c>
    </row>
    <row r="41" ht="15.75" customHeight="1" s="278">
      <c r="A41" s="329" t="str">
        <f>IF(SMALL('Bills &amp; Commitments'!$S$7:$S$80,7)&gt;=99999,"",IFERROR(INDEX('Bills &amp; Commitments'!$B$7:$B$80,MATCH(SMALL('Bills &amp; Commitments'!$S$7:$S$80,7),'Bills &amp; Commitments'!$S$7:$S$80,0)),""))</f>
        <v>du — October</v>
      </c>
      <c r="B41" s="318" t="n"/>
      <c r="C41" s="319" t="n"/>
      <c r="D41" s="330">
        <f>IF(SMALL('Bills &amp; Commitments'!$S$7:$S$80,7)&gt;=99999,"",IFERROR(INDEX('Bills &amp; Commitments'!$A$7:$A$80,MATCH(SMALL('Bills &amp; Commitments'!$S$7:$S$80,7),'Bills &amp; Commitments'!$S$7:$S$80,0)),""))</f>
        <v>46310.0</v>
      </c>
      <c r="E41" s="319" t="n"/>
      <c r="F41" s="331">
        <f>IF(SMALL('Bills &amp; Commitments'!$S$7:$S$80,7)&gt;=99999,"",IFERROR(INDEX('Bills &amp; Commitments'!$G$7:$G$80,MATCH(SMALL('Bills &amp; Commitments'!$S$7:$S$80,7),'Bills &amp; Commitments'!$S$7:$S$80,0)),""))</f>
        <v>590.98</v>
      </c>
      <c r="G41" s="332" t="str">
        <f>IF(SMALL('Bills &amp; Commitments'!$S$7:$S$80,7)&gt;=99999,"",IFERROR(INDEX('Bills &amp; Commitments'!$K$7:$K$80,MATCH(SMALL('Bills &amp; Commitments'!$S$7:$S$80,7),'Bills &amp; Commitments'!$S$7:$S$80,0)),""))</f>
        <v>FAB 4001 Current</v>
      </c>
      <c r="H41" s="319" t="n"/>
      <c r="I41" s="332" t="str">
        <f>IF(SMALL('Bills &amp; Commitments'!$S$7:$S$80,7)&gt;=99999,"",IFERROR(INDEX('Bills &amp; Commitments'!$O$7:$O$80,MATCH(SMALL('Bills &amp; Commitments'!$S$7:$S$80,7),'Bills &amp; Commitments'!$S$7:$S$80,0)),""))</f>
        <v>Estimated</v>
      </c>
      <c r="J41" s="332" t="str">
        <f>IF(SMALL('Bills &amp; Commitments'!$S$7:$S$80,7)&gt;=99999,"",IFERROR(INDEX('Bills &amp; Commitments'!$Q$7:$Q$80,MATCH(SMALL('Bills &amp; Commitments'!$S$7:$S$80,7),'Bills &amp; Commitments'!$S$7:$S$80,0)),""))</f>
        <v>Scheduled</v>
      </c>
      <c r="K41" s="319" t="n"/>
      <c r="L41" s="333">
        <f>IF(SMALL('Bills &amp; Commitments'!$S$7:$S$80,7)&gt;=99999,"",IFERROR(INDEX('Bills &amp; Commitments'!$P$7:$P$80,MATCH(SMALL('Bills &amp; Commitments'!$S$7:$S$80,7),'Bills &amp; Commitments'!$S$7:$S$80,0)),""))</f>
        <v>50.0</v>
      </c>
    </row>
    <row r="42" ht="15.75" customHeight="1" s="278">
      <c r="A42" s="329" t="str">
        <f>IF(SMALL('Bills &amp; Commitments'!$S$7:$S$80,8)&gt;=99999,"",IFERROR(INDEX('Bills &amp; Commitments'!$B$7:$B$80,MATCH(SMALL('Bills &amp; Commitments'!$S$7:$S$80,8),'Bills &amp; Commitments'!$S$7:$S$80,0)),""))</f>
        <v>Etisalat — October</v>
      </c>
      <c r="B42" s="318" t="n"/>
      <c r="C42" s="319" t="n"/>
      <c r="D42" s="330">
        <f>IF(SMALL('Bills &amp; Commitments'!$S$7:$S$80,8)&gt;=99999,"",IFERROR(INDEX('Bills &amp; Commitments'!$A$7:$A$80,MATCH(SMALL('Bills &amp; Commitments'!$S$7:$S$80,8),'Bills &amp; Commitments'!$S$7:$S$80,0)),""))</f>
        <v>46310.0</v>
      </c>
      <c r="E42" s="319" t="n"/>
      <c r="F42" s="331">
        <f>IF(SMALL('Bills &amp; Commitments'!$S$7:$S$80,8)&gt;=99999,"",IFERROR(INDEX('Bills &amp; Commitments'!$G$7:$G$80,MATCH(SMALL('Bills &amp; Commitments'!$S$7:$S$80,8),'Bills &amp; Commitments'!$S$7:$S$80,0)),""))</f>
        <v>323.95</v>
      </c>
      <c r="G42" s="332" t="str">
        <f>IF(SMALL('Bills &amp; Commitments'!$S$7:$S$80,8)&gt;=99999,"",IFERROR(INDEX('Bills &amp; Commitments'!$K$7:$K$80,MATCH(SMALL('Bills &amp; Commitments'!$S$7:$S$80,8),'Bills &amp; Commitments'!$S$7:$S$80,0)),""))</f>
        <v>FAB 4001 Current</v>
      </c>
      <c r="H42" s="319" t="n"/>
      <c r="I42" s="332" t="str">
        <f>IF(SMALL('Bills &amp; Commitments'!$S$7:$S$80,8)&gt;=99999,"",IFERROR(INDEX('Bills &amp; Commitments'!$O$7:$O$80,MATCH(SMALL('Bills &amp; Commitments'!$S$7:$S$80,8),'Bills &amp; Commitments'!$S$7:$S$80,0)),""))</f>
        <v>Estimated</v>
      </c>
      <c r="J42" s="332" t="str">
        <f>IF(SMALL('Bills &amp; Commitments'!$S$7:$S$80,8)&gt;=99999,"",IFERROR(INDEX('Bills &amp; Commitments'!$Q$7:$Q$80,MATCH(SMALL('Bills &amp; Commitments'!$S$7:$S$80,8),'Bills &amp; Commitments'!$S$7:$S$80,0)),""))</f>
        <v>Scheduled</v>
      </c>
      <c r="K42" s="319" t="n"/>
      <c r="L42" s="333">
        <f>IF(SMALL('Bills &amp; Commitments'!$S$7:$S$80,8)&gt;=99999,"",IFERROR(INDEX('Bills &amp; Commitments'!$P$7:$P$80,MATCH(SMALL('Bills &amp; Commitments'!$S$7:$S$80,8),'Bills &amp; Commitments'!$S$7:$S$80,0)),""))</f>
        <v>50.0</v>
      </c>
    </row>
    <row r="44" ht="18" customHeight="1" s="278">
      <c r="A44" s="311" t="inlineStr">
        <is>
          <t>ALERTS</t>
        </is>
      </c>
    </row>
    <row r="45" ht="15" customHeight="1" s="278">
      <c r="A45" s="334" t="str">
        <f>IF(Settings!$B$72&lt;0,"● CRITICAL — projected rent funding is short by AED "&amp;TEXT(Settings!$B$81,"#,##0.00")&amp;". Living budget to 21 Oct is effectively zero without new income.","")</f>
        <v>● CRITICAL — projected rent funding is short by AED 3,091.03. Living budget to 21 Oct is effectively zero without new income.</v>
      </c>
    </row>
    <row r="46" ht="15" customHeight="1" s="278">
      <c r="A46" s="334" t="str">
        <f>IF(COUNTIFS('Bills &amp; Commitments'!$Q$7:$Q$80,"OVERDUE")&gt;0,"● A bill is OVERDUE — see the obligations table above.","")</f>
        <v/>
      </c>
    </row>
    <row r="47" ht="15" customHeight="1" s="278">
      <c r="A47" s="334" t="str">
        <f>IF(Settings!$B$94&lt;0,"● Projected month-end cash is negative at the current burn rate.","")</f>
        <v>● Projected month-end cash is negative at the current burn rate.</v>
      </c>
    </row>
    <row r="48" ht="15" customHeight="1" s="278">
      <c r="A48" s="335" t="str">
        <f>IF(Settings!$B$90&gt;Settings!$B$75,"● Spending is running above the safe pace: AED "&amp;TEXT(Settings!$B$90,"#,##0.00")&amp;"/day actual vs AED "&amp;TEXT(Settings!$B$75,"#,##0.00")&amp;"/day allowed.","")</f>
        <v>● Spending is running above the safe pace: AED 119.99/day actual vs AED 0.00/day allowed.</v>
      </c>
    </row>
    <row r="49" ht="15" customHeight="1" s="278">
      <c r="A49" s="335" t="str">
        <f>IF(Settings!$B$99&lt;0.25,"● Emergency fund is at "&amp;TEXT(Settings!$B$99,"0.0%")&amp;" of target — there is no shock absorber.","")</f>
        <v>● Emergency fund is at 0.8% of target — there is no shock absorber.</v>
      </c>
    </row>
    <row r="50" ht="15" customHeight="1" s="278">
      <c r="A50" s="335" t="str">
        <f>IF(Settings!$B$101&gt;Settings!$B$60*0.5,"● BNPL exposure is "&amp;TEXT(Settings!$B$101/Settings!$B$60,"0%")&amp;" of liquid cash.","")</f>
        <v/>
      </c>
    </row>
    <row r="51" ht="15" customHeight="1" s="278">
      <c r="A51" s="336" t="str">
        <f>IF(COUNTIFS(Reconciliation!$H$9:$H$16,"RECONCILIATION REQUIRED")&gt;0,"● "&amp;COUNTIFS(Reconciliation!$H$9:$H$16,"RECONCILIATION REQUIRED")&amp;" account(s) do not reconcile — transactions are missing.","")</f>
        <v/>
      </c>
    </row>
    <row r="52" ht="15" customHeight="1" s="278">
      <c r="A52" s="336" t="str">
        <f>IF(COUNTIFS('Checks &amp; Audit'!$F$8:$F$26,"CHECK")&gt;0,"● Integrity checks are failing — open the Checks &amp; Audit sheet.","● All integrity checks pass.")</f>
        <v>● All integrity checks pass.</v>
      </c>
    </row>
  </sheetData>
  <mergeCells count="124">
    <mergeCell ref="A4:L5"/>
    <mergeCell ref="D11:F11"/>
    <mergeCell ref="A37:C37"/>
    <mergeCell ref="G13:I13"/>
    <mergeCell ref="A46:L46"/>
    <mergeCell ref="A21:C21"/>
    <mergeCell ref="D36:E36"/>
    <mergeCell ref="A26:C26"/>
    <mergeCell ref="J11:L11"/>
    <mergeCell ref="G24:I24"/>
    <mergeCell ref="J25:L25"/>
    <mergeCell ref="A23:L23"/>
    <mergeCell ref="D12:F12"/>
    <mergeCell ref="D9:F9"/>
    <mergeCell ref="G26:I26"/>
    <mergeCell ref="D30:F30"/>
    <mergeCell ref="G16:I16"/>
    <mergeCell ref="G34:H34"/>
    <mergeCell ref="A52:L52"/>
    <mergeCell ref="D29:F29"/>
    <mergeCell ref="G9:I9"/>
    <mergeCell ref="A34:C34"/>
    <mergeCell ref="J29:L29"/>
    <mergeCell ref="A49:L49"/>
    <mergeCell ref="J13:L13"/>
    <mergeCell ref="D35:E35"/>
    <mergeCell ref="J24:L24"/>
    <mergeCell ref="D34:E34"/>
    <mergeCell ref="D17:F17"/>
    <mergeCell ref="J26:L26"/>
    <mergeCell ref="A12:C12"/>
    <mergeCell ref="G30:I30"/>
    <mergeCell ref="J16:L16"/>
    <mergeCell ref="J34:K34"/>
    <mergeCell ref="G38:H38"/>
    <mergeCell ref="A29:C29"/>
    <mergeCell ref="D25:F25"/>
    <mergeCell ref="J36:K36"/>
    <mergeCell ref="A38:C38"/>
    <mergeCell ref="A13:C13"/>
    <mergeCell ref="A31:C31"/>
    <mergeCell ref="D37:E37"/>
    <mergeCell ref="A40:C40"/>
    <mergeCell ref="A24:C24"/>
    <mergeCell ref="D39:E39"/>
    <mergeCell ref="G35:H35"/>
    <mergeCell ref="D31:F31"/>
    <mergeCell ref="D38:E38"/>
    <mergeCell ref="G8:I8"/>
    <mergeCell ref="G17:I17"/>
    <mergeCell ref="D21:F21"/>
    <mergeCell ref="J30:L30"/>
    <mergeCell ref="A16:C16"/>
    <mergeCell ref="A25:C25"/>
    <mergeCell ref="G10:I10"/>
    <mergeCell ref="G19:I19"/>
    <mergeCell ref="J38:K38"/>
    <mergeCell ref="G42:H42"/>
    <mergeCell ref="A18:C18"/>
    <mergeCell ref="D16:F16"/>
    <mergeCell ref="A50:L50"/>
    <mergeCell ref="G39:H39"/>
    <mergeCell ref="J40:K40"/>
    <mergeCell ref="A42:C42"/>
    <mergeCell ref="A2:L2"/>
    <mergeCell ref="A47:L47"/>
    <mergeCell ref="D18:F18"/>
    <mergeCell ref="G37:H37"/>
    <mergeCell ref="G20:I20"/>
    <mergeCell ref="D8:F8"/>
    <mergeCell ref="G29:I29"/>
    <mergeCell ref="A20:C20"/>
    <mergeCell ref="J35:K35"/>
    <mergeCell ref="J18:L18"/>
    <mergeCell ref="G31:I31"/>
    <mergeCell ref="A44:L44"/>
    <mergeCell ref="J8:L8"/>
    <mergeCell ref="A30:C30"/>
    <mergeCell ref="G12:I12"/>
    <mergeCell ref="J17:L17"/>
    <mergeCell ref="D20:F20"/>
    <mergeCell ref="G21:I21"/>
    <mergeCell ref="A15:L15"/>
    <mergeCell ref="J10:L10"/>
    <mergeCell ref="A51:L51"/>
    <mergeCell ref="J19:L19"/>
    <mergeCell ref="G41:H41"/>
    <mergeCell ref="J42:K42"/>
    <mergeCell ref="J9:L9"/>
    <mergeCell ref="J39:K39"/>
    <mergeCell ref="A41:C41"/>
    <mergeCell ref="D13:F13"/>
    <mergeCell ref="A7:L7"/>
    <mergeCell ref="G18:I18"/>
    <mergeCell ref="G36:H36"/>
    <mergeCell ref="J37:K37"/>
    <mergeCell ref="D40:E40"/>
    <mergeCell ref="J20:L20"/>
    <mergeCell ref="A33:L33"/>
    <mergeCell ref="A8:C8"/>
    <mergeCell ref="J31:L31"/>
    <mergeCell ref="A17:C17"/>
    <mergeCell ref="D41:E41"/>
    <mergeCell ref="J12:L12"/>
    <mergeCell ref="A35:C35"/>
    <mergeCell ref="J21:L21"/>
    <mergeCell ref="D24:F24"/>
    <mergeCell ref="A10:C10"/>
    <mergeCell ref="G25:I25"/>
    <mergeCell ref="A19:C19"/>
    <mergeCell ref="A28:L28"/>
    <mergeCell ref="A9:C9"/>
    <mergeCell ref="J41:K41"/>
    <mergeCell ref="D26:F26"/>
    <mergeCell ref="A39:C39"/>
    <mergeCell ref="G11:I11"/>
    <mergeCell ref="D10:F10"/>
    <mergeCell ref="A48:L48"/>
    <mergeCell ref="D19:F19"/>
    <mergeCell ref="A36:C36"/>
    <mergeCell ref="A11:C11"/>
    <mergeCell ref="D42:E42"/>
    <mergeCell ref="A45:L45"/>
    <mergeCell ref="G40:H40"/>
  </mergeCells>
  <conditionalFormatting sqref="A4:L5">
    <cfRule type="expression" rank="0" priority="2" equalAverage="0" aboveAverage="0" dxfId="1" text="" percent="0" bottom="0">
      <formula>Settings!$B$109="SAFE"</formula>
    </cfRule>
    <cfRule type="expression" rank="0" priority="3" equalAverage="0" aboveAverage="0" dxfId="2" text="" percent="0" bottom="0">
      <formula>Settings!$B$109="CAUTION"</formula>
    </cfRule>
    <cfRule type="expression" rank="0" priority="4" equalAverage="0" aboveAverage="0" dxfId="3" text="" percent="0" bottom="0">
      <formula>Settings!$B$109="TIGHT"</formula>
    </cfRule>
  </conditionalFormatting>
  <conditionalFormatting sqref="J35:J42">
    <cfRule type="cellIs" rank="0" priority="5" equalAverage="0" operator="equal" aboveAverage="0" dxfId="4" text="" percent="0" bottom="0">
      <formula>"OVERDUE"</formula>
    </cfRule>
    <cfRule type="cellIs" rank="0" priority="6" equalAverage="0" operator="equal" aboveAverage="0" dxfId="5" text="" percent="0" bottom="0">
      <formula>"DUE ≤3 DAYS"</formula>
    </cfRule>
    <cfRule type="cellIs" rank="0" priority="7" equalAverage="0" operator="equal" aboveAverage="0" dxfId="6" text="" percent="0" bottom="0">
      <formula>"DUE ≤7 DAYS"</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C6A15B"/>
    <outlinePr summaryBelow="1" summaryRight="1"/>
    <pageSetUpPr fitToPage="1"/>
  </sheetPr>
  <dimension ref="B1:B4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7" min="1" max="1"/>
    <col width="118" customWidth="1" style="277" min="2" max="2"/>
    <col width="3" customWidth="1" style="277" min="3" max="3"/>
  </cols>
  <sheetData>
    <row r="1" ht="31.5" customHeight="1" s="278">
      <c r="B1" s="337" t="inlineStr">
        <is>
          <t>TODAY'S CFO BRIEF</t>
        </is>
      </c>
    </row>
    <row r="2" ht="15.75" customHeight="1" s="278">
      <c r="B2" s="291" t="str">
        <f>"Prepared for "&amp;Settings!$B$7&amp;"   ·   "&amp;TEXT(Settings!$B$9,"dddd, dd mmmm yyyy")</f>
        <v>Prepared for Johnny   ·   Wednesday, 26 August 2026</v>
      </c>
    </row>
    <row r="5" ht="15.75" customHeight="1" s="278">
      <c r="B5" s="338" t="str">
        <f>"Today you hold AED "&amp;TEXT(Settings!$B$60,"#,##0.00")&amp;" in total liquid cash across every account."</f>
        <v>Today you hold AED 6,105.17 in total liquid cash across every account.</v>
      </c>
    </row>
    <row r="6" ht="15.75" customHeight="1" s="278">
      <c r="B6" s="339" t="n"/>
    </row>
    <row r="8" ht="15.75" customHeight="1" s="278">
      <c r="B8" s="338" t="str">
        <f>"Of that, AED "&amp;TEXT(Settings!$B$61,"#,##0.00")&amp;" is protected — the rent vault and the emergency fund. Your true usable balance is AED "&amp;TEXT(Settings!$B$62,"#,##0.00")&amp;"."</f>
        <v>Of that, AED 5,948.37 is protected — the rent vault and the emergency fund. Your true usable balance is AED 156.80.</v>
      </c>
    </row>
    <row r="9" ht="15.75" customHeight="1" s="278">
      <c r="B9" s="339" t="n"/>
    </row>
    <row r="11" ht="15.75" customHeight="1" s="278">
      <c r="B11" s="338" t="str">
        <f>"There are "&amp;Settings!$B$66&amp;" days until your next income on "&amp;TEXT(Settings!$B$12,"dd mmmm")&amp;", and "&amp;Settings!$B$73&amp;" days until the rent cheque must be fully funded on "&amp;TEXT(Settings!$B$21,"dd mmmm")&amp;"."</f>
        <v>There are 31 days until your next income on 26 September, and 56 days until the rent cheque must be fully funded on 21 October.</v>
      </c>
    </row>
    <row r="12" ht="15.75" customHeight="1" s="278">
      <c r="B12" s="339" t="n"/>
    </row>
    <row r="14" ht="15.75" customHeight="1" s="278">
      <c r="B14" s="340" t="str">
        <f>"Recommended spending ceiling THIS WEEK: AED "&amp;TEXT(Settings!$B$75*7,"#,##0.00")&amp;".   Survival week: AED "&amp;TEXT(Settings!$B$76*7,"#,##0.00")&amp;".   Comfortable week: "&amp;IF(Settings!$B$77=0,"not available yet.","AED "&amp;TEXT(Settings!$B$77*7,"#,##0.00")&amp;".")</f>
        <v>Recommended spending ceiling THIS WEEK: AED 0.00.   Survival week: AED -332.06.   Comfortable week: not available yet.</v>
      </c>
    </row>
    <row r="15" ht="15.75" customHeight="1" s="278">
      <c r="B15" s="339" t="n"/>
    </row>
    <row r="17" ht="15.75" customHeight="1" s="278">
      <c r="B17" s="338" t="str">
        <f>"Recommended ceiling for the whole weekend: AED "&amp;TEXT(Settings!$B$78,"#,##0.00")&amp;"."</f>
        <v>Recommended ceiling for the whole weekend: AED 0.00.</v>
      </c>
    </row>
    <row r="18" ht="15.75" customHeight="1" s="278">
      <c r="B18" s="339" t="n"/>
    </row>
    <row r="20" ht="15.75" customHeight="1" s="278">
      <c r="B20" s="338" t="str">
        <f>"Next payment: "&amp;Settings!$B$103&amp;" — AED "&amp;TEXT(Settings!$B$102,"#,##0.00")&amp;" on "&amp;TEXT(Settings!$B$104,"dd mmmm")&amp;"."</f>
        <v>Next payment: Nippon SIP — September — AED 462.40 on 10 September.</v>
      </c>
    </row>
    <row r="21" ht="15.75" customHeight="1" s="278">
      <c r="B21" s="339" t="n"/>
    </row>
    <row r="23" ht="15.75" customHeight="1" s="278">
      <c r="B23" s="338" t="str">
        <f>"Largest payment before the rent deadline: "&amp;Settings!$B$106&amp;" — AED "&amp;TEXT(Settings!$B$105,"#,##0.00")&amp;" on "&amp;TEXT(Settings!$B$107,"dd mmmm")&amp;"."</f>
        <v>Largest payment before the rent deadline: DEWA — September — AED 793.42 on 30 September.</v>
      </c>
    </row>
    <row r="24" ht="15.75" customHeight="1" s="278">
      <c r="B24" s="339" t="n"/>
    </row>
    <row r="26" ht="15.75" customHeight="1" s="278">
      <c r="B26" s="338" t="str">
        <f>"At your current burn rate of AED "&amp;TEXT(Settings!$B$90,"#,##0.00")&amp;" a day, projected month-end cash is AED "&amp;TEXT(Settings!$B$94,"#,##0.00")&amp;"."</f>
        <v>At your current burn rate of AED 119.99 a day, projected month-end cash is AED -443.16.</v>
      </c>
    </row>
    <row r="27" ht="15.75" customHeight="1" s="278">
      <c r="B27" s="339" t="n"/>
    </row>
    <row r="29" ht="15.75" customHeight="1" s="278">
      <c r="B29" s="341" t="str">
        <f>"MAIN RISK: "&amp;IF(Settings!$B$72&lt;0,"the October rent cheque. After every confirmed commitment you are AED "&amp;TEXT(Settings!$B$81,"#,##0.00")&amp;" short of funding it, and that assumes the AED 1,430 refund and AED 1,540 pending salary both land. If both fail, add AED 2,970.",IF(Settings!$B$99&lt;0.25,"you have almost no emergency cover. One unexpected bill becomes debt.","spending drift above the safe daily pace."))</f>
        <v>MAIN RISK: the October rent cheque. After every confirmed commitment you are AED 3,091.03 short of funding it, and that assumes the AED 1,430 refund and AED 1,540 pending salary both land. If both fail, add AED 2,970.</v>
      </c>
    </row>
    <row r="30" ht="15.75" customHeight="1" s="278">
      <c r="B30" s="339" t="n"/>
    </row>
    <row r="32" ht="15.75" customHeight="1" s="278">
      <c r="B32" s="341" t="str">
        <f>"ACTION TODAY: "&amp;IF(Settings!$B$72&lt;0,"earn or recover AED "&amp;TEXT(Settings!$B$82,"#,##0.00")&amp;" today (AED "&amp;TEXT(Settings!$B$83,"#,##0.00")&amp;" this week), and hold spending at or below AED "&amp;TEXT(Settings!$B$76,"#,##0.00")&amp;". Do not release a dirham against money that has not landed.","hold spending at or below AED "&amp;TEXT(Settings!$B$75,"#,##0.00")&amp;" and move any surplus into the rent vault.")</f>
        <v>ACTION TODAY: earn or recover AED 55.20 today (AED 386.38 this week), and hold spending at or below AED -47.44. Do not release a dirham against money that has not landed.</v>
      </c>
    </row>
    <row r="33" ht="15.75" customHeight="1" s="278">
      <c r="B33" s="339" t="n"/>
    </row>
    <row r="35" ht="15" customHeight="1" s="278">
      <c r="B35" s="342" t="inlineStr">
        <is>
          <t>Every figure above is a live formula. Nothing here is typed by hand — change a balance on the Accounts sheet or add a transaction and this brief rewrites itself.</t>
        </is>
      </c>
    </row>
    <row r="38" ht="15" customHeight="1" s="278">
      <c r="B38" s="343" t="inlineStr">
        <is>
          <t>HOW TO KEEP THIS ALIVE  ·  under one minute a day</t>
        </is>
      </c>
    </row>
    <row r="39" ht="25.5" customHeight="1" s="278">
      <c r="B39" s="344" t="inlineStr">
        <is>
          <t>1.  Add the day's spending to the Transactions sheet — Date, Account, Type, Category, Merchant, Amount. Everything else is a dropdown or fills itself.</t>
        </is>
      </c>
    </row>
    <row r="40" ht="25.5" customHeight="1" s="278">
      <c r="B40" s="344" t="inlineStr">
        <is>
          <t>2.  Update the Current Balance column on the Accounts sheet whenever you check your bank. That single column drives the whole dashboard.</t>
        </is>
      </c>
    </row>
    <row r="41" ht="25.5" customHeight="1" s="278">
      <c r="B41" s="344" t="inlineStr">
        <is>
          <t>3.  When a bill is paid, put the real figure in the Actual column on Bills &amp; Commitments and set Settled to Yes. Never delete the row.</t>
        </is>
      </c>
    </row>
    <row r="42" ht="25.5" customHeight="1" s="278">
      <c r="B42" s="344" t="inlineStr">
        <is>
          <t>4.  Once a month, open Reconciliation. If an account says RECONCILIATION REQUIRED, a transaction is missing — find it before you trust any projection.</t>
        </is>
      </c>
    </row>
    <row r="43" ht="25.5" customHeight="1" s="278">
      <c r="B43" s="344" t="inlineStr">
        <is>
          <t>5.  Change assumptions only on the Settings sheet. Nothing is hardcoded anywhere else.</t>
        </is>
      </c>
    </row>
  </sheetData>
  <mergeCells count="10">
    <mergeCell ref="B23:B24"/>
    <mergeCell ref="B32:B33"/>
    <mergeCell ref="B17:B18"/>
    <mergeCell ref="B8:B9"/>
    <mergeCell ref="B11:B12"/>
    <mergeCell ref="B20:B21"/>
    <mergeCell ref="B26:B27"/>
    <mergeCell ref="B5:B6"/>
    <mergeCell ref="B14:B15"/>
    <mergeCell ref="B29:B30"/>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0213A"/>
    <outlinePr summaryBelow="1" summaryRight="1"/>
    <pageSetUpPr fitToPage="1"/>
  </sheetPr>
  <dimension ref="A1:M170"/>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277" min="1" max="1"/>
    <col width="16" customWidth="1" style="277" min="2" max="2"/>
    <col width="12" customWidth="1" style="277" min="3" max="3"/>
    <col width="58" customWidth="1" style="277" min="4" max="4"/>
    <col width="2" customWidth="1" style="277" min="5" max="5"/>
    <col width="22" customWidth="1" style="277" min="6" max="6"/>
    <col width="18" customWidth="1" style="277" min="7" max="12"/>
  </cols>
  <sheetData>
    <row r="1" ht="30" customHeight="1" s="278">
      <c r="A1" s="345" t="inlineStr">
        <is>
          <t>Control Panel</t>
        </is>
      </c>
    </row>
    <row r="2" ht="13.5" customHeight="1" s="278">
      <c r="A2" s="565" t="inlineStr">
        <is>
          <t>Every assumption in the workbook lives here. Edit only the blue text on yellow fill — nothing else is hardcoded elsewhere.</t>
        </is>
      </c>
    </row>
    <row r="3" ht="6" customHeight="1" s="278"/>
    <row r="5" ht="19.5" customHeight="1" s="278">
      <c r="A5" s="382" t="inlineStr">
        <is>
          <t>CORE ASSUMPTIONS  ·  edit yellow cells only</t>
        </is>
      </c>
      <c r="B5" s="287" t="n"/>
      <c r="C5" s="287" t="n"/>
      <c r="D5" s="287" t="n"/>
    </row>
    <row r="6" ht="27.75" customHeight="1" s="278">
      <c r="A6" s="383" t="inlineStr">
        <is>
          <t>Setting</t>
        </is>
      </c>
      <c r="B6" s="383" t="inlineStr">
        <is>
          <t>Value</t>
        </is>
      </c>
      <c r="C6" s="383" t="inlineStr">
        <is>
          <t>Unit</t>
        </is>
      </c>
      <c r="D6" s="383" t="inlineStr">
        <is>
          <t>Note / source</t>
        </is>
      </c>
    </row>
    <row r="7" ht="15" customHeight="1" s="278">
      <c r="A7" s="366" t="inlineStr">
        <is>
          <t>Owner</t>
        </is>
      </c>
      <c r="B7" s="301" t="inlineStr">
        <is>
          <t>Johnny</t>
        </is>
      </c>
      <c r="C7" s="346" t="inlineStr">
        <is>
          <t>–</t>
        </is>
      </c>
      <c r="D7" s="368" t="inlineStr">
        <is>
          <t>Workbook owner</t>
        </is>
      </c>
    </row>
    <row r="8" ht="15" customHeight="1" s="278">
      <c r="A8" s="366" t="inlineStr">
        <is>
          <t>Base currency</t>
        </is>
      </c>
      <c r="B8" s="301" t="inlineStr">
        <is>
          <t>AED</t>
        </is>
      </c>
      <c r="C8" s="346" t="inlineStr">
        <is>
          <t>–</t>
        </is>
      </c>
      <c r="D8" s="368" t="inlineStr">
        <is>
          <t>All dashboard figures are AED unless labelled</t>
        </is>
      </c>
    </row>
    <row r="9" ht="15" customHeight="1" s="278">
      <c r="A9" s="366" t="inlineStr">
        <is>
          <t>As-of date (automatic)</t>
        </is>
      </c>
      <c r="B9" s="347">
        <f>TODAY()</f>
        <v>46260.0</v>
      </c>
      <c r="C9" s="346" t="inlineStr">
        <is>
          <t>date</t>
        </is>
      </c>
      <c r="D9" s="368" t="inlineStr">
        <is>
          <t>Recalculates every time the file is opened</t>
        </is>
      </c>
    </row>
    <row r="10" ht="15" customHeight="1" s="278">
      <c r="A10" s="366" t="inlineStr">
        <is>
          <t>Monthly salary — base</t>
        </is>
      </c>
      <c r="B10" s="392" t="n">
        <v>7914.88</v>
      </c>
      <c r="C10" s="346" t="inlineStr">
        <is>
          <t>AED</t>
        </is>
      </c>
      <c r="D10" s="368" t="inlineStr">
        <is>
          <t>July 2026 salary baseline</t>
        </is>
      </c>
    </row>
    <row r="11" ht="15" customHeight="1" s="278">
      <c r="A11" s="366" t="inlineStr">
        <is>
          <t>Salary day of month</t>
        </is>
      </c>
      <c r="B11" s="349" t="n">
        <v>26</v>
      </c>
      <c r="C11" s="346" t="inlineStr">
        <is>
          <t>day</t>
        </is>
      </c>
      <c r="D11" s="368" t="inlineStr">
        <is>
          <t>Credit day</t>
        </is>
      </c>
    </row>
    <row r="12" ht="15" customHeight="1" s="278">
      <c r="A12" s="366" t="inlineStr">
        <is>
          <t>Next income date</t>
        </is>
      </c>
      <c r="B12" s="347">
        <f>IF(DAY($B$9)&lt;$B$11,DATE(YEAR($B$9),MONTH($B$9),$B$11),DATE(YEAR($B$9),MONTH($B$9)+1,$B$11))</f>
        <v>46291.0</v>
      </c>
      <c r="C12" s="346" t="inlineStr">
        <is>
          <t>date</t>
        </is>
      </c>
      <c r="D12" s="368" t="inlineStr">
        <is>
          <t>Derived from the salary day. On payday itself the salary has landed, so the count rolls to next month — with &lt;= it returned zero days, which drove the safe daily limit to zero on the one day of the month you are paid.</t>
        </is>
      </c>
    </row>
    <row r="13" ht="15" customHeight="1" s="278">
      <c r="A13" s="366" t="inlineStr">
        <is>
          <t>Days until next income</t>
        </is>
      </c>
      <c r="B13" s="350">
        <f>MAX($B$12-$B$9,0)</f>
        <v>31.0</v>
      </c>
      <c r="C13" s="346" t="inlineStr">
        <is>
          <t>days</t>
        </is>
      </c>
      <c r="D13" s="368" t="inlineStr">
        <is>
          <t>Derived</t>
        </is>
      </c>
    </row>
    <row r="14" ht="15" customHeight="1" s="278">
      <c r="A14" s="366" t="inlineStr">
        <is>
          <t>Minimum cash safety buffer</t>
        </is>
      </c>
      <c r="B14" s="392" t="n">
        <v>250</v>
      </c>
      <c r="C14" s="346" t="inlineStr">
        <is>
          <t>AED</t>
        </is>
      </c>
      <c r="D14" s="368" t="inlineStr">
        <is>
          <t>Cash you refuse to go below</t>
        </is>
      </c>
    </row>
    <row r="15" ht="15" customHeight="1" s="278">
      <c r="A15" s="366" t="inlineStr">
        <is>
          <t>Minimum living need per day</t>
        </is>
      </c>
      <c r="B15" s="392" t="n">
        <v>15</v>
      </c>
      <c r="C15" s="346" t="inlineStr">
        <is>
          <t>AED/day</t>
        </is>
      </c>
      <c r="D15" s="368" t="inlineStr">
        <is>
          <t>Floor for food/transport — the control cap basis</t>
        </is>
      </c>
    </row>
    <row r="16" ht="15" customHeight="1" s="278">
      <c r="A16" s="366" t="inlineStr">
        <is>
          <t>Comfortable-mode multiplier</t>
        </is>
      </c>
      <c r="B16" s="351" t="n">
        <v>1.35</v>
      </c>
      <c r="C16" s="346" t="inlineStr">
        <is>
          <t>x</t>
        </is>
      </c>
      <c r="D16" s="368" t="inlineStr">
        <is>
          <t>Only displayed if finances support it</t>
        </is>
      </c>
    </row>
    <row r="17" ht="15" customHeight="1" s="278">
      <c r="A17" s="366" t="inlineStr">
        <is>
          <t>Survival-mode multiplier</t>
        </is>
      </c>
      <c r="B17" s="351" t="n">
        <v>0.65</v>
      </c>
      <c r="C17" s="346" t="inlineStr">
        <is>
          <t>x</t>
        </is>
      </c>
      <c r="D17" s="368" t="inlineStr">
        <is>
          <t>Emergency compression</t>
        </is>
      </c>
    </row>
    <row r="18" ht="15" customHeight="1" s="278">
      <c r="A18" s="366" t="inlineStr">
        <is>
          <t>Weekend length</t>
        </is>
      </c>
      <c r="B18" s="349" t="n">
        <v>2</v>
      </c>
      <c r="C18" s="346" t="inlineStr">
        <is>
          <t>days</t>
        </is>
      </c>
      <c r="D18" s="368" t="inlineStr">
        <is>
          <t>Used for the weekend allowance</t>
        </is>
      </c>
    </row>
    <row r="19" ht="15" customHeight="1" s="278">
      <c r="A19" s="366" t="inlineStr">
        <is>
          <t>Rent cheque amount</t>
        </is>
      </c>
      <c r="B19" s="392" t="n">
        <v>11750</v>
      </c>
      <c r="C19" s="346" t="inlineStr">
        <is>
          <t>AED</t>
        </is>
      </c>
      <c r="D19" s="368" t="inlineStr">
        <is>
          <t>Lease schedule</t>
        </is>
      </c>
    </row>
    <row r="20" ht="15" customHeight="1" s="278">
      <c r="A20" s="366" t="inlineStr">
        <is>
          <t>Rent cheque date</t>
        </is>
      </c>
      <c r="B20" s="386" t="n">
        <v>46317</v>
      </c>
      <c r="C20" s="346" t="inlineStr">
        <is>
          <t>date</t>
        </is>
      </c>
      <c r="D20" s="368" t="inlineStr">
        <is>
          <t>Cheque clears this day</t>
        </is>
      </c>
    </row>
    <row r="21" ht="15" customHeight="1" s="278">
      <c r="A21" s="366" t="inlineStr">
        <is>
          <t>Rent must be fully funded by</t>
        </is>
      </c>
      <c r="B21" s="347">
        <f>$B$20-1</f>
        <v>46316.0</v>
      </c>
      <c r="C21" s="346" t="inlineStr">
        <is>
          <t>date</t>
        </is>
      </c>
      <c r="D21" s="368" t="inlineStr">
        <is>
          <t>One day before clearing — the 26 Oct salary is too late</t>
        </is>
      </c>
    </row>
    <row r="22" ht="15" customHeight="1" s="278">
      <c r="A22" s="366" t="inlineStr">
        <is>
          <t>Days until rent funding deadline</t>
        </is>
      </c>
      <c r="B22" s="350">
        <f>MAX($B$21-$B$9,0)</f>
        <v>56.0</v>
      </c>
      <c r="C22" s="346" t="inlineStr">
        <is>
          <t>days</t>
        </is>
      </c>
      <c r="D22" s="368" t="inlineStr">
        <is>
          <t>Derived — the binding constraint</t>
        </is>
      </c>
    </row>
    <row r="23" ht="15" customHeight="1" s="278">
      <c r="A23" s="366" t="inlineStr">
        <is>
          <t>Emergency fund target</t>
        </is>
      </c>
      <c r="B23" s="392" t="n">
        <v>1000</v>
      </c>
      <c r="C23" s="346" t="inlineStr">
        <is>
          <t>AED</t>
        </is>
      </c>
      <c r="D23" s="368" t="inlineStr">
        <is>
          <t>Next milestone</t>
        </is>
      </c>
    </row>
    <row r="24" ht="15" customHeight="1" s="278">
      <c r="A24" s="366" t="inlineStr">
        <is>
          <t>DEWA monthly baseline</t>
        </is>
      </c>
      <c r="B24" s="392" t="n">
        <v>793.42</v>
      </c>
      <c r="C24" s="346" t="inlineStr">
        <is>
          <t>AED</t>
        </is>
      </c>
      <c r="D24" s="368" t="inlineStr">
        <is>
          <t>Last confirmed bill — replace when actual arrives</t>
        </is>
      </c>
    </row>
    <row r="25" ht="15" customHeight="1" s="278">
      <c r="A25" s="366" t="inlineStr">
        <is>
          <t>du monthly baseline</t>
        </is>
      </c>
      <c r="B25" s="392" t="n">
        <v>590.98</v>
      </c>
      <c r="C25" s="346" t="inlineStr">
        <is>
          <t>AED</t>
        </is>
      </c>
      <c r="D25" s="368" t="inlineStr">
        <is>
          <t>Paid 03 Aug</t>
        </is>
      </c>
    </row>
    <row r="26" ht="15" customHeight="1" s="278">
      <c r="A26" s="366" t="inlineStr">
        <is>
          <t>Etisalat monthly baseline</t>
        </is>
      </c>
      <c r="B26" s="392" t="n">
        <v>323.95</v>
      </c>
      <c r="C26" s="346" t="inlineStr">
        <is>
          <t>AED</t>
        </is>
      </c>
      <c r="D26" s="368" t="inlineStr">
        <is>
          <t>Paid 03 Aug</t>
        </is>
      </c>
    </row>
    <row r="27" ht="15" customHeight="1" s="278">
      <c r="A27" s="366" t="inlineStr">
        <is>
          <t>Monthly SIP</t>
        </is>
      </c>
      <c r="B27" s="353" t="n">
        <v>12000</v>
      </c>
      <c r="C27" s="346" t="inlineStr">
        <is>
          <t>INR</t>
        </is>
      </c>
      <c r="D27" s="368" t="inlineStr">
        <is>
          <t>Four Nippon SIPs</t>
        </is>
      </c>
    </row>
    <row r="28" ht="15" customHeight="1" s="278">
      <c r="A28" s="366" t="inlineStr">
        <is>
          <t>INR to AED rate</t>
        </is>
      </c>
      <c r="B28" s="354" t="n">
        <v>0.0385333</v>
      </c>
      <c r="C28" s="346" t="inlineStr">
        <is>
          <t>rate</t>
        </is>
      </c>
      <c r="D28" s="368" t="inlineStr">
        <is>
          <t>Implied by AED 462.40 = INR 12,000</t>
        </is>
      </c>
    </row>
    <row r="29" ht="15" customHeight="1" s="278">
      <c r="A29" s="366" t="inlineStr">
        <is>
          <t>Monthly SIP (AED equivalent)</t>
        </is>
      </c>
      <c r="B29" s="385">
        <f>ROUND($B$27*$B$28,2)</f>
        <v>462.4</v>
      </c>
      <c r="C29" s="346" t="inlineStr">
        <is>
          <t>AED</t>
        </is>
      </c>
      <c r="D29" s="368" t="inlineStr">
        <is>
          <t>Derived</t>
        </is>
      </c>
    </row>
    <row r="30" ht="15" customHeight="1" s="278">
      <c r="A30" s="366" t="inlineStr">
        <is>
          <t>Tabby no-fee minimum</t>
        </is>
      </c>
      <c r="B30" s="392" t="n">
        <v>1314.5</v>
      </c>
      <c r="C30" s="346" t="inlineStr">
        <is>
          <t>AED</t>
        </is>
      </c>
      <c r="D30" s="368" t="inlineStr">
        <is>
          <t>September statement option</t>
        </is>
      </c>
    </row>
    <row r="31" ht="15" customHeight="1" s="278">
      <c r="A31" s="366" t="inlineStr">
        <is>
          <t>Tabby full statement</t>
        </is>
      </c>
      <c r="B31" s="392" t="n">
        <v>1972.03</v>
      </c>
      <c r="C31" s="346" t="inlineStr">
        <is>
          <t>AED</t>
        </is>
      </c>
      <c r="D31" s="368" t="inlineStr">
        <is>
          <t>Optional full clearance</t>
        </is>
      </c>
    </row>
    <row r="32" ht="18.75" customHeight="1" s="278">
      <c r="A32" s="366" t="inlineStr">
        <is>
          <t>Tabby total outstanding exposure</t>
        </is>
      </c>
      <c r="B32" s="392" t="n">
        <v>2687.36</v>
      </c>
      <c r="C32" s="346" t="inlineStr">
        <is>
          <t>AED</t>
        </is>
      </c>
      <c r="D32" s="355" t="inlineStr">
        <is>
          <t>Resolves as: 1,314.50 (Aug stmt, 3 Sep) + 715.33 (Sep stmt, 3 Oct) + 657.53 (Oct stmt, ~3 Nov, not yet generated). CONFIRMED via Tabby chat 15 Aug.</t>
        </is>
      </c>
    </row>
    <row r="34" ht="19.5" customHeight="1" s="278">
      <c r="A34" s="356" t="inlineStr">
        <is>
          <t>USD to AED rate (fixed peg)</t>
        </is>
      </c>
      <c r="B34" s="357" t="n">
        <v>3.6725</v>
      </c>
      <c r="C34" s="287" t="n"/>
      <c r="D34" s="358" t="inlineStr">
        <is>
          <t>AED's fixed dirham peg — has not moved since 1997</t>
        </is>
      </c>
      <c r="E34" s="287" t="n"/>
      <c r="F34" s="287" t="n"/>
      <c r="G34" s="287" t="n"/>
      <c r="H34" s="287" t="n"/>
    </row>
    <row r="35" ht="27.75" customHeight="1" s="278">
      <c r="A35" s="366" t="inlineStr">
        <is>
          <t>Amana ending value (USD)</t>
        </is>
      </c>
      <c r="B35" s="359" t="n">
        <v>864.8200000000001</v>
      </c>
      <c r="D35" s="368" t="inlineStr">
        <is>
          <t>Statement ending 10 Aug 2026</t>
        </is>
      </c>
      <c r="F35" s="383" t="inlineStr">
        <is>
          <t>Categories</t>
        </is>
      </c>
      <c r="G35" s="383" t="inlineStr">
        <is>
          <t>Classes</t>
        </is>
      </c>
      <c r="H35" s="383" t="inlineStr">
        <is>
          <t>Transaction types</t>
        </is>
      </c>
      <c r="I35" s="383" t="inlineStr">
        <is>
          <t>Accounts</t>
        </is>
      </c>
      <c r="J35" s="383" t="inlineStr">
        <is>
          <t>Essential?</t>
        </is>
      </c>
      <c r="K35" s="383" t="inlineStr">
        <is>
          <t>Fixed / Variable</t>
        </is>
      </c>
      <c r="L35" s="383" t="inlineStr">
        <is>
          <t>Yes / No</t>
        </is>
      </c>
      <c r="M35" s="383" t="inlineStr">
        <is>
          <t>Certainty</t>
        </is>
      </c>
    </row>
    <row r="36" ht="15" customHeight="1" s="278">
      <c r="F36" s="561" t="inlineStr">
        <is>
          <t>Salary</t>
        </is>
      </c>
      <c r="G36" s="561" t="inlineStr">
        <is>
          <t>Household</t>
        </is>
      </c>
      <c r="H36" s="561" t="inlineStr">
        <is>
          <t>Income</t>
        </is>
      </c>
      <c r="I36" s="561" t="inlineStr">
        <is>
          <t>FAB 4001 Current</t>
        </is>
      </c>
      <c r="J36" s="561" t="inlineStr">
        <is>
          <t>Essential</t>
        </is>
      </c>
      <c r="K36" s="561" t="inlineStr">
        <is>
          <t>Fixed</t>
        </is>
      </c>
      <c r="L36" s="561" t="inlineStr">
        <is>
          <t>Yes</t>
        </is>
      </c>
      <c r="M36" s="561" t="inlineStr">
        <is>
          <t>Actual</t>
        </is>
      </c>
    </row>
    <row r="37" ht="15" customHeight="1" s="278">
      <c r="F37" s="561" t="inlineStr">
        <is>
          <t>Side Income</t>
        </is>
      </c>
      <c r="G37" s="561" t="inlineStr">
        <is>
          <t>Personal</t>
        </is>
      </c>
      <c r="H37" s="561" t="inlineStr">
        <is>
          <t>Expense</t>
        </is>
      </c>
      <c r="I37" s="561" t="inlineStr">
        <is>
          <t>FAB 4002 Home Expenditure</t>
        </is>
      </c>
      <c r="J37" s="561" t="inlineStr">
        <is>
          <t>Non-Essential</t>
        </is>
      </c>
      <c r="K37" s="561" t="inlineStr">
        <is>
          <t>Variable</t>
        </is>
      </c>
      <c r="L37" s="561" t="inlineStr">
        <is>
          <t>No</t>
        </is>
      </c>
      <c r="M37" s="561" t="inlineStr">
        <is>
          <t>Estimated</t>
        </is>
      </c>
    </row>
    <row r="38" ht="15" customHeight="1" s="278">
      <c r="F38" s="561" t="inlineStr">
        <is>
          <t>Refund / Reimbursement</t>
        </is>
      </c>
      <c r="G38" s="561" t="inlineStr">
        <is>
          <t>Financial</t>
        </is>
      </c>
      <c r="H38" s="561" t="inlineStr">
        <is>
          <t>Transfer In</t>
        </is>
      </c>
      <c r="I38" s="561" t="inlineStr">
        <is>
          <t>FAB 4003 Emergency Fund</t>
        </is>
      </c>
      <c r="M38" s="561" t="inlineStr">
        <is>
          <t>Possible</t>
        </is>
      </c>
    </row>
    <row r="39" ht="15" customHeight="1" s="278">
      <c r="F39" s="561" t="inlineStr">
        <is>
          <t>Groceries</t>
        </is>
      </c>
      <c r="G39" s="561" t="inlineStr">
        <is>
          <t>Income</t>
        </is>
      </c>
      <c r="H39" s="561" t="inlineStr">
        <is>
          <t>Transfer Out</t>
        </is>
      </c>
      <c r="I39" s="561" t="inlineStr">
        <is>
          <t>NBD Current</t>
        </is>
      </c>
    </row>
    <row r="40" ht="15" customHeight="1" s="278">
      <c r="F40" s="561" t="inlineStr">
        <is>
          <t>Food &amp; Dining</t>
        </is>
      </c>
      <c r="G40" s="561" t="inlineStr">
        <is>
          <t>Internal</t>
        </is>
      </c>
      <c r="I40" s="561" t="inlineStr">
        <is>
          <t>NBD Plus Saver</t>
        </is>
      </c>
    </row>
    <row r="41" ht="15" customHeight="1" s="278">
      <c r="F41" s="561" t="inlineStr">
        <is>
          <t>Utilities</t>
        </is>
      </c>
      <c r="G41" s="561" t="inlineStr">
        <is>
          <t>Business</t>
        </is>
      </c>
      <c r="I41" s="561" t="inlineStr">
        <is>
          <t>Tabby Cash</t>
        </is>
      </c>
    </row>
    <row r="42" ht="15" customHeight="1" s="278">
      <c r="F42" s="561" t="inlineStr">
        <is>
          <t>Telecom</t>
        </is>
      </c>
      <c r="I42" s="561" t="inlineStr">
        <is>
          <t>Cash / Wio</t>
        </is>
      </c>
    </row>
    <row r="43" ht="15" customHeight="1" s="278">
      <c r="F43" s="561" t="inlineStr">
        <is>
          <t>Transport</t>
        </is>
      </c>
      <c r="I43" s="561" t="inlineStr">
        <is>
          <t>ICICI (INR)</t>
        </is>
      </c>
    </row>
    <row r="44" ht="15" customHeight="1" s="278">
      <c r="F44" s="561" t="inlineStr">
        <is>
          <t>Travel &amp; Airfare</t>
        </is>
      </c>
    </row>
    <row r="45" ht="15" customHeight="1" s="278">
      <c r="F45" s="561" t="inlineStr">
        <is>
          <t>Household Other</t>
        </is>
      </c>
    </row>
    <row r="46" ht="15" customHeight="1" s="278">
      <c r="F46" s="561" t="inlineStr">
        <is>
          <t>Family Support</t>
        </is>
      </c>
    </row>
    <row r="47" ht="15" customHeight="1" s="278">
      <c r="F47" s="561" t="inlineStr">
        <is>
          <t>Lifestyle</t>
        </is>
      </c>
    </row>
    <row r="48" ht="15" customHeight="1" s="278">
      <c r="F48" s="561" t="inlineStr">
        <is>
          <t>Shopping</t>
        </is>
      </c>
    </row>
    <row r="49" ht="15" customHeight="1" s="278">
      <c r="F49" s="561" t="inlineStr">
        <is>
          <t>Entertainment</t>
        </is>
      </c>
    </row>
    <row r="50" ht="15" customHeight="1" s="278">
      <c r="F50" s="561" t="inlineStr">
        <is>
          <t>Health</t>
        </is>
      </c>
    </row>
    <row r="51" ht="15" customHeight="1" s="278">
      <c r="F51" s="561" t="inlineStr">
        <is>
          <t>Rent</t>
        </is>
      </c>
    </row>
    <row r="52" ht="15" customHeight="1" s="278">
      <c r="F52" s="561" t="inlineStr">
        <is>
          <t>BNPL</t>
        </is>
      </c>
    </row>
    <row r="53" ht="15" customHeight="1" s="278">
      <c r="F53" s="561" t="inlineStr">
        <is>
          <t>Investments</t>
        </is>
      </c>
    </row>
    <row r="54" ht="15" customHeight="1" s="278">
      <c r="F54" s="561" t="inlineStr">
        <is>
          <t>Savings</t>
        </is>
      </c>
    </row>
    <row r="55" ht="15" customHeight="1" s="278">
      <c r="F55" s="561" t="inlineStr">
        <is>
          <t>Internal Transfer</t>
        </is>
      </c>
    </row>
    <row r="56" ht="15" customHeight="1" s="278">
      <c r="F56" s="561" t="inlineStr">
        <is>
          <t>Other</t>
        </is>
      </c>
    </row>
    <row r="57" ht="15" customHeight="1" s="278">
      <c r="A57" s="366" t="inlineStr">
        <is>
          <t>Binance total value (AED)</t>
        </is>
      </c>
      <c r="B57" s="392" t="n">
        <v>191.8</v>
      </c>
      <c r="D57" s="368" t="inlineStr">
        <is>
          <t>App overview, 11 Aug 2026 — 'Est. Total Value'</t>
        </is>
      </c>
    </row>
    <row r="58" ht="19.5" customHeight="1" s="278">
      <c r="A58" s="382" t="inlineStr">
        <is>
          <t>DERIVED ENGINE  ·  do not edit  ·  every dashboard figure traces to a row here</t>
        </is>
      </c>
      <c r="B58" s="287" t="n"/>
      <c r="C58" s="287" t="n"/>
      <c r="D58" s="287" t="n"/>
    </row>
    <row r="59" ht="27.75" customHeight="1" s="278">
      <c r="A59" s="383" t="inlineStr">
        <is>
          <t>#</t>
        </is>
      </c>
      <c r="B59" s="383" t="inlineStr">
        <is>
          <t>Metric</t>
        </is>
      </c>
      <c r="C59" s="383" t="inlineStr">
        <is>
          <t>Value</t>
        </is>
      </c>
      <c r="D59" s="383" t="inlineStr">
        <is>
          <t>Basis</t>
        </is>
      </c>
    </row>
    <row r="60" ht="15" customHeight="1" s="278">
      <c r="A60" s="366" t="inlineStr">
        <is>
          <t>E1  ·  Total AED liquid cash</t>
        </is>
      </c>
      <c r="B60" s="367">
        <f>Accounts!$D$15</f>
        <v>6105.17</v>
      </c>
      <c r="C60" s="366" t="n"/>
      <c r="D60" s="368" t="inlineStr">
        <is>
          <t>All AED accounts flagged as liquid</t>
        </is>
      </c>
    </row>
    <row r="61" ht="15" customHeight="1" s="278">
      <c r="A61" s="366" t="inlineStr">
        <is>
          <t>E2  ·  Reserved / protected</t>
        </is>
      </c>
      <c r="B61" s="367">
        <f>Accounts!$E$15</f>
        <v>5948.37</v>
      </c>
      <c r="C61" s="366" t="n"/>
      <c r="D61" s="368" t="inlineStr">
        <is>
          <t>Rent vault + emergency fund</t>
        </is>
      </c>
    </row>
    <row r="62" ht="15" customHeight="1" s="278">
      <c r="A62" s="366" t="inlineStr">
        <is>
          <t>E3  ·  Spendable cash now</t>
        </is>
      </c>
      <c r="B62" s="367">
        <f>$B$60-$B$61</f>
        <v>156.8</v>
      </c>
      <c r="C62" s="366" t="n"/>
      <c r="D62" s="368" t="inlineStr">
        <is>
          <t>Liquid less reserved</t>
        </is>
      </c>
    </row>
    <row r="63" ht="15" customHeight="1" s="278">
      <c r="A63" s="366" t="inlineStr">
        <is>
          <t>E4  ·  Bills due before next income</t>
        </is>
      </c>
      <c r="B63" s="367">
        <f>SUMIFS('Bills &amp; Commitments'!$G$7:$G$80,'Bills &amp; Commitments'!$D$7:$D$80,"Outflow",'Bills &amp; Commitments'!$I$7:$I$80,"No",'Bills &amp; Commitments'!$H$7:$H$80,"AED",'Bills &amp; Commitments'!$C$7:$C$80,"&lt;&gt;Rent",'Bills &amp; Commitments'!$A$7:$A$80,"&gt;="&amp;$B$9,'Bills &amp; Commitments'!$A$7:$A$80,"&lt;="&amp;$B$12)</f>
        <v>1377.33</v>
      </c>
      <c r="C63" s="366" t="n"/>
      <c r="D63" s="368" t="inlineStr">
        <is>
          <t>Unsettled AED outflows between today and payday, rent cheque excluded</t>
        </is>
      </c>
    </row>
    <row r="64" ht="15" customHeight="1" s="278">
      <c r="A64" s="366" t="inlineStr">
        <is>
          <t>E5  ·  Safety buffer</t>
        </is>
      </c>
      <c r="B64" s="367">
        <f>$B$14</f>
        <v>250.0</v>
      </c>
      <c r="C64" s="366" t="n"/>
      <c r="D64" s="368" t="inlineStr">
        <is>
          <t>Control panel</t>
        </is>
      </c>
    </row>
    <row r="65" ht="15" customHeight="1" s="278">
      <c r="A65" s="366" t="inlineStr">
        <is>
          <t>E6  ·  Short-horizon pool — to next salary</t>
        </is>
      </c>
      <c r="B65" s="367">
        <f>$B$62-$B$63-$B$64</f>
        <v>-1470.53</v>
      </c>
      <c r="C65" s="366" t="n"/>
      <c r="D65" s="368" t="inlineStr">
        <is>
          <t>Spendable − bills − buffer</t>
        </is>
      </c>
    </row>
    <row r="66" ht="15" customHeight="1" s="278">
      <c r="A66" s="366" t="inlineStr">
        <is>
          <t>E7  ·  Days until next income</t>
        </is>
      </c>
      <c r="B66" s="362">
        <f>$B$13</f>
        <v>31.0</v>
      </c>
      <c r="C66" s="366" t="n"/>
      <c r="D66" s="368" t="inlineStr">
        <is>
          <t>Live</t>
        </is>
      </c>
    </row>
    <row r="67" ht="15" customHeight="1" s="278">
      <c r="A67" s="366" t="inlineStr">
        <is>
          <t>E8  ·  Daily limit — to next salary</t>
        </is>
      </c>
      <c r="B67" s="367">
        <f>IF($B$66&lt;=0,0,$B$65/$B$66)</f>
        <v>-47.4364516129</v>
      </c>
      <c r="C67" s="366" t="n"/>
      <c r="D67" s="368" t="inlineStr">
        <is>
          <t>Liquidity view only; ignores the rent wall</t>
        </is>
      </c>
    </row>
    <row r="68" ht="15" customHeight="1" s="278">
      <c r="A68" s="366" t="inlineStr">
        <is>
          <t>E9  ·  Expected inflows before rent deadline</t>
        </is>
      </c>
      <c r="B68" s="367">
        <f>SUMIFS('Bills &amp; Commitments'!$G$7:$G$80,'Bills &amp; Commitments'!$D$7:$D$80,"Inflow",'Bills &amp; Commitments'!$I$7:$I$80,"No",'Bills &amp; Commitments'!$H$7:$H$80,"AED",'Bills &amp; Commitments'!$A$7:$A$80,"&lt;="&amp;$B$21)</f>
        <v>7914.88</v>
      </c>
      <c r="C68" s="366" t="n"/>
      <c r="D68" s="368" t="inlineStr">
        <is>
          <t>Unsettled AED inflows on or before 21 Oct</t>
        </is>
      </c>
    </row>
    <row r="69" ht="15" customHeight="1" s="278">
      <c r="A69" s="366" t="inlineStr">
        <is>
          <t>E10  ·  Committed outflows before rent deadline</t>
        </is>
      </c>
      <c r="B69" s="367">
        <f>SUMIFS('Bills &amp; Commitments'!$G$7:$G$80,'Bills &amp; Commitments'!$D$7:$D$80,"Outflow",'Bills &amp; Commitments'!$I$7:$I$80,"No",'Bills &amp; Commitments'!$H$7:$H$80,"AED",'Bills &amp; Commitments'!$C$7:$C$80,"&lt;&gt;Rent",'Bills &amp; Commitments'!$A$7:$A$80,"&lt;="&amp;$B$21)</f>
        <v>4263.41</v>
      </c>
      <c r="C69" s="366" t="n"/>
      <c r="D69" s="368" t="inlineStr">
        <is>
          <t>Bills excluding the rent cheque itself</t>
        </is>
      </c>
    </row>
    <row r="70" ht="15" customHeight="1" s="278">
      <c r="A70" s="366" t="inlineStr">
        <is>
          <t>E11  ·  Rent still to fund</t>
        </is>
      </c>
      <c r="B70" s="367">
        <f>MAX($B$19-SUMIFS(Accounts!$E$7:$E$14,Accounts!$H$7:$H$14,"Rent vault"),0)</f>
        <v>5809.3</v>
      </c>
      <c r="C70" s="366" t="n"/>
      <c r="D70" s="368" t="inlineStr">
        <is>
          <t>Cheque less whatever sits in an account whose Purpose reads 'Rent vault'</t>
        </is>
      </c>
    </row>
    <row r="71" ht="15" customHeight="1" s="278">
      <c r="A71" s="366" t="inlineStr">
        <is>
          <t>E12  ·  Cash available for the rent cheque</t>
        </is>
      </c>
      <c r="B71" s="367">
        <f>$B$62+$B$68-$B$69-($B$73*$B$15)+SUMIFS(Accounts!$E$7:$E$14,Accounts!$H$7:$H$14,"Rent vault")</f>
        <v>8908.97</v>
      </c>
      <c r="C71" s="366" t="n"/>
      <c r="D71" s="368" t="inlineStr">
        <is>
          <t>Spendable + inflows − commitments − minimum living + vault</t>
        </is>
      </c>
    </row>
    <row r="72" ht="15" customHeight="1" s="278">
      <c r="A72" s="366" t="inlineStr">
        <is>
          <t>E13  ·  Living pool to rent deadline (after buffer)</t>
        </is>
      </c>
      <c r="B72" s="367">
        <f>$B$62+$B$68-$B$69-$B$70-$B$64</f>
        <v>-2251.03</v>
      </c>
      <c r="C72" s="366" t="n"/>
      <c r="D72" s="368" t="inlineStr">
        <is>
          <t>What is left for living once rent is fully funded</t>
        </is>
      </c>
    </row>
    <row r="73" ht="15" customHeight="1" s="278">
      <c r="A73" s="366" t="inlineStr">
        <is>
          <t>E14  ·  Days until rent deadline</t>
        </is>
      </c>
      <c r="B73" s="362">
        <f>$B$22</f>
        <v>56.0</v>
      </c>
      <c r="C73" s="366" t="n"/>
      <c r="D73" s="368" t="inlineStr">
        <is>
          <t>Live</t>
        </is>
      </c>
    </row>
    <row r="74" ht="15" customHeight="1" s="278">
      <c r="A74" s="366" t="inlineStr">
        <is>
          <t>E15  ·  Daily limit — to rent deadline</t>
        </is>
      </c>
      <c r="B74" s="367">
        <f>IF($B$73&lt;=0,0,$B$72/$B$73)</f>
        <v>-40.1969642857</v>
      </c>
      <c r="C74" s="366" t="n"/>
      <c r="D74" s="368" t="inlineStr">
        <is>
          <t>The binding constraint</t>
        </is>
      </c>
    </row>
    <row r="75" ht="15" customHeight="1" s="278">
      <c r="A75" s="296" t="inlineStr">
        <is>
          <t>E16  ·  SAFE DAILY LIMIT (binding)</t>
        </is>
      </c>
      <c r="B75" s="367">
        <f>MAX(MIN($B$67,$B$74),0)</f>
        <v>0.0</v>
      </c>
      <c r="C75" s="366" t="n"/>
      <c r="D75" s="368" t="inlineStr">
        <is>
          <t>The lower of the two horizons — never negative</t>
        </is>
      </c>
    </row>
    <row r="76" ht="18.75" customHeight="1" s="278">
      <c r="A76" s="366" t="inlineStr">
        <is>
          <t>E17  ·  Survival daily limit</t>
        </is>
      </c>
      <c r="B76" s="367">
        <f>MIN($B$67,$B$15)</f>
        <v>-47.4364516129</v>
      </c>
      <c r="C76" s="366" t="n"/>
      <c r="D76" s="368" t="inlineStr">
        <is>
          <t>The absolute floor you must live on. It is inside the rent plan — but only fundable if the gap is closed.</t>
        </is>
      </c>
    </row>
    <row r="77" ht="15" customHeight="1" s="278">
      <c r="A77" s="366" t="inlineStr">
        <is>
          <t>E18  ·  Comfortable daily limit</t>
        </is>
      </c>
      <c r="B77" s="367">
        <f>IF($B$74&lt;$B$15,0,$B$75*$B$16)</f>
        <v>0.0</v>
      </c>
      <c r="C77" s="366" t="n"/>
      <c r="D77" s="368" t="inlineStr">
        <is>
          <t>Shown as zero unless the finances genuinely support it</t>
        </is>
      </c>
    </row>
    <row r="78" ht="15" customHeight="1" s="278">
      <c r="A78" s="366" t="inlineStr">
        <is>
          <t>E19  ·  Weekend allowance</t>
        </is>
      </c>
      <c r="B78" s="367">
        <f>MAX($B$75,$B$76)*$B$18</f>
        <v>0.0</v>
      </c>
      <c r="C78" s="366" t="n"/>
      <c r="D78" s="368" t="inlineStr">
        <is>
          <t>Safe daily where positive, otherwise the survival floor, times weekend length</t>
        </is>
      </c>
    </row>
    <row r="79" ht="15" customHeight="1" s="278">
      <c r="A79" s="366" t="inlineStr">
        <is>
          <t>E20  ·  Minimum living need to rent deadline</t>
        </is>
      </c>
      <c r="B79" s="367">
        <f>$B$73*$B$15</f>
        <v>840.0</v>
      </c>
      <c r="C79" s="366" t="n"/>
      <c r="D79" s="368" t="inlineStr">
        <is>
          <t>Days × minimum daily need</t>
        </is>
      </c>
    </row>
    <row r="80" ht="15" customHeight="1" s="278">
      <c r="A80" s="366" t="inlineStr">
        <is>
          <t>E21  ·  FINANCIAL GAP — before safety buffer</t>
        </is>
      </c>
      <c r="B80" s="367">
        <f>MAX($B$79-($B$72+$B$64),0)</f>
        <v>2841.03</v>
      </c>
      <c r="C80" s="366" t="n"/>
      <c r="D80" s="368" t="inlineStr">
        <is>
          <t>Shortfall if the buffer is sacrificed</t>
        </is>
      </c>
    </row>
    <row r="81" ht="15" customHeight="1" s="278">
      <c r="A81" s="366" t="inlineStr">
        <is>
          <t>E22  ·  FINANCIAL GAP — including safety buffer</t>
        </is>
      </c>
      <c r="B81" s="367">
        <f>MAX($B$79-$B$72,0)</f>
        <v>3091.03</v>
      </c>
      <c r="C81" s="366" t="n"/>
      <c r="D81" s="368" t="inlineStr">
        <is>
          <t>The honest headline number</t>
        </is>
      </c>
    </row>
    <row r="82" ht="15" customHeight="1" s="278">
      <c r="A82" s="366" t="inlineStr">
        <is>
          <t>E23  ·  Extra income needed per day</t>
        </is>
      </c>
      <c r="B82" s="367">
        <f>IF($B$73&lt;=0,0,$B$81/$B$73)</f>
        <v>55.1969642857</v>
      </c>
      <c r="C82" s="366" t="n"/>
      <c r="D82" s="368" t="inlineStr">
        <is>
          <t>Gap spread over remaining days</t>
        </is>
      </c>
    </row>
    <row r="83" ht="15" customHeight="1" s="278">
      <c r="A83" s="366" t="inlineStr">
        <is>
          <t>E24  ·  Extra income needed per week</t>
        </is>
      </c>
      <c r="B83" s="367">
        <f>$B$82*7</f>
        <v>386.37875</v>
      </c>
      <c r="C83" s="366" t="n"/>
      <c r="D83" s="368" t="inlineStr">
        <is>
          <t>Weekly earning target</t>
        </is>
      </c>
    </row>
    <row r="84" ht="15" customHeight="1" s="278">
      <c r="A84" s="366" t="inlineStr">
        <is>
          <t>E25  ·  Current month key</t>
        </is>
      </c>
      <c r="B84" s="363" t="str">
        <f>TEXT($B$9,"YYYY-MM")</f>
        <v>2026-08</v>
      </c>
      <c r="C84" s="366" t="n"/>
      <c r="D84" s="368" t="inlineStr">
        <is>
          <t>Drives all month-to-date figures</t>
        </is>
      </c>
    </row>
    <row r="85" ht="15" customHeight="1" s="278">
      <c r="A85" s="366" t="inlineStr">
        <is>
          <t>E26  ·  Income received this month</t>
        </is>
      </c>
      <c r="B85" s="367">
        <f>SUMIFS(Transactions!$O$7:$O$520,Transactions!$F$7:$F$520,"Income",Transactions!$P$7:$P$520,"AED",Transactions!$C$7:$C$520,$B$84)</f>
        <v>11466.7</v>
      </c>
      <c r="C85" s="366" t="n"/>
      <c r="D85" s="368" t="inlineStr">
        <is>
          <t>Banked income only</t>
        </is>
      </c>
    </row>
    <row r="86" ht="18.75" customHeight="1" s="278">
      <c r="A86" s="366" t="inlineStr">
        <is>
          <t>E27  ·  Spending this month (own money)</t>
        </is>
      </c>
      <c r="B86" s="367">
        <f>SUMIFS(Transactions!$O$7:$O$520,Transactions!$F$7:$F$520,"Expense",Transactions!$P$7:$P$520,"AED",Transactions!$C$7:$C$520,$B$84)-SUMIFS(Transactions!$O$7:$O$520,Transactions!$F$7:$F$520,"Expense",Transactions!$P$7:$P$520,"AED",Transactions!$C$7:$C$520,$B$84,Transactions!$J$7:$J$520,"Business")</f>
        <v>7587.65</v>
      </c>
      <c r="C86" s="366" t="n"/>
      <c r="D86" s="368" t="inlineStr">
        <is>
          <t>Household + personal only. Reimbursable business outflows (the ticket bookings) are excluded — that money was never yours to spend.</t>
        </is>
      </c>
    </row>
    <row r="87" ht="15" customHeight="1" s="278">
      <c r="A87" s="366" t="inlineStr">
        <is>
          <t>E28  ·  Household spending this month</t>
        </is>
      </c>
      <c r="B87" s="367">
        <f>SUMIFS(Transactions!$O$7:$O$520,Transactions!$F$7:$F$520,"Expense",Transactions!$P$7:$P$520,"AED",Transactions!$C$7:$C$520,$B$84,Transactions!$J$7:$J$520,"Household")</f>
        <v>6028.4</v>
      </c>
      <c r="C87" s="366" t="n"/>
      <c r="D87" s="368" t="n"/>
    </row>
    <row r="88" ht="15" customHeight="1" s="278">
      <c r="A88" s="366" t="inlineStr">
        <is>
          <t>E29  ·  Personal / lifestyle spending this month</t>
        </is>
      </c>
      <c r="B88" s="367">
        <f>SUMIFS(Transactions!$O$7:$O$520,Transactions!$F$7:$F$520,"Expense",Transactions!$P$7:$P$520,"AED",Transactions!$C$7:$C$520,$B$84,Transactions!$J$7:$J$520,"Personal")</f>
        <v>1559.25</v>
      </c>
      <c r="C88" s="366" t="n"/>
      <c r="D88" s="368" t="n"/>
    </row>
    <row r="89" ht="15" customHeight="1" s="278">
      <c r="A89" s="366" t="inlineStr">
        <is>
          <t>E30  ·  Days elapsed this month</t>
        </is>
      </c>
      <c r="B89" s="362">
        <f>DAY($B$9)</f>
        <v>26.0</v>
      </c>
      <c r="C89" s="366" t="n"/>
      <c r="D89" s="368" t="n"/>
    </row>
    <row r="90" ht="27.75" customHeight="1" s="278">
      <c r="A90" s="366" t="inlineStr">
        <is>
          <t>E31  ·  Average daily spend — recurring</t>
        </is>
      </c>
      <c r="B90" s="367">
        <f>IF($B$89=0,0,($B$86-SUMIFS(Transactions!$O$7:$O$520,Transactions!$F$7:$F$520,"Expense",Transactions!$P$7:$P$520,"AED",Transactions!$C$7:$C$520,$B$84,Transactions!$O$7:$O$520,"&gt;=500",Transactions!$J$7:$J$520,"&lt;&gt;Business"))/$B$89)</f>
        <v>119.9919230769</v>
      </c>
      <c r="C90" s="366" t="n"/>
      <c r="D90" s="368" t="inlineStr">
        <is>
          <t>Day-to-day burn rate. Excludes reimbursable business outflows and single transactions of AED 500 or more (this month: the AED 1,430 airfare and the AED 914.93 utilities run). Threshold hardcoded at AED 500.</t>
        </is>
      </c>
    </row>
    <row r="91" ht="15" customHeight="1" s="278">
      <c r="A91" s="366" t="inlineStr">
        <is>
          <t>E32  ·  Days left in this month</t>
        </is>
      </c>
      <c r="B91" s="362">
        <f>DAY(EOMONTH($B$9,0))-DAY($B$9)</f>
        <v>5.0</v>
      </c>
      <c r="C91" s="366" t="n"/>
      <c r="D91" s="368" t="n"/>
    </row>
    <row r="92" ht="15" customHeight="1" s="278">
      <c r="A92" s="366" t="inlineStr">
        <is>
          <t>E33  ·  Remaining obligations this month</t>
        </is>
      </c>
      <c r="B92" s="367">
        <f>SUMIFS('Bills &amp; Commitments'!$G$7:$G$80,'Bills &amp; Commitments'!$D$7:$D$80,"Outflow",'Bills &amp; Commitments'!$I$7:$I$80,"No",'Bills &amp; Commitments'!$H$7:$H$80,"AED",'Bills &amp; Commitments'!$A$7:$A$80,"&gt;="&amp;$B$9,'Bills &amp; Commitments'!$A$7:$A$80,"&lt;="&amp;EOMONTH($B$9,0))</f>
        <v>0.0</v>
      </c>
      <c r="C92" s="366" t="n"/>
      <c r="D92" s="368" t="n"/>
    </row>
    <row r="93" ht="15" customHeight="1" s="278">
      <c r="A93" s="366" t="inlineStr">
        <is>
          <t>E34  ·  Expected inflows remaining this month</t>
        </is>
      </c>
      <c r="B93" s="367">
        <f>SUMIFS('Bills &amp; Commitments'!$G$7:$G$80,'Bills &amp; Commitments'!$D$7:$D$80,"Inflow",'Bills &amp; Commitments'!$I$7:$I$80,"No",'Bills &amp; Commitments'!$H$7:$H$80,"AED",'Bills &amp; Commitments'!$A$7:$A$80,"&gt;="&amp;$B$9,'Bills &amp; Commitments'!$A$7:$A$80,"&lt;="&amp;EOMONTH($B$9,0))</f>
        <v>0.0</v>
      </c>
      <c r="C93" s="366" t="n"/>
      <c r="D93" s="368" t="n"/>
    </row>
    <row r="94" ht="15" customHeight="1" s="278">
      <c r="A94" s="366" t="inlineStr">
        <is>
          <t>E35  ·  Projected month-end cash</t>
        </is>
      </c>
      <c r="B94" s="367">
        <f>$B$62+$B$93-$B$92-($B$90*$B$91)</f>
        <v>-443.1596153846</v>
      </c>
      <c r="C94" s="366" t="n"/>
      <c r="D94" s="368" t="inlineStr">
        <is>
          <t>At the current burn rate</t>
        </is>
      </c>
    </row>
    <row r="95" ht="15" customHeight="1" s="278">
      <c r="A95" s="366" t="inlineStr">
        <is>
          <t>E36  ·  Investments value (INR)</t>
        </is>
      </c>
      <c r="B95" s="367">
        <f>Investments!$F$12</f>
        <v>244917.52116</v>
      </c>
      <c r="C95" s="366" t="n"/>
      <c r="D95" s="368" t="inlineStr">
        <is>
          <t>MF Central snapshot</t>
        </is>
      </c>
    </row>
    <row r="96" ht="15" customHeight="1" s="278">
      <c r="A96" s="366" t="inlineStr">
        <is>
          <t>E37  ·  Investments value (AED equivalent)</t>
        </is>
      </c>
      <c r="B96" s="367">
        <f>$B$95*$B$28</f>
        <v>9437.4803181146</v>
      </c>
      <c r="C96" s="366" t="n"/>
      <c r="D96" s="368" t="inlineStr">
        <is>
          <t>At the Settings rate</t>
        </is>
      </c>
    </row>
    <row r="97" ht="15" customHeight="1" s="278">
      <c r="A97" s="366" t="inlineStr">
        <is>
          <t>E38  ·  Total accessible assets (AED)</t>
        </is>
      </c>
      <c r="B97" s="367">
        <f>$B$115</f>
        <v>18910.5017681146</v>
      </c>
      <c r="C97" s="366" t="n"/>
      <c r="D97" s="368" t="inlineStr">
        <is>
          <t>Superseded by E56 — kept for backward formula compatibility</t>
        </is>
      </c>
    </row>
    <row r="98" ht="15" customHeight="1" s="278">
      <c r="A98" s="366" t="inlineStr">
        <is>
          <t>E39  ·  Emergency fund balance</t>
        </is>
      </c>
      <c r="B98" s="367">
        <f>Accounts!$D$9</f>
        <v>7.67</v>
      </c>
      <c r="C98" s="366" t="n"/>
      <c r="D98" s="368" t="n"/>
    </row>
    <row r="99" ht="15" customHeight="1" s="278">
      <c r="A99" s="366" t="inlineStr">
        <is>
          <t>E40  ·  Emergency fund progress</t>
        </is>
      </c>
      <c r="B99" s="364">
        <f>IF($B$23=0,0,$B$98/$B$23)</f>
        <v>0.00767</v>
      </c>
      <c r="C99" s="366" t="n"/>
      <c r="D99" s="368" t="n"/>
    </row>
    <row r="100" ht="15" customHeight="1" s="278">
      <c r="A100" s="366" t="inlineStr">
        <is>
          <t>E41  ·  Rent funding progress</t>
        </is>
      </c>
      <c r="B100" s="364">
        <f>IF($B$19=0,0,SUMIFS(Accounts!$E$7:$E$14,Accounts!$H$7:$H$14,"Rent vault")/$B$19)</f>
        <v>0.5055914894</v>
      </c>
      <c r="C100" s="366" t="n"/>
      <c r="D100" s="368" t="n"/>
    </row>
    <row r="101" ht="15" customHeight="1" s="278">
      <c r="A101" s="366" t="inlineStr">
        <is>
          <t>E42  ·  BNPL exposure</t>
        </is>
      </c>
      <c r="B101" s="367">
        <f>$B$32</f>
        <v>2687.36</v>
      </c>
      <c r="C101" s="366" t="n"/>
      <c r="D101" s="368" t="n"/>
    </row>
    <row r="102" ht="15" customHeight="1" s="278">
      <c r="A102" s="366" t="inlineStr">
        <is>
          <t>E43  ·  Next payment — amount</t>
        </is>
      </c>
      <c r="B102" s="367">
        <f>IFERROR(INDEX('Bills &amp; Commitments'!$G$7:$G$80,MATCH(MIN('Bills &amp; Commitments'!$S$7:$S$80),'Bills &amp; Commitments'!$S$7:$S$80,0)),0)</f>
        <v>462.4</v>
      </c>
      <c r="C102" s="366" t="n"/>
      <c r="D102" s="368" t="n"/>
    </row>
    <row r="103" ht="15" customHeight="1" s="278">
      <c r="A103" s="366" t="inlineStr">
        <is>
          <t>E44  ·  Next payment — name</t>
        </is>
      </c>
      <c r="B103" s="363" t="str">
        <f>IFERROR(INDEX('Bills &amp; Commitments'!$B$7:$B$80,MATCH(MIN('Bills &amp; Commitments'!$S$7:$S$80),'Bills &amp; Commitments'!$S$7:$S$80,0)),"None")</f>
        <v>Nippon SIP — September</v>
      </c>
      <c r="C103" s="366" t="n"/>
      <c r="D103" s="368" t="n"/>
    </row>
    <row r="104" ht="15" customHeight="1" s="278">
      <c r="A104" s="366" t="inlineStr">
        <is>
          <t>E45  ·  Next payment — date</t>
        </is>
      </c>
      <c r="B104" s="365">
        <f>IFERROR(INDEX('Bills &amp; Commitments'!$A$7:$A$80,MATCH(MIN('Bills &amp; Commitments'!$S$7:$S$80),'Bills &amp; Commitments'!$S$7:$S$80,0)),"")</f>
        <v>46275.0</v>
      </c>
      <c r="C104" s="366" t="n"/>
      <c r="D104" s="368" t="n"/>
    </row>
    <row r="105" ht="15" customHeight="1" s="278">
      <c r="A105" s="366" t="inlineStr">
        <is>
          <t>E46  ·  Largest upcoming payment — amount</t>
        </is>
      </c>
      <c r="B105" s="367">
        <f>IFERROR(INDEX('Bills &amp; Commitments'!$G$7:$G$80,MATCH(MAX('Bills &amp; Commitments'!$T$7:$T$80),'Bills &amp; Commitments'!$T$7:$T$80,0)),0)</f>
        <v>793.42</v>
      </c>
      <c r="C105" s="366" t="n"/>
      <c r="D105" s="368" t="inlineStr">
        <is>
          <t>Before the rent deadline</t>
        </is>
      </c>
    </row>
    <row r="106" ht="15" customHeight="1" s="278">
      <c r="A106" s="366" t="inlineStr">
        <is>
          <t>E47  ·  Largest upcoming payment — name</t>
        </is>
      </c>
      <c r="B106" s="363" t="str">
        <f>IFERROR(INDEX('Bills &amp; Commitments'!$B$7:$B$80,MATCH(MAX('Bills &amp; Commitments'!$T$7:$T$80),'Bills &amp; Commitments'!$T$7:$T$80,0)),"None")</f>
        <v>DEWA — September</v>
      </c>
      <c r="C106" s="366" t="n"/>
      <c r="D106" s="368" t="n"/>
    </row>
    <row r="107" ht="15" customHeight="1" s="278">
      <c r="A107" s="366" t="inlineStr">
        <is>
          <t>E48  ·  Largest upcoming payment — date</t>
        </is>
      </c>
      <c r="B107" s="365">
        <f>IFERROR(INDEX('Bills &amp; Commitments'!$A$7:$A$80,MATCH(MAX('Bills &amp; Commitments'!$T$7:$T$80),'Bills &amp; Commitments'!$T$7:$T$80,0)),"")</f>
        <v>46295.0</v>
      </c>
      <c r="C107" s="366" t="n"/>
      <c r="D107" s="368" t="n"/>
    </row>
    <row r="108" ht="15" customHeight="1" s="278">
      <c r="A108" s="366" t="inlineStr">
        <is>
          <t>E49  ·  Health score</t>
        </is>
      </c>
      <c r="B108" s="362">
        <f>ROUND(MAX(0,MIN(100,40*MIN(1,MAX(0,$B$74/MAX($B$15,0.01)))+25*MIN(1,$B$100)+15*MIN(1,MAX(0,$B$67/MAX($B$15,0.01)))+10*MIN(1,$B$99)+10*(1-MIN(1,$B$101/MAX($B$60,1))))),0)</f>
        <v>18.0</v>
      </c>
      <c r="C108" s="366" t="n"/>
      <c r="D108" s="368" t="inlineStr">
        <is>
          <t>0–100, formula driven</t>
        </is>
      </c>
    </row>
    <row r="109" ht="15" customHeight="1" s="278">
      <c r="A109" s="296" t="inlineStr">
        <is>
          <t>E50  ·  STATUS</t>
        </is>
      </c>
      <c r="B109" s="363" t="str">
        <f>IF($B$72&lt;0,"CRITICAL",IF($B$75&lt;$B$15,"TIGHT",IF($B$75&lt;$B$15*1.5,"CAUTION","SAFE")))</f>
        <v>CRITICAL</v>
      </c>
      <c r="C109" s="366" t="n"/>
      <c r="D109" s="368" t="inlineStr">
        <is>
          <t>Drives every colour on the dashboard</t>
        </is>
      </c>
    </row>
    <row r="110" ht="15" customHeight="1" s="278">
      <c r="A110" s="366" t="inlineStr">
        <is>
          <t>E51  ·  Amana value (AED)</t>
        </is>
      </c>
      <c r="B110" s="367">
        <f>Investments!$C$50</f>
        <v>3176.05145</v>
      </c>
      <c r="D110" s="368" t="inlineStr">
        <is>
          <t>Amana statement 10 Aug, converted at the fixed USD peg</t>
        </is>
      </c>
    </row>
    <row r="111" ht="15" customHeight="1" s="278">
      <c r="A111" s="366" t="inlineStr">
        <is>
          <t>E52  ·  Total accessible assets (AED, revised)</t>
        </is>
      </c>
      <c r="B111" s="367">
        <f>$B$115</f>
        <v>18910.5017681146</v>
      </c>
      <c r="D111" s="368" t="inlineStr">
        <is>
          <t>Superseded by E56 — kept for backward formula compatibility</t>
        </is>
      </c>
    </row>
    <row r="112" ht="15" customHeight="1" s="278">
      <c r="A112" s="366" t="inlineStr">
        <is>
          <t>E53  ·  Amana share of total investments</t>
        </is>
      </c>
      <c r="B112" s="364">
        <f>IF(($B$96+$B$110)=0,0,$B$110/($B$96+$B$110))</f>
        <v>0.2517971579</v>
      </c>
      <c r="D112" s="366" t="inlineStr">
        <is>
          <t>Amana vs mutual funds — the two investment sleeves, before Binance</t>
        </is>
      </c>
    </row>
    <row r="113" ht="15" customHeight="1" s="278">
      <c r="A113" s="366" t="inlineStr">
        <is>
          <t>E54  ·  Binance value (AED)</t>
        </is>
      </c>
      <c r="B113" s="367">
        <f>Investments!$D$92</f>
        <v>191.8</v>
      </c>
      <c r="D113" s="368" t="inlineStr">
        <is>
          <t>App 'Est. Total Value', 11 Aug 2026</t>
        </is>
      </c>
    </row>
    <row r="114" ht="15" customHeight="1" s="278">
      <c r="A114" s="366" t="inlineStr">
        <is>
          <t>E55  ·  Total investments (AED) — MF + Amana + Binance</t>
        </is>
      </c>
      <c r="B114" s="367">
        <f>$B$96+$B$110+$B$113</f>
        <v>12805.3317681146</v>
      </c>
    </row>
    <row r="115" ht="18.75" customHeight="1" s="278">
      <c r="A115" s="296" t="inlineStr">
        <is>
          <t>E56  ·  Total accessible assets (AED) — FINAL</t>
        </is>
      </c>
      <c r="B115" s="367">
        <f>$B$60+$B$114</f>
        <v>18910.5017681146</v>
      </c>
      <c r="D115" s="368" t="inlineStr">
        <is>
          <t>Total liquid cash (including the rent vault) + every investment sleeve. This is true net worth — reserved money still belongs to you.</t>
        </is>
      </c>
    </row>
    <row r="116" ht="15" customHeight="1" s="278">
      <c r="A116" s="366" t="inlineStr">
        <is>
          <t>E57  ·  Binance share of total investments</t>
        </is>
      </c>
      <c r="B116" s="364">
        <f>IF($B$114=0,0,$B$113/$B$114)</f>
        <v>0.0149781359</v>
      </c>
    </row>
    <row r="117" ht="27.75" customHeight="1" s="278">
      <c r="A117" s="366" t="inlineStr">
        <is>
          <t>E58  ·  Combined crypto exposure (Amana CFDs value-weighted + Binance spot)</t>
        </is>
      </c>
      <c r="B117" s="367">
        <f>$B$113</f>
        <v>191.8</v>
      </c>
      <c r="D117" s="368" t="inlineStr">
        <is>
          <t>Binance spot only. Amana's 12 crypto CFD positions are inside its AED 3,176.05 total and cannot be split out from that statement — treat this as a floor on total crypto exposure, not the whole picture.</t>
        </is>
      </c>
    </row>
    <row r="118">
      <c r="A118" s="366" t="inlineStr">
        <is>
          <t>E59  ·  Net worth (assets less debt)</t>
        </is>
      </c>
      <c r="B118" s="367">
        <f>$B$115-$B$32</f>
        <v>16223.1417681146</v>
      </c>
      <c r="D118" s="368" t="inlineStr">
        <is>
          <t>Total accessible assets less the Tabby exposure. E56 above is deliberately gross — this is the figure that nets what you owe.</t>
        </is>
      </c>
    </row>
    <row r="119" ht="19.5" customHeight="1" s="278">
      <c r="A119" s="382" t="inlineStr">
        <is>
          <t>REBALANCING THRESHOLDS  ·  your own risk rules — edit these, not the flags they drive</t>
        </is>
      </c>
      <c r="B119" s="287" t="n"/>
      <c r="C119" s="287" t="n"/>
      <c r="D119" s="287" t="n"/>
    </row>
    <row r="120" ht="27.75" customHeight="1" s="278">
      <c r="A120" s="383" t="inlineStr">
        <is>
          <t>Rule</t>
        </is>
      </c>
      <c r="B120" s="383" t="inlineStr">
        <is>
          <t>Value</t>
        </is>
      </c>
      <c r="C120" s="383" t="inlineStr">
        <is>
          <t>Unit</t>
        </is>
      </c>
      <c r="D120" s="383" t="inlineStr">
        <is>
          <t>What it does</t>
        </is>
      </c>
    </row>
    <row r="121" ht="15" customHeight="1" s="278">
      <c r="A121" s="366" t="inlineStr">
        <is>
          <t>Single fund-house concentration limit</t>
        </is>
      </c>
      <c r="B121" s="369" t="n">
        <v>0.6</v>
      </c>
      <c r="C121" s="368" t="inlineStr">
        <is>
          <t>Flags if one fund house exceeds this share of mutual funds</t>
        </is>
      </c>
      <c r="D121" s="318" t="n"/>
      <c r="E121" s="318" t="n"/>
      <c r="F121" s="319" t="n"/>
    </row>
    <row r="122" ht="15" customHeight="1" s="278">
      <c r="A122" s="366" t="inlineStr">
        <is>
          <t>Single crypto coin concentration limit</t>
        </is>
      </c>
      <c r="B122" s="369" t="n">
        <v>0.4</v>
      </c>
      <c r="C122" s="368" t="inlineStr">
        <is>
          <t>Flags if one Binance coin exceeds this share of the Binance balance</t>
        </is>
      </c>
      <c r="D122" s="318" t="n"/>
      <c r="E122" s="318" t="n"/>
      <c r="F122" s="319" t="n"/>
    </row>
    <row r="123" ht="15" customHeight="1" s="278">
      <c r="A123" s="366" t="inlineStr">
        <is>
          <t>Days before a price is 'stale'</t>
        </is>
      </c>
      <c r="B123" s="349" t="n">
        <v>7</v>
      </c>
      <c r="C123" s="368" t="inlineStr">
        <is>
          <t>Flags positions you haven't repriced recently</t>
        </is>
      </c>
      <c r="D123" s="318" t="n"/>
      <c r="E123" s="318" t="n"/>
      <c r="F123" s="319" t="n"/>
    </row>
    <row r="124" ht="15" customHeight="1" s="278">
      <c r="A124" s="366" t="inlineStr">
        <is>
          <t>Floating-loss review trigger (AED)</t>
        </is>
      </c>
      <c r="B124" s="392" t="n">
        <v>-100</v>
      </c>
      <c r="C124" s="368" t="inlineStr">
        <is>
          <t>Flags Amana's floating P&amp;L if it drops below this</t>
        </is>
      </c>
      <c r="D124" s="318" t="n"/>
      <c r="E124" s="318" t="n"/>
      <c r="F124" s="319" t="n"/>
    </row>
    <row r="126" ht="19.5" customHeight="1" s="278">
      <c r="A126" s="382" t="inlineStr">
        <is>
          <t>FUTURE PLANNING ASSUMPTIONS  ·  goals, renewal, quarterly rent pattern</t>
        </is>
      </c>
      <c r="B126" s="287" t="n"/>
      <c r="C126" s="287" t="n"/>
      <c r="D126" s="287" t="n"/>
    </row>
    <row r="127" ht="27.75" customHeight="1" s="278">
      <c r="A127" s="383" t="inlineStr">
        <is>
          <t>Assumption</t>
        </is>
      </c>
      <c r="B127" s="383" t="inlineStr">
        <is>
          <t>Value</t>
        </is>
      </c>
      <c r="C127" s="383" t="inlineStr">
        <is>
          <t>Unit</t>
        </is>
      </c>
      <c r="D127" s="383" t="inlineStr">
        <is>
          <t>Note</t>
        </is>
      </c>
    </row>
    <row r="128" ht="15" customHeight="1" s="278">
      <c r="A128" s="366" t="inlineStr">
        <is>
          <t>Quarterly rent cheque amount</t>
        </is>
      </c>
      <c r="B128" s="392" t="n">
        <v>11750</v>
      </c>
      <c r="C128" s="368" t="inlineStr">
        <is>
          <t>Assumed equal to the Oct cheque — confirm against the actual lease schedule</t>
        </is>
      </c>
      <c r="D128" s="318" t="n"/>
      <c r="E128" s="318" t="n"/>
      <c r="F128" s="319" t="n"/>
    </row>
    <row r="129" ht="15" customHeight="1" s="278">
      <c r="A129" s="366" t="inlineStr">
        <is>
          <t>Rent payment frequency</t>
        </is>
      </c>
      <c r="B129" s="391" t="inlineStr">
        <is>
          <t>4/year</t>
        </is>
      </c>
      <c r="C129" s="368" t="inlineStr">
        <is>
          <t>Confirmed by owner — quarterly cheques</t>
        </is>
      </c>
      <c r="D129" s="318" t="n"/>
      <c r="E129" s="318" t="n"/>
      <c r="F129" s="319" t="n"/>
    </row>
    <row r="130" ht="15" customHeight="1" s="278">
      <c r="A130" s="366" t="inlineStr">
        <is>
          <t>January renewal date</t>
        </is>
      </c>
      <c r="B130" s="386" t="n">
        <v>46409</v>
      </c>
      <c r="C130" s="368" t="inlineStr">
        <is>
          <t>Assumed same day-of-month as the Oct cheque — confirm exact date</t>
        </is>
      </c>
      <c r="D130" s="318" t="n"/>
      <c r="E130" s="318" t="n"/>
      <c r="F130" s="319" t="n"/>
    </row>
    <row r="131" ht="15" customHeight="1" s="278">
      <c r="A131" s="366" t="inlineStr">
        <is>
          <t>Renewal rent assumption</t>
        </is>
      </c>
      <c r="B131" s="391" t="inlineStr">
        <is>
          <t>Flat — no increase</t>
        </is>
      </c>
      <c r="C131" s="368" t="inlineStr">
        <is>
          <t>Working assumption per owner instruction, 11 Aug 2026</t>
        </is>
      </c>
      <c r="D131" s="318" t="n"/>
      <c r="E131" s="318" t="n"/>
      <c r="F131" s="319" t="n"/>
    </row>
    <row r="132" ht="15" customHeight="1" s="278">
      <c r="A132" s="366" t="inlineStr">
        <is>
          <t>Sensitivity: rent increase to model</t>
        </is>
      </c>
      <c r="B132" s="369" t="n">
        <v>0.07000000000000001</v>
      </c>
      <c r="C132" s="368" t="inlineStr">
        <is>
          <t>Used only for the what-if comparison, not the base plan</t>
        </is>
      </c>
      <c r="D132" s="318" t="n"/>
      <c r="E132" s="318" t="n"/>
      <c r="F132" s="319" t="n"/>
    </row>
    <row r="133" ht="15" customHeight="1" s="278">
      <c r="A133" s="366" t="inlineStr">
        <is>
          <t>UNTOLD Dubai — date</t>
        </is>
      </c>
      <c r="B133" s="386" t="n">
        <v>46331</v>
      </c>
      <c r="C133" s="368" t="inlineStr">
        <is>
          <t>5–8 Nov 2026, Dubai Parks and Resorts</t>
        </is>
      </c>
      <c r="D133" s="318" t="n"/>
      <c r="E133" s="318" t="n"/>
      <c r="F133" s="319" t="n"/>
    </row>
    <row r="134" ht="15" customHeight="1" s="278">
      <c r="A134" s="366" t="inlineStr">
        <is>
          <t>UNTOLD Dubai — tickets needed</t>
        </is>
      </c>
      <c r="B134" s="349" t="n">
        <v>1</v>
      </c>
      <c r="C134" s="368" t="inlineStr">
        <is>
          <t>Assumed both of you — change to 1 if solo</t>
        </is>
      </c>
      <c r="D134" s="318" t="n"/>
      <c r="E134" s="318" t="n"/>
      <c r="F134" s="319" t="n"/>
    </row>
    <row r="135" ht="15" customHeight="1" s="278">
      <c r="A135" s="366" t="inlineStr">
        <is>
          <t>UNTOLD Dubai — price per ticket</t>
        </is>
      </c>
      <c r="B135" s="392" t="n">
        <v>350</v>
      </c>
      <c r="C135" s="368" t="inlineStr">
        <is>
          <t>Early-bird 4-day GA pass — rises closer to the date</t>
        </is>
      </c>
      <c r="D135" s="318" t="n"/>
      <c r="E135" s="318" t="n"/>
      <c r="F135" s="319" t="n"/>
    </row>
    <row r="136" ht="15" customHeight="1" s="278">
      <c r="A136" s="366" t="inlineStr">
        <is>
          <t>Couple's trip — budget</t>
        </is>
      </c>
      <c r="B136" s="392" t="n">
        <v>4000</v>
      </c>
      <c r="C136" s="368" t="inlineStr">
        <is>
          <t>Midpoint of your AED 3,000–5,000 range — adjust freely</t>
        </is>
      </c>
      <c r="D136" s="318" t="n"/>
      <c r="E136" s="318" t="n"/>
      <c r="F136" s="319" t="n"/>
    </row>
    <row r="137" ht="15" customHeight="1" s="278">
      <c r="A137" s="366" t="inlineStr">
        <is>
          <t>Couple's trip — target month</t>
        </is>
      </c>
      <c r="B137" s="391" t="inlineStr">
        <is>
          <t>TBD</t>
        </is>
      </c>
      <c r="C137" s="368" t="inlineStr">
        <is>
          <t>No date chosen yet — set one below to activate the countdown</t>
        </is>
      </c>
      <c r="D137" s="318" t="n"/>
      <c r="E137" s="318" t="n"/>
      <c r="F137" s="319" t="n"/>
    </row>
    <row r="139" ht="19.5" customHeight="1" s="278">
      <c r="A139" s="382" t="inlineStr">
        <is>
          <t>FAMILY &amp; FUTURE SECURITY ASSUMPTIONS  ·  researched where possible, flagged where not</t>
        </is>
      </c>
      <c r="B139" s="287" t="n"/>
      <c r="C139" s="287" t="n"/>
      <c r="D139" s="287" t="n"/>
    </row>
    <row r="140" ht="27.75" customHeight="1" s="278">
      <c r="A140" s="383" t="inlineStr">
        <is>
          <t>Assumption</t>
        </is>
      </c>
      <c r="B140" s="383" t="inlineStr">
        <is>
          <t>Value</t>
        </is>
      </c>
      <c r="C140" s="383" t="inlineStr">
        <is>
          <t>Unit</t>
        </is>
      </c>
      <c r="D140" s="383" t="inlineStr">
        <is>
          <t>Note</t>
        </is>
      </c>
    </row>
    <row r="141" ht="15" customHeight="1" s="278">
      <c r="A141" s="366" t="inlineStr">
        <is>
          <t>Emergency fund target — months of expenses</t>
        </is>
      </c>
      <c r="B141" s="349" t="n">
        <v>6</v>
      </c>
      <c r="C141" s="304" t="n"/>
      <c r="D141" s="368" t="inlineStr">
        <is>
          <t>Standard guidance for a single-income household; you're currently on 1</t>
        </is>
      </c>
      <c r="E141" s="318" t="n"/>
      <c r="F141" s="318" t="n"/>
      <c r="G141" s="319" t="n"/>
    </row>
    <row r="142" ht="15" customHeight="1" s="278">
      <c r="A142" s="366" t="inlineStr">
        <is>
          <t>Average monthly essential spend (for the emergency calc)</t>
        </is>
      </c>
      <c r="B142" s="392" t="n">
        <v>3661</v>
      </c>
      <c r="C142" s="304" t="inlineStr">
        <is>
          <t>#,##0.00;(#,##0.00);"–"</t>
        </is>
      </c>
      <c r="D142" s="368" t="inlineStr">
        <is>
          <t>DEWA+du+Etisalat+groceries+household, rounded from your data — adjust as it firms up</t>
        </is>
      </c>
      <c r="E142" s="318" t="n"/>
      <c r="F142" s="318" t="n"/>
      <c r="G142" s="319" t="n"/>
    </row>
    <row r="143" ht="15" customHeight="1" s="278">
      <c r="A143" s="366" t="inlineStr">
        <is>
          <t>Maternity — government hospital, low end</t>
        </is>
      </c>
      <c r="B143" s="392" t="n">
        <v>6000</v>
      </c>
      <c r="C143" s="304" t="inlineStr">
        <is>
          <t>#,##0.00;(#,##0.00);"–"</t>
        </is>
      </c>
      <c r="D143" s="368" t="inlineStr">
        <is>
          <t>Cash-pay, normal delivery — Zavis/UAE Open Healthcare Directory, Apr 2026</t>
        </is>
      </c>
      <c r="E143" s="318" t="n"/>
      <c r="F143" s="318" t="n"/>
      <c r="G143" s="319" t="n"/>
    </row>
    <row r="144" ht="15" customHeight="1" s="278">
      <c r="A144" s="366" t="inlineStr">
        <is>
          <t>Maternity — government hospital, high end</t>
        </is>
      </c>
      <c r="B144" s="392" t="n">
        <v>15000</v>
      </c>
      <c r="C144" s="304" t="inlineStr">
        <is>
          <t>#,##0.00;(#,##0.00);"–"</t>
        </is>
      </c>
      <c r="D144" s="368" t="inlineStr">
        <is>
          <t>Cash-pay, normal delivery</t>
        </is>
      </c>
      <c r="E144" s="318" t="n"/>
      <c r="F144" s="318" t="n"/>
      <c r="G144" s="319" t="n"/>
    </row>
    <row r="145" ht="15" customHeight="1" s="278">
      <c r="A145" s="366" t="inlineStr">
        <is>
          <t>Maternity — private hospital, low end</t>
        </is>
      </c>
      <c r="B145" s="392" t="n">
        <v>12000</v>
      </c>
      <c r="C145" s="304" t="inlineStr">
        <is>
          <t>#,##0.00;(#,##0.00);"–"</t>
        </is>
      </c>
      <c r="D145" s="368" t="inlineStr">
        <is>
          <t>Package price, normal delivery</t>
        </is>
      </c>
      <c r="E145" s="318" t="n"/>
      <c r="F145" s="318" t="n"/>
      <c r="G145" s="319" t="n"/>
    </row>
    <row r="146" ht="15" customHeight="1" s="278">
      <c r="A146" s="366" t="inlineStr">
        <is>
          <t>Maternity — private hospital, high end</t>
        </is>
      </c>
      <c r="B146" s="392" t="n">
        <v>30000</v>
      </c>
      <c r="C146" s="304" t="inlineStr">
        <is>
          <t>#,##0.00;(#,##0.00);"–"</t>
        </is>
      </c>
      <c r="D146" s="368" t="inlineStr">
        <is>
          <t>Package price, normal delivery — C-section runs materially higher</t>
        </is>
      </c>
      <c r="E146" s="318" t="n"/>
      <c r="F146" s="318" t="n"/>
      <c r="G146" s="319" t="n"/>
    </row>
    <row r="147" ht="15" customHeight="1" s="278">
      <c r="A147" s="366" t="inlineStr">
        <is>
          <t>Maternity — working budget (this plan uses this)</t>
        </is>
      </c>
      <c r="B147" s="392" t="n">
        <v>18000</v>
      </c>
      <c r="C147" s="304" t="inlineStr">
        <is>
          <t>#,##0.00;(#,##0.00);"–"</t>
        </is>
      </c>
      <c r="D147" s="368" t="inlineStr">
        <is>
          <t>Mid-private-range planning figure — edit once you choose government vs private</t>
        </is>
      </c>
      <c r="E147" s="318" t="n"/>
      <c r="F147" s="318" t="n"/>
      <c r="G147" s="319" t="n"/>
    </row>
    <row r="148" ht="15" customHeight="1" s="278">
      <c r="A148" s="366" t="inlineStr">
        <is>
          <t>Insurance maternity waiting period</t>
        </is>
      </c>
      <c r="B148" s="371" t="n">
        <v>9</v>
      </c>
      <c r="C148" s="304" t="inlineStr">
        <is>
          <t>months</t>
        </is>
      </c>
      <c r="D148" s="368" t="inlineStr">
        <is>
          <t>Typical enhanced-plan waiting period before maternity is covered — Zavis/UAE Expert Hub, 2026</t>
        </is>
      </c>
      <c r="E148" s="318" t="n"/>
      <c r="F148" s="318" t="n"/>
      <c r="G148" s="319" t="n"/>
    </row>
    <row r="149" ht="15" customHeight="1" s="278">
      <c r="A149" s="366" t="inlineStr">
        <is>
          <t>Newborn first-year essentials (rough)</t>
        </is>
      </c>
      <c r="B149" s="392" t="n">
        <v>8000</v>
      </c>
      <c r="C149" s="304" t="inlineStr">
        <is>
          <t>#,##0.00;(#,##0.00);"–"</t>
        </is>
      </c>
      <c r="D149" s="368" t="inlineStr">
        <is>
          <t>Crib, car seat, clothing, paediatrician visits, formula/diapers if needed — wide range, treat as a floor not a ceiling</t>
        </is>
      </c>
      <c r="E149" s="318" t="n"/>
      <c r="F149" s="318" t="n"/>
      <c r="G149" s="319" t="n"/>
    </row>
    <row r="150" ht="15" customHeight="1" s="278">
      <c r="A150" s="366" t="inlineStr">
        <is>
          <t>UAE bank mortgage minimum salary (typical)</t>
        </is>
      </c>
      <c r="B150" s="392" t="n">
        <v>15000</v>
      </c>
      <c r="C150" s="304" t="inlineStr">
        <is>
          <t>#,##0.00;(#,##0.00);"–"</t>
        </is>
      </c>
      <c r="D150" s="368" t="inlineStr">
        <is>
          <t>Most lenders — MortgageCompare.ae, Astra Terra, 2026</t>
        </is>
      </c>
      <c r="E150" s="318" t="n"/>
      <c r="F150" s="318" t="n"/>
      <c r="G150" s="319" t="n"/>
    </row>
    <row r="151" ht="15" customHeight="1" s="278">
      <c r="A151" s="366" t="inlineStr">
        <is>
          <t>UAE bank mortgage minimum salary (lowest seen)</t>
        </is>
      </c>
      <c r="B151" s="392" t="n">
        <v>10000</v>
      </c>
      <c r="C151" s="304" t="inlineStr">
        <is>
          <t>#,##0.00;(#,##0.00);"–"</t>
        </is>
      </c>
      <c r="D151" s="368" t="inlineStr">
        <is>
          <t>Smaller loan amounts only</t>
        </is>
      </c>
      <c r="E151" s="318" t="n"/>
      <c r="F151" s="318" t="n"/>
      <c r="G151" s="319" t="n"/>
    </row>
    <row r="152" ht="15" customHeight="1" s="278">
      <c r="A152" s="366" t="inlineStr">
        <is>
          <t>Dubai expat down payment — first home under AED 5M</t>
        </is>
      </c>
      <c r="B152" s="391" t="inlineStr">
        <is>
          <t>20%</t>
        </is>
      </c>
      <c r="C152" s="304" t="n"/>
      <c r="D152" s="368" t="inlineStr">
        <is>
          <t>Central Bank LTV cap — CBUAE Mortgage Regulation</t>
        </is>
      </c>
      <c r="E152" s="318" t="n"/>
      <c r="F152" s="318" t="n"/>
      <c r="G152" s="319" t="n"/>
    </row>
    <row r="153" ht="15" customHeight="1" s="278">
      <c r="A153" s="366" t="inlineStr">
        <is>
          <t>Dubai total cash needed at closing (incl. fees)</t>
        </is>
      </c>
      <c r="B153" s="391" t="inlineStr">
        <is>
          <t>~27–28% of price</t>
        </is>
      </c>
      <c r="C153" s="304" t="n"/>
      <c r="D153" s="368" t="inlineStr">
        <is>
          <t>Deposit plus DLD fee, registration, broker, valuation — MortgageCompare.ae, 2026</t>
        </is>
      </c>
      <c r="E153" s="318" t="n"/>
      <c r="F153" s="318" t="n"/>
      <c r="G153" s="319" t="n"/>
    </row>
    <row r="154" ht="15" customHeight="1" s="278">
      <c r="A154" s="366" t="inlineStr">
        <is>
          <t>India property — location</t>
        </is>
      </c>
      <c r="B154" s="391" t="inlineStr">
        <is>
          <t>NOT SET</t>
        </is>
      </c>
      <c r="C154" s="304" t="n"/>
      <c r="D154" s="302" t="inlineStr">
        <is>
          <t>Prices vary enormously by city — tell me where, and I'll research real numbers rather than guess</t>
        </is>
      </c>
      <c r="E154" s="318" t="n"/>
      <c r="F154" s="318" t="n"/>
      <c r="G154" s="319" t="n"/>
    </row>
    <row r="156" ht="19.5" customHeight="1" s="278">
      <c r="A156" s="382" t="inlineStr">
        <is>
          <t>MATERNITY INSURANCE  ·  wife's coverage, confirmed 11 Aug 2026</t>
        </is>
      </c>
      <c r="B156" s="287" t="n"/>
      <c r="C156" s="287" t="n"/>
      <c r="D156" s="287" t="n"/>
    </row>
    <row r="157" ht="27.75" customHeight="1" s="278">
      <c r="A157" s="383" t="inlineStr">
        <is>
          <t>Assumption</t>
        </is>
      </c>
      <c r="B157" s="383" t="inlineStr">
        <is>
          <t>Value</t>
        </is>
      </c>
      <c r="C157" s="383" t="inlineStr">
        <is>
          <t>Unit</t>
        </is>
      </c>
      <c r="D157" s="383" t="inlineStr">
        <is>
          <t>Note</t>
        </is>
      </c>
    </row>
    <row r="158" ht="15" customHeight="1" s="278">
      <c r="A158" s="366" t="inlineStr">
        <is>
          <t>Wife's insurance tier</t>
        </is>
      </c>
      <c r="B158" s="391" t="inlineStr">
        <is>
          <t>Basic / Essential Benefits Plan</t>
        </is>
      </c>
      <c r="C158" s="304" t="n"/>
      <c r="D158" s="368" t="inlineStr">
        <is>
          <t>Company policy — confirmed by owner</t>
        </is>
      </c>
      <c r="E158" s="318" t="n"/>
      <c r="F158" s="318" t="n"/>
      <c r="G158" s="319" t="n"/>
    </row>
    <row r="159" ht="15" customHeight="1" s="278">
      <c r="A159" s="366" t="inlineStr">
        <is>
          <t>Coverage status</t>
        </is>
      </c>
      <c r="B159" s="391" t="inlineStr">
        <is>
          <t>Active — immediate</t>
        </is>
      </c>
      <c r="C159" s="304" t="n"/>
      <c r="D159" s="368" t="inlineStr">
        <is>
          <t>No waiting period issue per owner</t>
        </is>
      </c>
      <c r="E159" s="318" t="n"/>
      <c r="F159" s="318" t="n"/>
      <c r="G159" s="319" t="n"/>
    </row>
    <row r="160" ht="15" customHeight="1" s="278">
      <c r="A160" s="366" t="inlineStr">
        <is>
          <t>EBP sub-limit — normal delivery</t>
        </is>
      </c>
      <c r="B160" s="392" t="n">
        <v>7000</v>
      </c>
      <c r="C160" s="304" t="n"/>
      <c r="D160" s="368" t="inlineStr">
        <is>
          <t>Mandated minimum under Dubai's Essential Benefits Plan</t>
        </is>
      </c>
      <c r="E160" s="318" t="n"/>
      <c r="F160" s="318" t="n"/>
      <c r="G160" s="319" t="n"/>
    </row>
    <row r="161" ht="15" customHeight="1" s="278">
      <c r="A161" s="366" t="inlineStr">
        <is>
          <t>EBP sub-limit — C-section</t>
        </is>
      </c>
      <c r="B161" s="392" t="n">
        <v>10000</v>
      </c>
      <c r="C161" s="304" t="n"/>
      <c r="D161" s="368" t="inlineStr">
        <is>
          <t>Mandated minimum</t>
        </is>
      </c>
      <c r="E161" s="318" t="n"/>
      <c r="F161" s="318" t="n"/>
      <c r="G161" s="319" t="n"/>
    </row>
    <row r="162" ht="15" customHeight="1" s="278">
      <c r="A162" s="366" t="inlineStr">
        <is>
          <t>EBP co-payment</t>
        </is>
      </c>
      <c r="B162" s="369" t="n">
        <v>0.1</v>
      </c>
      <c r="C162" s="304" t="n"/>
      <c r="D162" s="368" t="inlineStr">
        <is>
          <t>Patient pays this share of the covered amount, up to the sub-limit</t>
        </is>
      </c>
      <c r="E162" s="318" t="n"/>
      <c r="F162" s="318" t="n"/>
      <c r="G162" s="319" t="n"/>
    </row>
    <row r="163" ht="15" customHeight="1" s="278">
      <c r="A163" s="366" t="inlineStr">
        <is>
          <t>Suggested contingency — confirm with HR</t>
        </is>
      </c>
      <c r="B163" s="349" t="n">
        <v>1</v>
      </c>
      <c r="C163" s="304" t="n"/>
      <c r="D163" s="368" t="inlineStr">
        <is>
          <t>Light check: confirm maternity isn't excluded under this specific plan, even though coverage is active</t>
        </is>
      </c>
      <c r="E163" s="318" t="n"/>
      <c r="F163" s="318" t="n"/>
      <c r="G163" s="319" t="n"/>
    </row>
    <row r="165" ht="19.5" customHeight="1" s="278">
      <c r="A165" s="382" t="inlineStr">
        <is>
          <t>WIFE'S INCOME CHANGE  ·  confirmed 14 Aug 2026 — real, but not yet fully known</t>
        </is>
      </c>
      <c r="B165" s="287" t="n"/>
      <c r="C165" s="287" t="n"/>
      <c r="D165" s="287" t="n"/>
    </row>
    <row r="166" ht="27.75" customHeight="1" s="278">
      <c r="A166" s="383" t="inlineStr">
        <is>
          <t>Assumption</t>
        </is>
      </c>
      <c r="B166" s="383" t="inlineStr">
        <is>
          <t>Value</t>
        </is>
      </c>
      <c r="C166" s="383" t="inlineStr">
        <is>
          <t>Unit</t>
        </is>
      </c>
      <c r="D166" s="383" t="inlineStr">
        <is>
          <t>Note</t>
        </is>
      </c>
    </row>
    <row r="167" ht="15" customHeight="1" s="278">
      <c r="A167" s="366" t="inlineStr">
        <is>
          <t>Her last working day</t>
        </is>
      </c>
      <c r="B167" s="386" t="n">
        <v>46280</v>
      </c>
      <c r="C167" s="304" t="n"/>
      <c r="D167" s="368" t="inlineStr">
        <is>
          <t>Confirmed</t>
        </is>
      </c>
      <c r="E167" s="318" t="n"/>
      <c r="F167" s="318" t="n"/>
      <c r="G167" s="319" t="n"/>
    </row>
    <row r="168" ht="15" customHeight="1" s="278">
      <c r="A168" s="366" t="inlineStr">
        <is>
          <t>Groceries she used to cover (estimate)</t>
        </is>
      </c>
      <c r="B168" s="392" t="n">
        <v>1500</v>
      </c>
      <c r="C168" s="304" t="inlineStr">
        <is>
          <t>#,##0.00;(#,##0.00);"–"</t>
        </is>
      </c>
      <c r="D168" s="302" t="inlineStr">
        <is>
          <t>Owner: "only doing groceries" — under AED 2,000/month. This transfers to Johnny from 15 Sept. Midpoint used; get the real figure when known.</t>
        </is>
      </c>
      <c r="E168" s="318" t="n"/>
      <c r="F168" s="318" t="n"/>
      <c r="G168" s="319" t="n"/>
    </row>
    <row r="169" ht="18.75" customHeight="1" s="278">
      <c r="A169" s="366" t="inlineStr">
        <is>
          <t>Rent contribution</t>
        </is>
      </c>
      <c r="B169" s="391" t="inlineStr">
        <is>
          <t>Already 100% Johnny this year</t>
        </is>
      </c>
      <c r="C169" s="304" t="n"/>
      <c r="D169" s="355" t="inlineStr">
        <is>
          <t>Confirmed by owner — she used to cover half historically, but this year onward rent is his alone. The AED 11,750/quarter already tracked reflects this — no change needed to the rent figures.</t>
        </is>
      </c>
      <c r="E169" s="318" t="n"/>
      <c r="F169" s="318" t="n"/>
      <c r="G169" s="319" t="n"/>
    </row>
    <row r="170" ht="15" customHeight="1" s="278">
      <c r="A170" s="366" t="inlineStr">
        <is>
          <t>Nature of the change</t>
        </is>
      </c>
      <c r="B170" s="391" t="inlineStr">
        <is>
          <t>Grocery bill transfers, not a personal allowance</t>
        </is>
      </c>
      <c r="C170" s="304" t="n"/>
      <c r="D170" s="368" t="inlineStr">
        <is>
          <t>Household spending category, recurring</t>
        </is>
      </c>
      <c r="E170" s="318" t="n"/>
      <c r="F170" s="318" t="n"/>
      <c r="G170" s="319" t="n"/>
    </row>
  </sheetData>
  <mergeCells count="38">
    <mergeCell ref="C132:F132"/>
    <mergeCell ref="D146:G146"/>
    <mergeCell ref="C122:F122"/>
    <mergeCell ref="C135:F135"/>
    <mergeCell ref="D152:G152"/>
    <mergeCell ref="D143:G143"/>
    <mergeCell ref="D161:G161"/>
    <mergeCell ref="D167:G167"/>
    <mergeCell ref="D142:G142"/>
    <mergeCell ref="D169:G169"/>
    <mergeCell ref="C131:F131"/>
    <mergeCell ref="C136:F136"/>
    <mergeCell ref="D148:G148"/>
    <mergeCell ref="D144:G144"/>
    <mergeCell ref="D153:G153"/>
    <mergeCell ref="D159:G159"/>
    <mergeCell ref="D149:G149"/>
    <mergeCell ref="C128:F128"/>
    <mergeCell ref="D158:G158"/>
    <mergeCell ref="C121:F121"/>
    <mergeCell ref="D151:G151"/>
    <mergeCell ref="C134:F134"/>
    <mergeCell ref="D170:G170"/>
    <mergeCell ref="D160:G160"/>
    <mergeCell ref="C137:F137"/>
    <mergeCell ref="D145:G145"/>
    <mergeCell ref="C133:F133"/>
    <mergeCell ref="D141:G141"/>
    <mergeCell ref="D163:G163"/>
    <mergeCell ref="C124:F124"/>
    <mergeCell ref="D154:G154"/>
    <mergeCell ref="D150:G150"/>
    <mergeCell ref="C129:F129"/>
    <mergeCell ref="D147:G147"/>
    <mergeCell ref="C130:F130"/>
    <mergeCell ref="D162:G162"/>
    <mergeCell ref="C123:F123"/>
    <mergeCell ref="D168:G168"/>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10213A"/>
    <outlinePr summaryBelow="1" summaryRight="1"/>
    <pageSetUpPr fitToPage="1"/>
  </sheetPr>
  <dimension ref="A1:J20"/>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77" min="1" max="1"/>
    <col width="16" customWidth="1" style="277" min="2" max="2"/>
    <col width="10" customWidth="1" style="277" min="3" max="3"/>
    <col width="15" customWidth="1" style="277" min="4" max="5"/>
    <col width="16" customWidth="1" style="277" min="6" max="6"/>
    <col width="13" customWidth="1" style="277" min="7" max="7"/>
    <col width="22" customWidth="1" style="277" min="8" max="8"/>
    <col width="14" customWidth="1" style="277" min="9" max="9"/>
    <col width="42" customWidth="1" style="277" min="10" max="10"/>
  </cols>
  <sheetData>
    <row r="1" ht="30" customHeight="1" s="278">
      <c r="A1" s="345" t="inlineStr">
        <is>
          <t>Accounts &amp; Cash Control</t>
        </is>
      </c>
    </row>
    <row r="2" ht="13.5" customHeight="1" s="278">
      <c r="A2" s="565" t="inlineStr">
        <is>
          <t>Money that exists · money already committed · money genuinely available. These three are never mixed.</t>
        </is>
      </c>
    </row>
    <row r="3" ht="6" customHeight="1" s="278"/>
    <row r="5" ht="19.5" customHeight="1" s="278">
      <c r="A5" s="382" t="inlineStr">
        <is>
          <t>ACCOUNT REGISTER</t>
        </is>
      </c>
      <c r="B5" s="287" t="n"/>
      <c r="C5" s="287" t="n"/>
      <c r="D5" s="287" t="n"/>
      <c r="E5" s="287" t="n"/>
      <c r="F5" s="287" t="n"/>
      <c r="G5" s="287" t="n"/>
      <c r="H5" s="287" t="n"/>
      <c r="I5" s="287" t="n"/>
      <c r="J5" s="287" t="n"/>
    </row>
    <row r="6" ht="27.75" customHeight="1" s="278">
      <c r="A6" s="383" t="inlineStr">
        <is>
          <t>Account</t>
        </is>
      </c>
      <c r="B6" s="383" t="inlineStr">
        <is>
          <t>Type</t>
        </is>
      </c>
      <c r="C6" s="383" t="inlineStr">
        <is>
          <t>Currency</t>
        </is>
      </c>
      <c r="D6" s="383" t="inlineStr">
        <is>
          <t>Current Balance</t>
        </is>
      </c>
      <c r="E6" s="383" t="inlineStr">
        <is>
          <t>Reserved / Committed</t>
        </is>
      </c>
      <c r="F6" s="383" t="inlineStr">
        <is>
          <t>Available to Spend</t>
        </is>
      </c>
      <c r="G6" s="383" t="inlineStr">
        <is>
          <t>Counts as AED liquid cash?</t>
        </is>
      </c>
      <c r="H6" s="383" t="inlineStr">
        <is>
          <t>Purpose</t>
        </is>
      </c>
      <c r="I6" s="383" t="inlineStr">
        <is>
          <t>Last Updated</t>
        </is>
      </c>
      <c r="J6" s="383" t="inlineStr">
        <is>
          <t>Notes</t>
        </is>
      </c>
    </row>
    <row r="7" ht="36.75" customHeight="1" s="278">
      <c r="A7" s="296" t="inlineStr">
        <is>
          <t>FAB 4001 Current</t>
        </is>
      </c>
      <c r="B7" s="301" t="inlineStr">
        <is>
          <t>Bank</t>
        </is>
      </c>
      <c r="C7" s="301" t="inlineStr">
        <is>
          <t>AED</t>
        </is>
      </c>
      <c r="D7" s="372" t="n">
        <v>14.95</v>
      </c>
      <c r="E7" s="392" t="n">
        <v>0</v>
      </c>
      <c r="F7" s="373">
        <f>D7-E7</f>
        <v>14.95</v>
      </c>
      <c r="G7" s="301" t="inlineStr">
        <is>
          <t>Yes</t>
        </is>
      </c>
      <c r="H7" s="391" t="inlineStr">
        <is>
          <t>Day-to-day spending</t>
        </is>
      </c>
      <c r="I7" s="374" t="n">
        <v>46260</v>
      </c>
      <c r="J7" s="375" t="inlineStr">
        <is>
          <t>Card XXXX1599. Emarat fuel (13.50), 18:20.</t>
        </is>
      </c>
    </row>
    <row r="8" ht="39.75" customHeight="1" s="278">
      <c r="A8" s="296" t="inlineStr">
        <is>
          <t>FAB 4002 Home Expenditure</t>
        </is>
      </c>
      <c r="B8" s="301" t="inlineStr">
        <is>
          <t>Bank</t>
        </is>
      </c>
      <c r="C8" s="301" t="inlineStr">
        <is>
          <t>AED</t>
        </is>
      </c>
      <c r="D8" s="372" t="n">
        <v>5940.7</v>
      </c>
      <c r="E8" s="372" t="n">
        <v>5940.7</v>
      </c>
      <c r="F8" s="373">
        <f>D8-E8</f>
        <v>0.0</v>
      </c>
      <c r="G8" s="301" t="inlineStr">
        <is>
          <t>Yes</t>
        </is>
      </c>
      <c r="H8" s="391" t="inlineStr">
        <is>
          <t>Rent vault</t>
        </is>
      </c>
      <c r="I8" s="374" t="n">
        <v>46259</v>
      </c>
      <c r="J8" s="375" t="inlineStr">
        <is>
          <t>Rent vault. AED 150 moved out for home expenditure, per owner. 50.6% funded.</t>
        </is>
      </c>
    </row>
    <row r="9" ht="15" customHeight="1" s="278">
      <c r="A9" s="296" t="inlineStr">
        <is>
          <t>FAB 4003 Emergency Fund</t>
        </is>
      </c>
      <c r="B9" s="301" t="inlineStr">
        <is>
          <t>Savings</t>
        </is>
      </c>
      <c r="C9" s="301" t="inlineStr">
        <is>
          <t>AED</t>
        </is>
      </c>
      <c r="D9" s="392" t="n">
        <v>7.67</v>
      </c>
      <c r="E9" s="385">
        <f>D9</f>
        <v>7.67</v>
      </c>
      <c r="F9" s="373">
        <f>D9-E9</f>
        <v>0.0</v>
      </c>
      <c r="G9" s="301" t="inlineStr">
        <is>
          <t>Yes</t>
        </is>
      </c>
      <c r="H9" s="391" t="inlineStr">
        <is>
          <t>Emergency fund</t>
        </is>
      </c>
      <c r="I9" s="386" t="n">
        <v>46245</v>
      </c>
      <c r="J9" s="368" t="inlineStr">
        <is>
          <t>Next milestone AED 1,000</t>
        </is>
      </c>
    </row>
    <row r="10" ht="18.75" customHeight="1" s="278">
      <c r="A10" s="296" t="inlineStr">
        <is>
          <t>NBD Current</t>
        </is>
      </c>
      <c r="B10" s="301" t="inlineStr">
        <is>
          <t>Bank</t>
        </is>
      </c>
      <c r="C10" s="301" t="inlineStr">
        <is>
          <t>AED</t>
        </is>
      </c>
      <c r="D10" s="372" t="n">
        <v>138.23</v>
      </c>
      <c r="E10" s="392" t="n">
        <v>0</v>
      </c>
      <c r="F10" s="373">
        <f>D10-E10</f>
        <v>138.23</v>
      </c>
      <c r="G10" s="301" t="inlineStr">
        <is>
          <t>Yes</t>
        </is>
      </c>
      <c r="H10" s="391" t="inlineStr">
        <is>
          <t>Secondary current</t>
        </is>
      </c>
      <c r="I10" s="374" t="n">
        <v>46260</v>
      </c>
      <c r="J10" s="375" t="inlineStr">
        <is>
          <t>Card 3695. Cielo Kabab, Emarat 6192, Netflix (actual 36.09, not the ~35.00 shown) all cleared today.</t>
        </is>
      </c>
    </row>
    <row r="11" ht="15" customHeight="1" s="278">
      <c r="A11" s="296" t="inlineStr">
        <is>
          <t>NBD Plus Saver</t>
        </is>
      </c>
      <c r="B11" s="301" t="inlineStr">
        <is>
          <t>Savings</t>
        </is>
      </c>
      <c r="C11" s="301" t="inlineStr">
        <is>
          <t>AED</t>
        </is>
      </c>
      <c r="D11" s="392" t="n">
        <v>2.73</v>
      </c>
      <c r="E11" s="392" t="n">
        <v>0</v>
      </c>
      <c r="F11" s="373">
        <f>D11-E11</f>
        <v>2.73</v>
      </c>
      <c r="G11" s="301" t="inlineStr">
        <is>
          <t>Yes</t>
        </is>
      </c>
      <c r="H11" s="391" t="inlineStr">
        <is>
          <t>Savings sub-account</t>
        </is>
      </c>
      <c r="I11" s="386" t="n">
        <v>46239</v>
      </c>
      <c r="J11" s="368" t="inlineStr">
        <is>
          <t>Includes AED 1.64 interest credit</t>
        </is>
      </c>
    </row>
    <row r="12" ht="15" customHeight="1" s="278">
      <c r="A12" s="296" t="inlineStr">
        <is>
          <t>Tabby Cash</t>
        </is>
      </c>
      <c r="B12" s="301" t="inlineStr">
        <is>
          <t>Wallet</t>
        </is>
      </c>
      <c r="C12" s="301" t="inlineStr">
        <is>
          <t>AED</t>
        </is>
      </c>
      <c r="D12" s="392" t="n">
        <v>0.89</v>
      </c>
      <c r="E12" s="392" t="n">
        <v>0</v>
      </c>
      <c r="F12" s="373">
        <f>D12-E12</f>
        <v>0.89</v>
      </c>
      <c r="G12" s="301" t="inlineStr">
        <is>
          <t>Yes</t>
        </is>
      </c>
      <c r="H12" s="391" t="inlineStr">
        <is>
          <t>Funded wallet</t>
        </is>
      </c>
      <c r="I12" s="386" t="n">
        <v>46238</v>
      </c>
      <c r="J12" s="368" t="inlineStr">
        <is>
          <t>Wallet money — NOT Tabby Card borrowing</t>
        </is>
      </c>
    </row>
    <row r="13" ht="15" customHeight="1" s="278">
      <c r="A13" s="296" t="inlineStr">
        <is>
          <t>Cash / Wio</t>
        </is>
      </c>
      <c r="B13" s="301" t="inlineStr">
        <is>
          <t>Cash</t>
        </is>
      </c>
      <c r="C13" s="301" t="inlineStr">
        <is>
          <t>AED</t>
        </is>
      </c>
      <c r="D13" s="392" t="n">
        <v>0</v>
      </c>
      <c r="E13" s="392" t="n">
        <v>0</v>
      </c>
      <c r="F13" s="373">
        <f>D13-E13</f>
        <v>0.0</v>
      </c>
      <c r="G13" s="301" t="inlineStr">
        <is>
          <t>Yes</t>
        </is>
      </c>
      <c r="H13" s="391" t="inlineStr">
        <is>
          <t>Physical cash</t>
        </is>
      </c>
      <c r="I13" s="386" t="n">
        <v>46245</v>
      </c>
      <c r="J13" s="368" t="inlineStr">
        <is>
          <t>No balance reported</t>
        </is>
      </c>
    </row>
    <row r="14" ht="15" customHeight="1" s="278">
      <c r="A14" s="296" t="inlineStr">
        <is>
          <t>ICICI (INR)</t>
        </is>
      </c>
      <c r="B14" s="301" t="inlineStr">
        <is>
          <t>Bank</t>
        </is>
      </c>
      <c r="C14" s="301" t="inlineStr">
        <is>
          <t>INR</t>
        </is>
      </c>
      <c r="D14" s="372" t="n">
        <v>12388.51</v>
      </c>
      <c r="E14" s="392" t="n">
        <v>0</v>
      </c>
      <c r="F14" s="373">
        <f>D14-E14</f>
        <v>12388.51</v>
      </c>
      <c r="G14" s="301" t="inlineStr">
        <is>
          <t>No</t>
        </is>
      </c>
      <c r="H14" s="391" t="inlineStr">
        <is>
          <t>SIP funding account</t>
        </is>
      </c>
      <c r="I14" s="374" t="n">
        <v>46260</v>
      </c>
      <c r="J14" s="375" t="inlineStr">
        <is>
          <t>CONFIRMED via ICICI app screenshot, personal India account. Fresh remittance (INR 12,000 from today's SIP transfer) just landed. Monthly SIP auto-debit will pull ~12,000 from here, returning balance to ~388.51 until next month's remittance. Personal, not part of AED household calculations.</t>
        </is>
      </c>
    </row>
    <row r="15" ht="15" customHeight="1" s="278">
      <c r="A15" s="376" t="inlineStr">
        <is>
          <t>TOTAL — AED liquid</t>
        </is>
      </c>
      <c r="B15" s="377" t="n"/>
      <c r="C15" s="377" t="n"/>
      <c r="D15" s="378">
        <f>SUMIFS(D7:D14,C7:C14,"AED",G7:G14,"Yes")</f>
        <v>6105.17</v>
      </c>
      <c r="E15" s="378">
        <f>SUMIFS(E7:E14,C7:C14,"AED",G7:G14,"Yes")</f>
        <v>5948.37</v>
      </c>
      <c r="F15" s="378">
        <f>D15-E15</f>
        <v>156.8</v>
      </c>
      <c r="G15" s="377" t="n"/>
      <c r="H15" s="379" t="str">
        <f>"Ties to AED "&amp;TEXT($D$15,"#,##0.00")&amp;" — recomputed, never typed"</f>
        <v>Ties to AED 6,105.17 — recomputed, never typed</v>
      </c>
      <c r="I15" s="377" t="n"/>
      <c r="J15" s="377" t="n"/>
    </row>
    <row r="16" ht="39.75" customHeight="1" s="278">
      <c r="H16" s="380" t="inlineStr">
        <is>
          <t>FAB 4002 is now flagged as the rent vault, so its full balance is treated as committed. If any part of it is really a utilities float, lower the Reserved figure and the dashboard re-rates instantly.</t>
        </is>
      </c>
      <c r="I16" s="318" t="n"/>
      <c r="J16" s="319" t="n"/>
    </row>
    <row r="17" ht="19.5" customHeight="1" s="278">
      <c r="A17" s="382" t="inlineStr">
        <is>
          <t>WHAT THE THREE COLUMNS MEAN</t>
        </is>
      </c>
      <c r="B17" s="287" t="n"/>
      <c r="C17" s="287" t="n"/>
      <c r="D17" s="287" t="n"/>
      <c r="E17" s="287" t="n"/>
      <c r="F17" s="287" t="n"/>
      <c r="G17" s="287" t="n"/>
      <c r="H17" s="287" t="n"/>
      <c r="I17" s="287" t="n"/>
      <c r="J17" s="287" t="n"/>
    </row>
    <row r="18" ht="15" customHeight="1" s="278">
      <c r="A18" s="296" t="inlineStr">
        <is>
          <t>Current Balance</t>
        </is>
      </c>
      <c r="B18" s="381" t="inlineStr">
        <is>
          <t>Money that exists in the account right now.</t>
        </is>
      </c>
      <c r="C18" s="318" t="n"/>
      <c r="D18" s="318" t="n"/>
      <c r="E18" s="318" t="n"/>
      <c r="F18" s="318" t="n"/>
      <c r="G18" s="318" t="n"/>
      <c r="H18" s="318" t="n"/>
      <c r="I18" s="318" t="n"/>
      <c r="J18" s="319" t="n"/>
    </row>
    <row r="19" ht="15" customHeight="1" s="278">
      <c r="A19" s="296" t="inlineStr">
        <is>
          <t>Reserved / Committed</t>
        </is>
      </c>
      <c r="B19" s="381" t="inlineStr">
        <is>
          <t>Money physically present but already spoken for — rent vault and emergency fund. Spending it breaks a commitment.</t>
        </is>
      </c>
      <c r="C19" s="318" t="n"/>
      <c r="D19" s="318" t="n"/>
      <c r="E19" s="318" t="n"/>
      <c r="F19" s="318" t="n"/>
      <c r="G19" s="318" t="n"/>
      <c r="H19" s="318" t="n"/>
      <c r="I19" s="318" t="n"/>
      <c r="J19" s="319" t="n"/>
    </row>
    <row r="20" ht="15" customHeight="1" s="278">
      <c r="A20" s="296" t="inlineStr">
        <is>
          <t>Available to Spend</t>
        </is>
      </c>
      <c r="B20" s="381" t="inlineStr">
        <is>
          <t>Balance minus reserved. This is the only number that may fund discretionary spending, and it is still reduced by upcoming bills on the dashboard.</t>
        </is>
      </c>
      <c r="C20" s="318" t="n"/>
      <c r="D20" s="318" t="n"/>
      <c r="E20" s="318" t="n"/>
      <c r="F20" s="318" t="n"/>
      <c r="G20" s="318" t="n"/>
      <c r="H20" s="318" t="n"/>
      <c r="I20" s="318" t="n"/>
      <c r="J20" s="319" t="n"/>
    </row>
  </sheetData>
  <mergeCells count="4">
    <mergeCell ref="H16:J16"/>
    <mergeCell ref="B18:J18"/>
    <mergeCell ref="B19:J19"/>
    <mergeCell ref="B20:J20"/>
  </mergeCells>
  <conditionalFormatting sqref="D7:D14">
    <cfRule type="dataBar" priority="2">
      <dataBar minLength="10" maxLength="90" showValue="1">
        <cfvo type="min" val="0"/>
        <cfvo type="max" val="0"/>
        <color rgb="FF4472C4"/>
      </dataBar>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10213A"/>
    <outlinePr summaryBelow="1" summaryRight="1"/>
    <pageSetUpPr fitToPage="1"/>
  </sheetPr>
  <dimension ref="A1:J100"/>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277" min="1" max="1"/>
    <col width="24" customWidth="1" style="277" min="2" max="2"/>
    <col width="13" customWidth="1" style="277" min="3" max="4"/>
    <col width="40" customWidth="1" style="277" min="5" max="5"/>
    <col width="30" customWidth="1" style="278" min="7" max="7"/>
    <col width="16" customWidth="1" style="278" min="8" max="8"/>
    <col width="14" customWidth="1" style="278" min="9" max="9"/>
    <col width="15" customWidth="1" style="278" min="10" max="10"/>
  </cols>
  <sheetData>
    <row r="1" ht="30" customHeight="1" s="278">
      <c r="A1" s="345" t="inlineStr">
        <is>
          <t>Account Balance History</t>
        </is>
      </c>
    </row>
    <row r="2" ht="13.5" customHeight="1" s="278">
      <c r="A2" s="565" t="inlineStr">
        <is>
          <t>Every balance you've ever recorded, per account, over time. Add a new row each time you check a balance — the trend chart and per-account summary update automatically.</t>
        </is>
      </c>
    </row>
    <row r="3" ht="6" customHeight="1" s="278"/>
    <row r="5" ht="19.5" customHeight="1" s="278">
      <c r="A5" s="382" t="inlineStr">
        <is>
          <t>BALANCE LOG  ·  add a row per account per check-in</t>
        </is>
      </c>
      <c r="B5" s="287" t="n"/>
      <c r="C5" s="287" t="n"/>
      <c r="D5" s="287" t="n"/>
      <c r="E5" s="287" t="n"/>
      <c r="G5" s="382" t="inlineStr">
        <is>
          <t>LATEST BALANCE PER ACCOUNT  ·  pulls the most recent dated entry for each</t>
        </is>
      </c>
    </row>
    <row r="6" ht="27.75" customHeight="1" s="278">
      <c r="A6" s="383" t="inlineStr">
        <is>
          <t>Date</t>
        </is>
      </c>
      <c r="B6" s="383" t="inlineStr">
        <is>
          <t>Account</t>
        </is>
      </c>
      <c r="C6" s="383" t="inlineStr">
        <is>
          <t>Balance</t>
        </is>
      </c>
      <c r="D6" s="383" t="inlineStr">
        <is>
          <t>Change vs last entry</t>
        </is>
      </c>
      <c r="E6" s="383" t="inlineStr">
        <is>
          <t>Note</t>
        </is>
      </c>
      <c r="G6" s="383" t="inlineStr">
        <is>
          <t>Account</t>
        </is>
      </c>
      <c r="H6" s="383" t="inlineStr">
        <is>
          <t>Latest balance</t>
        </is>
      </c>
      <c r="I6" s="383" t="inlineStr">
        <is>
          <t>As of</t>
        </is>
      </c>
      <c r="J6" s="383" t="inlineStr">
        <is>
          <t>Entries logged</t>
        </is>
      </c>
    </row>
    <row r="7" ht="15" customHeight="1" s="278">
      <c r="A7" s="386" t="n">
        <v>46229</v>
      </c>
      <c r="B7" s="391" t="inlineStr">
        <is>
          <t>FAB 4001 Current</t>
        </is>
      </c>
      <c r="C7" s="384" t="n"/>
      <c r="D7" s="385" t="str">
        <f>IF($C7="","",IFERROR($C7-LOOKUP(2,1/(($B$7:$B6=$B7)*($A$7:$A6&lt;$A7)),$C$7:$C6),""))</f>
        <v/>
      </c>
      <c r="E7" s="368" t="inlineStr">
        <is>
          <t>Approx. — DEWA July paid this date  ·  Balance not recorded for this date; left blank so the latest-balance lookup skips it rather than returning text.</t>
        </is>
      </c>
      <c r="G7" s="386" t="inlineStr">
        <is>
          <t>FAB 4001 Current</t>
        </is>
      </c>
      <c r="H7" s="387">
        <f>IFERROR(LOOKUP(2,1/(($B$7:$B$100=$G7)*($C$7:$C$100&lt;&gt;"")),$C$7:$C$100),"No data")</f>
        <v>14.95</v>
      </c>
      <c r="I7" s="388">
        <f>IFERROR(LOOKUP(2,1/(($B$7:$B$100=$G7)*($C$7:$C$100&lt;&gt;"")),$A$7:$A$100),"")</f>
        <v>46260.0</v>
      </c>
      <c r="J7" s="389">
        <f>COUNTIF($B$7:$B$100,$G7)</f>
        <v>4.0</v>
      </c>
    </row>
    <row r="8" ht="15" customHeight="1" s="278">
      <c r="A8" s="386" t="n">
        <v>46237</v>
      </c>
      <c r="B8" s="391" t="inlineStr">
        <is>
          <t>FAB 4001 Current</t>
        </is>
      </c>
      <c r="C8" s="384" t="n"/>
      <c r="D8" s="385" t="str">
        <f>IF($C8="","",IFERROR($C8-LOOKUP(2,1/(($B$7:$B7=$B8)*($A$7:$A7&lt;$A8)),$C$7:$C7),""))</f>
        <v/>
      </c>
      <c r="E8" s="368" t="inlineStr">
        <is>
          <t>du + Etisalat paid via DubaiPay  ·  Balance not recorded for this date; left blank so the latest-balance lookup skips it rather than returning text.</t>
        </is>
      </c>
      <c r="G8" s="386" t="inlineStr">
        <is>
          <t>FAB 4002 Home Expenditure</t>
        </is>
      </c>
      <c r="H8" s="387">
        <f>IFERROR(LOOKUP(2,1/(($B$7:$B$100=$G8)*($C$7:$C$100&lt;&gt;"")),$C$7:$C$100),"No data")</f>
        <v>5940.7</v>
      </c>
      <c r="I8" s="388">
        <f>IFERROR(LOOKUP(2,1/(($B$7:$B$100=$G8)*($C$7:$C$100&lt;&gt;"")),$A$7:$A$100),"")</f>
        <v>46259.0</v>
      </c>
      <c r="J8" s="389">
        <f>COUNTIF($B$7:$B$100,$G8)</f>
        <v>2.0</v>
      </c>
    </row>
    <row r="9" ht="15" customHeight="1" s="278">
      <c r="A9" s="386" t="n">
        <v>46238</v>
      </c>
      <c r="B9" s="391" t="inlineStr">
        <is>
          <t>NBD Plus Saver</t>
        </is>
      </c>
      <c r="C9" s="392" t="n">
        <v>2.73</v>
      </c>
      <c r="D9" s="385" t="str">
        <f>IF($C9="","",IFERROR($C9-LOOKUP(2,1/(($B$7:$B8=$B9)*($A$7:$A8&lt;$A9)),$C$7:$C8),""))</f>
        <v/>
      </c>
      <c r="E9" s="368" t="inlineStr">
        <is>
          <t>Includes AED 1.64 interest credit</t>
        </is>
      </c>
      <c r="G9" s="386" t="inlineStr">
        <is>
          <t>FAB 4003 Emergency Fund</t>
        </is>
      </c>
      <c r="H9" s="390">
        <f>IFERROR(LOOKUP(2,1/(($B$7:$B$100=$G9)*($C$7:$C$100&lt;&gt;"")),$C$7:$C$100),"No data")</f>
        <v>7.67</v>
      </c>
      <c r="I9" s="388">
        <f>IFERROR(LOOKUP(2,1/(($B$7:$B$100=$G9)*($C$7:$C$100&lt;&gt;"")),$A$7:$A$100),"")</f>
        <v>46245.0</v>
      </c>
      <c r="J9" s="389">
        <f>COUNTIF($B$7:$B$100,$G9)</f>
        <v>1.0</v>
      </c>
    </row>
    <row r="10" ht="15" customHeight="1" s="278">
      <c r="A10" s="386" t="n">
        <v>46238</v>
      </c>
      <c r="B10" s="391" t="inlineStr">
        <is>
          <t>Tabby Cash</t>
        </is>
      </c>
      <c r="C10" s="392" t="n">
        <v>0.89</v>
      </c>
      <c r="D10" s="385" t="str">
        <f>IF($C10="","",IFERROR($C10-LOOKUP(2,1/(($B$7:$B9=$B10)*($A$7:$A9&lt;$A10)),$C$7:$C9),""))</f>
        <v/>
      </c>
      <c r="E10" s="368" t="inlineStr">
        <is>
          <t>Funded wallet</t>
        </is>
      </c>
      <c r="G10" s="386" t="inlineStr">
        <is>
          <t>NBD Current</t>
        </is>
      </c>
      <c r="H10" s="390">
        <f>IFERROR(LOOKUP(2,1/(($B$7:$B$100=$G10)*($C$7:$C$100&lt;&gt;"")),$C$7:$C$100),"No data")</f>
        <v>138.23</v>
      </c>
      <c r="I10" s="388">
        <f>IFERROR(LOOKUP(2,1/(($B$7:$B$100=$G10)*($C$7:$C$100&lt;&gt;"")),$A$7:$A$100),"")</f>
        <v>46260.0</v>
      </c>
      <c r="J10" s="389">
        <f>COUNTIF($B$7:$B$100,$G10)</f>
        <v>4.0</v>
      </c>
    </row>
    <row r="11" ht="15" customHeight="1" s="278">
      <c r="A11" s="386" t="n">
        <v>46239</v>
      </c>
      <c r="B11" s="391" t="inlineStr">
        <is>
          <t>NBD Current</t>
        </is>
      </c>
      <c r="C11" s="392" t="n">
        <v>15.7</v>
      </c>
      <c r="D11" s="385" t="str">
        <f>IF($C11="","",IFERROR($C11-LOOKUP(2,1/(($B$7:$B10=$B11)*($A$7:$A10&lt;$A11)),$C$7:$C10),""))</f>
        <v/>
      </c>
      <c r="E11" s="368" t="inlineStr">
        <is>
          <t>Last point before the unidentified AED 13.50 spend</t>
        </is>
      </c>
      <c r="G11" s="386" t="inlineStr">
        <is>
          <t>NBD Plus Saver</t>
        </is>
      </c>
      <c r="H11" s="390">
        <f>IFERROR(LOOKUP(2,1/(($B$7:$B$100=$G11)*($C$7:$C$100&lt;&gt;"")),$C$7:$C$100),"No data")</f>
        <v>2.73</v>
      </c>
      <c r="I11" s="388">
        <f>IFERROR(LOOKUP(2,1/(($B$7:$B$100=$G11)*($C$7:$C$100&lt;&gt;"")),$A$7:$A$100),"")</f>
        <v>46238.0</v>
      </c>
      <c r="J11" s="389">
        <f>COUNTIF($B$7:$B$100,$G11)</f>
        <v>1.0</v>
      </c>
    </row>
    <row r="12" ht="15" customHeight="1" s="278">
      <c r="A12" s="386" t="n">
        <v>46240</v>
      </c>
      <c r="B12" s="391" t="inlineStr">
        <is>
          <t>NBD Current</t>
        </is>
      </c>
      <c r="C12" s="392" t="n">
        <v>2.2</v>
      </c>
      <c r="D12" s="385">
        <f>IF($C12="","",IFERROR($C12-LOOKUP(2,1/(($B$7:$B11=$B12)*($A$7:$A11&lt;$A12)),$C$7:$C11),""))</f>
        <v>-13.5</v>
      </c>
      <c r="E12" s="368" t="inlineStr">
        <is>
          <t>Last reported before the workbook was built</t>
        </is>
      </c>
      <c r="G12" s="386" t="inlineStr">
        <is>
          <t>Tabby Cash</t>
        </is>
      </c>
      <c r="H12" s="390">
        <f>IFERROR(LOOKUP(2,1/(($B$7:$B$100=$G12)*($C$7:$C$100&lt;&gt;"")),$C$7:$C$100),"No data")</f>
        <v>0.89</v>
      </c>
      <c r="I12" s="388">
        <f>IFERROR(LOOKUP(2,1/(($B$7:$B$100=$G12)*($C$7:$C$100&lt;&gt;"")),$A$7:$A$100),"")</f>
        <v>46238.0</v>
      </c>
      <c r="J12" s="389">
        <f>COUNTIF($B$7:$B$100,$G12)</f>
        <v>1.0</v>
      </c>
    </row>
    <row r="13" ht="15" customHeight="1" s="278">
      <c r="A13" s="386" t="n">
        <v>46244</v>
      </c>
      <c r="B13" s="391" t="inlineStr">
        <is>
          <t>ICICI (INR)</t>
        </is>
      </c>
      <c r="C13" s="392" t="n">
        <v>388.51</v>
      </c>
      <c r="D13" s="385" t="str">
        <f>IF($C13="","",IFERROR($C13-LOOKUP(2,1/(($B$7:$B12=$B13)*($A$7:$A12&lt;$A13)),$C$7:$C12),""))</f>
        <v/>
      </c>
      <c r="E13" s="368" t="inlineStr">
        <is>
          <t>After four Nippon SIPs completed</t>
        </is>
      </c>
      <c r="G13" s="386" t="inlineStr">
        <is>
          <t>Cash / Wio</t>
        </is>
      </c>
      <c r="H13" s="390">
        <f>IFERROR(LOOKUP(2,1/(($B$7:$B$100=$G13)*($C$7:$C$100&lt;&gt;"")),$C$7:$C$100),"No data")</f>
        <v>0.0</v>
      </c>
      <c r="I13" s="388">
        <f>IFERROR(LOOKUP(2,1/(($B$7:$B$100=$G13)*($C$7:$C$100&lt;&gt;"")),$A$7:$A$100),"")</f>
        <v>46245.0</v>
      </c>
      <c r="J13" s="389">
        <f>COUNTIF($B$7:$B$100,$G13)</f>
        <v>1.0</v>
      </c>
    </row>
    <row r="14" ht="15" customHeight="1" s="278">
      <c r="A14" s="386" t="n">
        <v>46245</v>
      </c>
      <c r="B14" s="391" t="inlineStr">
        <is>
          <t>FAB 4001 Current</t>
        </is>
      </c>
      <c r="C14" s="392" t="n">
        <v>245.09</v>
      </c>
      <c r="D14" s="385">
        <f>IF($C14="","",IFERROR($C14-LOOKUP(2,1/(($B$7:$B13=$B14)*($A$7:$A13&lt;$A14)),$C$7:$C13),""))</f>
        <v>245.09</v>
      </c>
      <c r="E14" s="368" t="inlineStr">
        <is>
          <t>Confirmed by the FAB app — card XXXX1599</t>
        </is>
      </c>
      <c r="G14" s="386" t="inlineStr">
        <is>
          <t>ICICI (INR)</t>
        </is>
      </c>
      <c r="H14" s="390">
        <f>IFERROR(LOOKUP(2,1/(($B$7:$B$100=$G14)*($C$7:$C$100&lt;&gt;"")),$C$7:$C$100),"No data")</f>
        <v>12388.51</v>
      </c>
      <c r="I14" s="388">
        <f>IFERROR(LOOKUP(2,1/(($B$7:$B$100=$G14)*($C$7:$C$100&lt;&gt;"")),$A$7:$A$100),"")</f>
        <v>46260.0</v>
      </c>
      <c r="J14" s="389">
        <f>COUNTIF($B$7:$B$100,$G14)</f>
        <v>2.0</v>
      </c>
    </row>
    <row r="15" ht="15" customHeight="1" s="278">
      <c r="A15" s="386" t="n">
        <v>46245</v>
      </c>
      <c r="B15" s="391" t="inlineStr">
        <is>
          <t>FAB 4002 Home Expenditure</t>
        </is>
      </c>
      <c r="C15" s="392" t="n">
        <v>4004.61</v>
      </c>
      <c r="D15" s="385" t="str">
        <f>IF($C15="","",IFERROR($C15-LOOKUP(2,1/(($B$7:$B14=$B15)*($A$7:$A14&lt;$A15)),$C$7:$C14),""))</f>
        <v/>
      </c>
      <c r="E15" s="368" t="inlineStr">
        <is>
          <t>Confirmed by the FAB app — designated rent vault</t>
        </is>
      </c>
    </row>
    <row r="16" ht="15" customHeight="1" s="278">
      <c r="A16" s="386" t="n">
        <v>46245</v>
      </c>
      <c r="B16" s="391" t="inlineStr">
        <is>
          <t>FAB 4003 Emergency Fund</t>
        </is>
      </c>
      <c r="C16" s="392" t="n">
        <v>7.67</v>
      </c>
      <c r="D16" s="385" t="str">
        <f>IF($C16="","",IFERROR($C16-LOOKUP(2,1/(($B$7:$B15=$B16)*($A$7:$A15&lt;$A16)),$C$7:$C15),""))</f>
        <v/>
      </c>
      <c r="E16" s="368" t="inlineStr">
        <is>
          <t>Confirmed by the FAB app</t>
        </is>
      </c>
    </row>
    <row r="17" ht="15" customHeight="1" s="278">
      <c r="A17" s="386" t="n">
        <v>46245</v>
      </c>
      <c r="B17" s="391" t="inlineStr">
        <is>
          <t>NBD Current</t>
        </is>
      </c>
      <c r="C17" s="392" t="n">
        <v>2.2</v>
      </c>
      <c r="D17" s="385">
        <f>IF($C17="","",IFERROR($C17-LOOKUP(2,1/(($B$7:$B16=$B17)*($A$7:$A16&lt;$A17)),$C$7:$C16),""))</f>
        <v>0.0</v>
      </c>
      <c r="E17" s="368" t="inlineStr">
        <is>
          <t>Confirmed</t>
        </is>
      </c>
    </row>
    <row r="18" ht="15" customHeight="1" s="278">
      <c r="A18" s="386" t="n">
        <v>46245</v>
      </c>
      <c r="B18" s="391" t="inlineStr">
        <is>
          <t>Cash / Wio</t>
        </is>
      </c>
      <c r="C18" s="392" t="n">
        <v>0</v>
      </c>
      <c r="D18" s="385" t="str">
        <f>IF($C18="","",IFERROR($C18-LOOKUP(2,1/(($B$7:$B17=$B18)*($A$7:$A17&lt;$A18)),$C$7:$C17),""))</f>
        <v/>
      </c>
      <c r="E18" s="368" t="inlineStr">
        <is>
          <t>No balance reported</t>
        </is>
      </c>
    </row>
    <row r="19" ht="15" customHeight="1" s="278">
      <c r="A19" s="386" t="n">
        <v>46259</v>
      </c>
      <c r="B19" s="391" t="inlineStr">
        <is>
          <t>FAB 4002 Home Expenditure</t>
        </is>
      </c>
      <c r="C19" s="392" t="n">
        <v>5940.7</v>
      </c>
      <c r="D19" s="385">
        <f>IF($C19="","",IFERROR($C19-LOOKUP(2,1/(($B$7:$B18=$B19)*($A$7:$A18&lt;$A19)),$C$7:$C18),""))</f>
        <v>1936.09</v>
      </c>
      <c r="E19" s="368" t="inlineStr">
        <is>
          <t>Confirmed on the Accounts sheet. AED 150 moved out for home expenditure.</t>
        </is>
      </c>
    </row>
    <row r="20" ht="19.5" customHeight="1" s="278">
      <c r="A20" s="386" t="n">
        <v>46260</v>
      </c>
      <c r="B20" s="391" t="inlineStr">
        <is>
          <t>FAB 4001 Current</t>
        </is>
      </c>
      <c r="C20" s="392" t="n">
        <v>14.95</v>
      </c>
      <c r="D20" s="385">
        <f>IF($C20="","",IFERROR($C20-LOOKUP(2,1/(($B$7:$B19=$B20)*($A$7:$A19&lt;$A20)),$C$7:$C19),""))</f>
        <v>-230.14</v>
      </c>
      <c r="E20" s="368" t="inlineStr">
        <is>
          <t>Confirmed on the Accounts sheet. Card XXXX1599, Emarat fuel 13.50 at 18:20.</t>
        </is>
      </c>
    </row>
    <row r="21" ht="27.75" customHeight="1" s="278">
      <c r="A21" s="386" t="n">
        <v>46260</v>
      </c>
      <c r="B21" s="391" t="inlineStr">
        <is>
          <t>NBD Current</t>
        </is>
      </c>
      <c r="C21" s="392" t="n">
        <v>138.23</v>
      </c>
      <c r="D21" s="385">
        <f>IF($C21="","",IFERROR($C21-LOOKUP(2,1/(($B$7:$B20=$B21)*($A$7:$A20&lt;$A21)),$C$7:$C20),""))</f>
        <v>136.03</v>
      </c>
      <c r="E21" s="368" t="inlineStr">
        <is>
          <t>Confirmed on the Accounts sheet. Cielo Kabab, Emarat 6192 and Netflix 36.09 cleared.</t>
        </is>
      </c>
    </row>
    <row r="22" ht="15" customHeight="1" s="278">
      <c r="A22" s="386" t="n">
        <v>46260</v>
      </c>
      <c r="B22" s="391" t="inlineStr">
        <is>
          <t>ICICI (INR)</t>
        </is>
      </c>
      <c r="C22" s="392" t="n">
        <v>12388.51</v>
      </c>
      <c r="D22" s="385">
        <f>IF($C22="","",IFERROR($C22-LOOKUP(2,1/(($B$7:$B21=$B22)*($A$7:$A21&lt;$A22)),$C$7:$C21),""))</f>
        <v>12000.0</v>
      </c>
      <c r="E22" s="368" t="inlineStr">
        <is>
          <t>Confirmed via the ICICI app. Fresh INR 12,000 remittance landed for the SIP.</t>
        </is>
      </c>
    </row>
    <row r="23" ht="15" customHeight="1" s="278">
      <c r="A23" s="393" t="n"/>
      <c r="B23" s="394" t="n"/>
      <c r="C23" s="395" t="n"/>
      <c r="D23" s="385" t="str">
        <f>IF($C23="","",IFERROR($C23-LOOKUP(2,1/(($B$7:$B22=$B23)*($A$7:$A22&lt;$A23)),$C$7:$C22),""))</f>
        <v/>
      </c>
      <c r="E23" s="396" t="n"/>
    </row>
    <row r="24" ht="15" customHeight="1" s="278">
      <c r="A24" s="397" t="inlineStr">
        <is>
          <t>The latest-balance summary now sits to the right, at column G — it had to move out of columns A–E because it was reading the very range it lives in. Rows below here are free for new log entries.</t>
        </is>
      </c>
      <c r="B24" s="321" t="n"/>
      <c r="C24" s="321" t="n"/>
      <c r="D24" s="321" t="n"/>
      <c r="E24" s="322" t="n"/>
    </row>
    <row r="25" ht="15" customHeight="1" s="278">
      <c r="A25" s="393" t="n"/>
      <c r="B25" s="394" t="n"/>
      <c r="C25" s="395" t="n"/>
      <c r="D25" s="385" t="str">
        <f>IF($C25="","",IFERROR($C25-LOOKUP(2,1/(($B$7:$B24=$B25)*($A$7:$A24&lt;$A25)),$C$7:$C24),""))</f>
        <v/>
      </c>
      <c r="E25" s="396" t="n"/>
    </row>
    <row r="26" ht="15" customHeight="1" s="278">
      <c r="A26" s="393" t="n"/>
      <c r="B26" s="394" t="n"/>
      <c r="C26" s="395" t="n"/>
      <c r="D26" s="385" t="str">
        <f>IF($C26="","",IFERROR($C26-LOOKUP(2,1/(($B$7:$B25=$B26)*($A$7:$A25&lt;$A26)),$C$7:$C25),""))</f>
        <v/>
      </c>
      <c r="E26" s="396" t="n"/>
    </row>
    <row r="27" ht="15" customHeight="1" s="278">
      <c r="A27" s="393" t="n"/>
      <c r="B27" s="394" t="n"/>
      <c r="C27" s="395" t="n"/>
      <c r="D27" s="385" t="str">
        <f>IF($C27="","",IFERROR($C27-LOOKUP(2,1/(($B$7:$B26=$B27)*($A$7:$A26&lt;$A27)),$C$7:$C26),""))</f>
        <v/>
      </c>
      <c r="E27" s="396" t="n"/>
    </row>
    <row r="28" ht="15" customHeight="1" s="278">
      <c r="A28" s="393" t="n"/>
      <c r="B28" s="394" t="n"/>
      <c r="C28" s="395" t="n"/>
      <c r="D28" s="385" t="str">
        <f>IF($C28="","",IFERROR($C28-LOOKUP(2,1/(($B$7:$B27=$B28)*($A$7:$A27&lt;$A28)),$C$7:$C27),""))</f>
        <v/>
      </c>
      <c r="E28" s="396" t="n"/>
    </row>
    <row r="29" ht="15" customHeight="1" s="278">
      <c r="A29" s="393" t="n"/>
      <c r="B29" s="394" t="n"/>
      <c r="C29" s="395" t="n"/>
      <c r="D29" s="385" t="str">
        <f>IF($C29="","",IFERROR($C29-LOOKUP(2,1/(($B$7:$B28=$B29)*($A$7:$A28&lt;$A29)),$C$7:$C28),""))</f>
        <v/>
      </c>
      <c r="E29" s="396" t="n"/>
    </row>
    <row r="30" ht="15" customHeight="1" s="278">
      <c r="A30" s="386" t="n"/>
      <c r="B30" s="391" t="n"/>
      <c r="C30" s="392" t="n"/>
      <c r="D30" s="385" t="str">
        <f>IF($C30="","",IFERROR($C30-LOOKUP(2,1/(($B$7:$B29=$B30)*($A$7:$A29&lt;$A30)),$C$7:$C29),""))</f>
        <v/>
      </c>
      <c r="E30" s="396" t="n"/>
    </row>
    <row r="31" ht="15" customHeight="1" s="278">
      <c r="A31" s="386" t="n"/>
      <c r="B31" s="391" t="n"/>
      <c r="C31" s="392" t="n"/>
      <c r="D31" s="385" t="str">
        <f>IF($C31="","",IFERROR($C31-LOOKUP(2,1/(($B$7:$B30=$B31)*($A$7:$A30&lt;$A31)),$C$7:$C30),""))</f>
        <v/>
      </c>
      <c r="E31" s="396" t="n"/>
    </row>
    <row r="32" ht="15" customHeight="1" s="278">
      <c r="A32" s="386" t="n"/>
      <c r="B32" s="391" t="n"/>
      <c r="C32" s="392" t="n"/>
      <c r="D32" s="385" t="str">
        <f>IF($C32="","",IFERROR($C32-LOOKUP(2,1/(($B$7:$B31=$B32)*($A$7:$A31&lt;$A32)),$C$7:$C31),""))</f>
        <v/>
      </c>
      <c r="E32" s="396" t="n"/>
    </row>
    <row r="33" ht="15" customHeight="1" s="278">
      <c r="A33" s="386" t="n"/>
      <c r="B33" s="391" t="n"/>
      <c r="C33" s="392" t="n"/>
      <c r="D33" s="385" t="str">
        <f>IF($C33="","",IFERROR($C33-LOOKUP(2,1/(($B$7:$B32=$B33)*($A$7:$A32&lt;$A33)),$C$7:$C32),""))</f>
        <v/>
      </c>
      <c r="E33" s="396" t="n"/>
    </row>
    <row r="34" ht="15" customHeight="1" s="278">
      <c r="A34" s="386" t="n"/>
      <c r="B34" s="391" t="n"/>
      <c r="C34" s="392" t="n"/>
      <c r="D34" s="385" t="str">
        <f>IF($C34="","",IFERROR($C34-LOOKUP(2,1/(($B$7:$B33=$B34)*($A$7:$A33&lt;$A34)),$C$7:$C33),""))</f>
        <v/>
      </c>
      <c r="E34" s="396" t="n"/>
    </row>
    <row r="35" ht="15" customHeight="1" s="278">
      <c r="A35" s="386" t="n"/>
      <c r="B35" s="391" t="n"/>
      <c r="C35" s="392" t="n"/>
      <c r="D35" s="385" t="str">
        <f>IF($C35="","",IFERROR($C35-LOOKUP(2,1/(($B$7:$B34=$B35)*($A$7:$A34&lt;$A35)),$C$7:$C34),""))</f>
        <v/>
      </c>
      <c r="E35" s="396" t="n"/>
    </row>
    <row r="36" ht="15" customHeight="1" s="278">
      <c r="A36" s="386" t="n"/>
      <c r="B36" s="391" t="n"/>
      <c r="C36" s="392" t="n"/>
      <c r="D36" s="385" t="str">
        <f>IF($C36="","",IFERROR($C36-LOOKUP(2,1/(($B$7:$B35=$B36)*($A$7:$A35&lt;$A36)),$C$7:$C35),""))</f>
        <v/>
      </c>
      <c r="E36" s="396" t="n"/>
    </row>
    <row r="37" ht="15" customHeight="1" s="278">
      <c r="A37" s="386" t="n"/>
      <c r="B37" s="391" t="n"/>
      <c r="C37" s="392" t="n"/>
      <c r="D37" s="385" t="str">
        <f>IF($C37="","",IFERROR($C37-LOOKUP(2,1/(($B$7:$B36=$B37)*($A$7:$A36&lt;$A37)),$C$7:$C36),""))</f>
        <v/>
      </c>
      <c r="E37" s="396" t="n"/>
    </row>
    <row r="38" ht="15" customHeight="1" s="278">
      <c r="A38" s="386" t="n"/>
      <c r="B38" s="391" t="n"/>
      <c r="C38" s="392" t="n"/>
      <c r="D38" s="385" t="str">
        <f>IF($C38="","",IFERROR($C38-LOOKUP(2,1/(($B$7:$B37=$B38)*($A$7:$A37&lt;$A38)),$C$7:$C37),""))</f>
        <v/>
      </c>
      <c r="E38" s="396" t="n"/>
    </row>
    <row r="39" ht="15" customHeight="1" s="278">
      <c r="A39" s="386" t="n"/>
      <c r="B39" s="391" t="n"/>
      <c r="C39" s="392" t="n"/>
      <c r="D39" s="385" t="str">
        <f>IF($C39="","",IFERROR($C39-LOOKUP(2,1/(($B$7:$B38=$B39)*($A$7:$A38&lt;$A39)),$C$7:$C38),""))</f>
        <v/>
      </c>
      <c r="E39" s="396" t="n"/>
    </row>
    <row r="40" ht="15" customHeight="1" s="278">
      <c r="A40" s="386" t="n"/>
      <c r="B40" s="391" t="n"/>
      <c r="C40" s="392" t="n"/>
      <c r="D40" s="385" t="str">
        <f>IF($C40="","",IFERROR($C40-LOOKUP(2,1/(($B$7:$B39=$B40)*($A$7:$A39&lt;$A40)),$C$7:$C39),""))</f>
        <v/>
      </c>
      <c r="E40" s="396" t="n"/>
    </row>
    <row r="41" ht="15" customHeight="1" s="278">
      <c r="A41" s="386" t="n"/>
      <c r="B41" s="391" t="n"/>
      <c r="C41" s="392" t="n"/>
      <c r="D41" s="385" t="str">
        <f>IF($C41="","",IFERROR($C41-LOOKUP(2,1/(($B$7:$B40=$B41)*($A$7:$A40&lt;$A41)),$C$7:$C40),""))</f>
        <v/>
      </c>
      <c r="E41" s="396" t="n"/>
    </row>
    <row r="42" ht="15" customHeight="1" s="278">
      <c r="A42" s="386" t="n"/>
      <c r="B42" s="391" t="n"/>
      <c r="C42" s="392" t="n"/>
      <c r="D42" s="385" t="str">
        <f>IF($C42="","",IFERROR($C42-LOOKUP(2,1/(($B$7:$B41=$B42)*($A$7:$A41&lt;$A42)),$C$7:$C41),""))</f>
        <v/>
      </c>
      <c r="E42" s="396" t="n"/>
    </row>
    <row r="43" ht="15" customHeight="1" s="278">
      <c r="A43" s="386" t="n"/>
      <c r="B43" s="391" t="n"/>
      <c r="C43" s="392" t="n"/>
      <c r="D43" s="385" t="str">
        <f>IF($C43="","",IFERROR($C43-LOOKUP(2,1/(($B$7:$B42=$B43)*($A$7:$A42&lt;$A43)),$C$7:$C42),""))</f>
        <v/>
      </c>
      <c r="E43" s="396" t="n"/>
    </row>
    <row r="44" ht="15" customHeight="1" s="278">
      <c r="A44" s="386" t="n"/>
      <c r="B44" s="391" t="n"/>
      <c r="C44" s="392" t="n"/>
      <c r="D44" s="385" t="str">
        <f>IF($C44="","",IFERROR($C44-LOOKUP(2,1/(($B$7:$B43=$B44)*($A$7:$A43&lt;$A44)),$C$7:$C43),""))</f>
        <v/>
      </c>
      <c r="E44" s="396" t="n"/>
    </row>
    <row r="45" ht="15" customHeight="1" s="278">
      <c r="A45" s="386" t="n"/>
      <c r="B45" s="391" t="n"/>
      <c r="C45" s="392" t="n"/>
      <c r="D45" s="385" t="str">
        <f>IF($C45="","",IFERROR($C45-LOOKUP(2,1/(($B$7:$B44=$B45)*($A$7:$A44&lt;$A45)),$C$7:$C44),""))</f>
        <v/>
      </c>
      <c r="E45" s="396" t="n"/>
    </row>
    <row r="46" ht="15" customHeight="1" s="278">
      <c r="A46" s="386" t="n"/>
      <c r="B46" s="391" t="n"/>
      <c r="C46" s="392" t="n"/>
      <c r="D46" s="385" t="str">
        <f>IF($C46="","",IFERROR($C46-LOOKUP(2,1/(($B$7:$B45=$B46)*($A$7:$A45&lt;$A46)),$C$7:$C45),""))</f>
        <v/>
      </c>
      <c r="E46" s="396" t="n"/>
    </row>
    <row r="47" ht="15" customHeight="1" s="278">
      <c r="A47" s="386" t="n"/>
      <c r="B47" s="391" t="n"/>
      <c r="C47" s="392" t="n"/>
      <c r="D47" s="385" t="str">
        <f>IF($C47="","",IFERROR($C47-LOOKUP(2,1/(($B$7:$B46=$B47)*($A$7:$A46&lt;$A47)),$C$7:$C46),""))</f>
        <v/>
      </c>
      <c r="E47" s="396" t="n"/>
    </row>
    <row r="48" ht="15" customHeight="1" s="278">
      <c r="A48" s="386" t="n"/>
      <c r="B48" s="391" t="n"/>
      <c r="C48" s="392" t="n"/>
      <c r="D48" s="385" t="str">
        <f>IF($C48="","",IFERROR($C48-LOOKUP(2,1/(($B$7:$B47=$B48)*($A$7:$A47&lt;$A48)),$C$7:$C47),""))</f>
        <v/>
      </c>
      <c r="E48" s="396" t="n"/>
    </row>
    <row r="49" ht="15" customHeight="1" s="278">
      <c r="A49" s="386" t="n"/>
      <c r="B49" s="391" t="n"/>
      <c r="C49" s="392" t="n"/>
      <c r="D49" s="385" t="str">
        <f>IF($C49="","",IFERROR($C49-LOOKUP(2,1/(($B$7:$B48=$B49)*($A$7:$A48&lt;$A49)),$C$7:$C48),""))</f>
        <v/>
      </c>
      <c r="E49" s="396" t="n"/>
    </row>
    <row r="50" ht="15" customHeight="1" s="278">
      <c r="A50" s="386" t="n"/>
      <c r="B50" s="391" t="n"/>
      <c r="C50" s="392" t="n"/>
      <c r="D50" s="385" t="str">
        <f>IF($C50="","",IFERROR($C50-LOOKUP(2,1/(($B$7:$B49=$B50)*($A$7:$A49&lt;$A50)),$C$7:$C49),""))</f>
        <v/>
      </c>
      <c r="E50" s="396" t="n"/>
    </row>
    <row r="51" ht="15" customHeight="1" s="278">
      <c r="A51" s="386" t="n"/>
      <c r="B51" s="391" t="n"/>
      <c r="C51" s="392" t="n"/>
      <c r="D51" s="385" t="str">
        <f>IF($C51="","",IFERROR($C51-LOOKUP(2,1/(($B$7:$B50=$B51)*($A$7:$A50&lt;$A51)),$C$7:$C50),""))</f>
        <v/>
      </c>
      <c r="E51" s="396" t="n"/>
    </row>
    <row r="52" ht="15" customHeight="1" s="278">
      <c r="A52" s="386" t="n"/>
      <c r="B52" s="391" t="n"/>
      <c r="C52" s="392" t="n"/>
      <c r="D52" s="385" t="str">
        <f>IF($C52="","",IFERROR($C52-LOOKUP(2,1/(($B$7:$B51=$B52)*($A$7:$A51&lt;$A52)),$C$7:$C51),""))</f>
        <v/>
      </c>
      <c r="E52" s="396" t="n"/>
    </row>
    <row r="53" ht="15" customHeight="1" s="278">
      <c r="A53" s="386" t="n"/>
      <c r="B53" s="391" t="n"/>
      <c r="C53" s="392" t="n"/>
      <c r="D53" s="385" t="str">
        <f>IF($C53="","",IFERROR($C53-LOOKUP(2,1/(($B$7:$B52=$B53)*($A$7:$A52&lt;$A53)),$C$7:$C52),""))</f>
        <v/>
      </c>
      <c r="E53" s="396" t="n"/>
    </row>
    <row r="54" ht="15" customHeight="1" s="278">
      <c r="A54" s="386" t="n"/>
      <c r="B54" s="391" t="n"/>
      <c r="C54" s="392" t="n"/>
      <c r="D54" s="385" t="str">
        <f>IF($C54="","",IFERROR($C54-LOOKUP(2,1/(($B$7:$B53=$B54)*($A$7:$A53&lt;$A54)),$C$7:$C53),""))</f>
        <v/>
      </c>
      <c r="E54" s="396" t="n"/>
    </row>
    <row r="55" ht="15" customHeight="1" s="278">
      <c r="A55" s="386" t="n"/>
      <c r="B55" s="391" t="n"/>
      <c r="C55" s="392" t="n"/>
      <c r="D55" s="385" t="str">
        <f>IF($C55="","",IFERROR($C55-LOOKUP(2,1/(($B$7:$B54=$B55)*($A$7:$A54&lt;$A55)),$C$7:$C54),""))</f>
        <v/>
      </c>
      <c r="E55" s="396" t="n"/>
    </row>
    <row r="56" ht="15" customHeight="1" s="278">
      <c r="A56" s="386" t="n"/>
      <c r="B56" s="391" t="n"/>
      <c r="C56" s="392" t="n"/>
      <c r="D56" s="385" t="str">
        <f>IF($C56="","",IFERROR($C56-LOOKUP(2,1/(($B$7:$B55=$B56)*($A$7:$A55&lt;$A56)),$C$7:$C55),""))</f>
        <v/>
      </c>
      <c r="E56" s="396" t="n"/>
    </row>
    <row r="57" ht="15" customHeight="1" s="278">
      <c r="A57" s="386" t="n"/>
      <c r="B57" s="391" t="n"/>
      <c r="C57" s="392" t="n"/>
      <c r="D57" s="385" t="str">
        <f>IF($C57="","",IFERROR($C57-LOOKUP(2,1/(($B$7:$B56=$B57)*($A$7:$A56&lt;$A57)),$C$7:$C56),""))</f>
        <v/>
      </c>
      <c r="E57" s="396" t="n"/>
    </row>
    <row r="58" ht="15" customHeight="1" s="278">
      <c r="A58" s="386" t="n"/>
      <c r="B58" s="391" t="n"/>
      <c r="C58" s="392" t="n"/>
      <c r="D58" s="385" t="str">
        <f>IF($C58="","",IFERROR($C58-LOOKUP(2,1/(($B$7:$B57=$B58)*($A$7:$A57&lt;$A58)),$C$7:$C57),""))</f>
        <v/>
      </c>
      <c r="E58" s="396" t="n"/>
    </row>
    <row r="59" ht="15" customHeight="1" s="278">
      <c r="A59" s="386" t="n"/>
      <c r="B59" s="391" t="n"/>
      <c r="C59" s="392" t="n"/>
      <c r="D59" s="385" t="str">
        <f>IF($C59="","",IFERROR($C59-LOOKUP(2,1/(($B$7:$B58=$B59)*($A$7:$A58&lt;$A59)),$C$7:$C58),""))</f>
        <v/>
      </c>
      <c r="E59" s="396" t="n"/>
    </row>
    <row r="60" ht="15" customHeight="1" s="278">
      <c r="A60" s="386" t="n"/>
      <c r="B60" s="391" t="n"/>
      <c r="C60" s="392" t="n"/>
      <c r="D60" s="385" t="str">
        <f>IF($C60="","",IFERROR($C60-LOOKUP(2,1/(($B$7:$B59=$B60)*($A$7:$A59&lt;$A60)),$C$7:$C59),""))</f>
        <v/>
      </c>
      <c r="E60" s="396" t="n"/>
    </row>
    <row r="61" ht="15" customHeight="1" s="278">
      <c r="A61" s="386" t="n"/>
      <c r="B61" s="391" t="n"/>
      <c r="C61" s="392" t="n"/>
      <c r="D61" s="385" t="str">
        <f>IF($C61="","",IFERROR($C61-LOOKUP(2,1/(($B$7:$B60=$B61)*($A$7:$A60&lt;$A61)),$C$7:$C60),""))</f>
        <v/>
      </c>
      <c r="E61" s="396" t="n"/>
    </row>
    <row r="62" ht="15" customHeight="1" s="278">
      <c r="A62" s="386" t="n"/>
      <c r="B62" s="391" t="n"/>
      <c r="C62" s="392" t="n"/>
      <c r="D62" s="385" t="str">
        <f>IF($C62="","",IFERROR($C62-LOOKUP(2,1/(($B$7:$B61=$B62)*($A$7:$A61&lt;$A62)),$C$7:$C61),""))</f>
        <v/>
      </c>
      <c r="E62" s="396" t="n"/>
    </row>
    <row r="63" ht="15" customHeight="1" s="278">
      <c r="A63" s="386" t="n"/>
      <c r="B63" s="391" t="n"/>
      <c r="C63" s="392" t="n"/>
      <c r="D63" s="385" t="str">
        <f>IF($C63="","",IFERROR($C63-LOOKUP(2,1/(($B$7:$B62=$B63)*($A$7:$A62&lt;$A63)),$C$7:$C62),""))</f>
        <v/>
      </c>
      <c r="E63" s="396" t="n"/>
    </row>
    <row r="64" ht="15" customHeight="1" s="278">
      <c r="A64" s="386" t="n"/>
      <c r="B64" s="391" t="n"/>
      <c r="C64" s="392" t="n"/>
      <c r="D64" s="385" t="str">
        <f>IF($C64="","",IFERROR($C64-LOOKUP(2,1/(($B$7:$B63=$B64)*($A$7:$A63&lt;$A64)),$C$7:$C63),""))</f>
        <v/>
      </c>
      <c r="E64" s="396" t="n"/>
    </row>
    <row r="65" ht="15" customHeight="1" s="278">
      <c r="A65" s="386" t="n"/>
      <c r="B65" s="391" t="n"/>
      <c r="C65" s="392" t="n"/>
      <c r="D65" s="385" t="str">
        <f>IF($C65="","",IFERROR($C65-LOOKUP(2,1/(($B$7:$B64=$B65)*($A$7:$A64&lt;$A65)),$C$7:$C64),""))</f>
        <v/>
      </c>
      <c r="E65" s="396" t="n"/>
    </row>
    <row r="66" ht="15" customHeight="1" s="278">
      <c r="A66" s="386" t="n"/>
      <c r="B66" s="391" t="n"/>
      <c r="C66" s="392" t="n"/>
      <c r="D66" s="385" t="str">
        <f>IF($C66="","",IFERROR($C66-LOOKUP(2,1/(($B$7:$B65=$B66)*($A$7:$A65&lt;$A66)),$C$7:$C65),""))</f>
        <v/>
      </c>
      <c r="E66" s="396" t="n"/>
    </row>
    <row r="67" ht="15" customHeight="1" s="278">
      <c r="A67" s="386" t="n"/>
      <c r="B67" s="391" t="n"/>
      <c r="C67" s="392" t="n"/>
      <c r="D67" s="385" t="str">
        <f>IF($C67="","",IFERROR($C67-LOOKUP(2,1/(($B$7:$B66=$B67)*($A$7:$A66&lt;$A67)),$C$7:$C66),""))</f>
        <v/>
      </c>
      <c r="E67" s="396" t="n"/>
    </row>
    <row r="68" ht="15" customHeight="1" s="278">
      <c r="A68" s="386" t="n"/>
      <c r="B68" s="391" t="n"/>
      <c r="C68" s="392" t="n"/>
      <c r="D68" s="385" t="str">
        <f>IF($C68="","",IFERROR($C68-LOOKUP(2,1/(($B$7:$B67=$B68)*($A$7:$A67&lt;$A68)),$C$7:$C67),""))</f>
        <v/>
      </c>
      <c r="E68" s="396" t="n"/>
    </row>
    <row r="69" ht="15" customHeight="1" s="278">
      <c r="A69" s="386" t="n"/>
      <c r="B69" s="391" t="n"/>
      <c r="C69" s="392" t="n"/>
      <c r="D69" s="385" t="str">
        <f>IF($C69="","",IFERROR($C69-LOOKUP(2,1/(($B$7:$B68=$B69)*($A$7:$A68&lt;$A69)),$C$7:$C68),""))</f>
        <v/>
      </c>
      <c r="E69" s="396" t="n"/>
    </row>
    <row r="70" ht="15" customHeight="1" s="278">
      <c r="A70" s="386" t="n"/>
      <c r="B70" s="391" t="n"/>
      <c r="C70" s="392" t="n"/>
      <c r="D70" s="385" t="str">
        <f>IF($C70="","",IFERROR($C70-LOOKUP(2,1/(($B$7:$B69=$B70)*($A$7:$A69&lt;$A70)),$C$7:$C69),""))</f>
        <v/>
      </c>
      <c r="E70" s="396" t="n"/>
    </row>
    <row r="71" ht="15" customHeight="1" s="278">
      <c r="A71" s="386" t="n"/>
      <c r="B71" s="391" t="n"/>
      <c r="C71" s="392" t="n"/>
      <c r="D71" s="385" t="str">
        <f>IF($C71="","",IFERROR($C71-LOOKUP(2,1/(($B$7:$B70=$B71)*($A$7:$A70&lt;$A71)),$C$7:$C70),""))</f>
        <v/>
      </c>
      <c r="E71" s="396" t="n"/>
    </row>
    <row r="72" ht="15" customHeight="1" s="278">
      <c r="A72" s="386" t="n"/>
      <c r="B72" s="391" t="n"/>
      <c r="C72" s="392" t="n"/>
      <c r="D72" s="385" t="str">
        <f>IF($C72="","",IFERROR($C72-LOOKUP(2,1/(($B$7:$B71=$B72)*($A$7:$A71&lt;$A72)),$C$7:$C71),""))</f>
        <v/>
      </c>
      <c r="E72" s="396" t="n"/>
    </row>
    <row r="73" ht="15" customHeight="1" s="278">
      <c r="A73" s="386" t="n"/>
      <c r="B73" s="391" t="n"/>
      <c r="C73" s="392" t="n"/>
      <c r="D73" s="385" t="str">
        <f>IF($C73="","",IFERROR($C73-LOOKUP(2,1/(($B$7:$B72=$B73)*($A$7:$A72&lt;$A73)),$C$7:$C72),""))</f>
        <v/>
      </c>
      <c r="E73" s="396" t="n"/>
    </row>
    <row r="74" ht="15" customHeight="1" s="278">
      <c r="A74" s="386" t="n"/>
      <c r="B74" s="391" t="n"/>
      <c r="C74" s="392" t="n"/>
      <c r="D74" s="385" t="str">
        <f>IF($C74="","",IFERROR($C74-LOOKUP(2,1/(($B$7:$B73=$B74)*($A$7:$A73&lt;$A74)),$C$7:$C73),""))</f>
        <v/>
      </c>
      <c r="E74" s="396" t="n"/>
    </row>
    <row r="75" ht="15" customHeight="1" s="278">
      <c r="A75" s="386" t="n"/>
      <c r="B75" s="391" t="n"/>
      <c r="C75" s="392" t="n"/>
      <c r="D75" s="385" t="str">
        <f>IF($C75="","",IFERROR($C75-LOOKUP(2,1/(($B$7:$B74=$B75)*($A$7:$A74&lt;$A75)),$C$7:$C74),""))</f>
        <v/>
      </c>
      <c r="E75" s="396" t="n"/>
    </row>
    <row r="76" ht="15" customHeight="1" s="278">
      <c r="A76" s="386" t="n"/>
      <c r="B76" s="391" t="n"/>
      <c r="C76" s="392" t="n"/>
      <c r="D76" s="385" t="str">
        <f>IF($C76="","",IFERROR($C76-LOOKUP(2,1/(($B$7:$B75=$B76)*($A$7:$A75&lt;$A76)),$C$7:$C75),""))</f>
        <v/>
      </c>
      <c r="E76" s="396" t="n"/>
    </row>
    <row r="77" ht="15" customHeight="1" s="278">
      <c r="A77" s="386" t="n"/>
      <c r="B77" s="391" t="n"/>
      <c r="C77" s="392" t="n"/>
      <c r="D77" s="385" t="str">
        <f>IF($C77="","",IFERROR($C77-LOOKUP(2,1/(($B$7:$B76=$B77)*($A$7:$A76&lt;$A77)),$C$7:$C76),""))</f>
        <v/>
      </c>
      <c r="E77" s="396" t="n"/>
    </row>
    <row r="78" ht="15" customHeight="1" s="278">
      <c r="A78" s="386" t="n"/>
      <c r="B78" s="391" t="n"/>
      <c r="C78" s="392" t="n"/>
      <c r="D78" s="385" t="str">
        <f>IF($C78="","",IFERROR($C78-LOOKUP(2,1/(($B$7:$B77=$B78)*($A$7:$A77&lt;$A78)),$C$7:$C77),""))</f>
        <v/>
      </c>
      <c r="E78" s="396" t="n"/>
    </row>
    <row r="79" ht="15" customHeight="1" s="278">
      <c r="A79" s="386" t="n"/>
      <c r="B79" s="391" t="n"/>
      <c r="C79" s="392" t="n"/>
      <c r="D79" s="385" t="str">
        <f>IF($C79="","",IFERROR($C79-LOOKUP(2,1/(($B$7:$B78=$B79)*($A$7:$A78&lt;$A79)),$C$7:$C78),""))</f>
        <v/>
      </c>
      <c r="E79" s="396" t="n"/>
    </row>
    <row r="80" ht="15" customHeight="1" s="278">
      <c r="A80" s="386" t="n"/>
      <c r="B80" s="391" t="n"/>
      <c r="C80" s="392" t="n"/>
      <c r="D80" s="385" t="str">
        <f>IF($C80="","",IFERROR($C80-LOOKUP(2,1/(($B$7:$B79=$B80)*($A$7:$A79&lt;$A80)),$C$7:$C79),""))</f>
        <v/>
      </c>
      <c r="E80" s="396" t="n"/>
    </row>
    <row r="81" ht="15" customHeight="1" s="278">
      <c r="A81" s="386" t="n"/>
      <c r="B81" s="391" t="n"/>
      <c r="C81" s="392" t="n"/>
      <c r="D81" s="385" t="str">
        <f>IF($C81="","",IFERROR($C81-LOOKUP(2,1/(($B$7:$B80=$B81)*($A$7:$A80&lt;$A81)),$C$7:$C80),""))</f>
        <v/>
      </c>
      <c r="E81" s="396" t="n"/>
    </row>
    <row r="82" ht="15" customHeight="1" s="278">
      <c r="A82" s="386" t="n"/>
      <c r="B82" s="391" t="n"/>
      <c r="C82" s="392" t="n"/>
      <c r="D82" s="385" t="str">
        <f>IF($C82="","",IFERROR($C82-LOOKUP(2,1/(($B$7:$B81=$B82)*($A$7:$A81&lt;$A82)),$C$7:$C81),""))</f>
        <v/>
      </c>
      <c r="E82" s="396" t="n"/>
    </row>
    <row r="83" ht="15" customHeight="1" s="278">
      <c r="A83" s="386" t="n"/>
      <c r="B83" s="391" t="n"/>
      <c r="C83" s="392" t="n"/>
      <c r="D83" s="385" t="str">
        <f>IF($C83="","",IFERROR($C83-LOOKUP(2,1/(($B$7:$B82=$B83)*($A$7:$A82&lt;$A83)),$C$7:$C82),""))</f>
        <v/>
      </c>
      <c r="E83" s="396" t="n"/>
    </row>
    <row r="84" ht="15" customHeight="1" s="278">
      <c r="A84" s="386" t="n"/>
      <c r="B84" s="391" t="n"/>
      <c r="C84" s="392" t="n"/>
      <c r="D84" s="385" t="str">
        <f>IF($C84="","",IFERROR($C84-LOOKUP(2,1/(($B$7:$B83=$B84)*($A$7:$A83&lt;$A84)),$C$7:$C83),""))</f>
        <v/>
      </c>
      <c r="E84" s="396" t="n"/>
    </row>
    <row r="85" ht="15" customHeight="1" s="278">
      <c r="A85" s="386" t="n"/>
      <c r="B85" s="391" t="n"/>
      <c r="C85" s="392" t="n"/>
      <c r="D85" s="385" t="str">
        <f>IF($C85="","",IFERROR($C85-LOOKUP(2,1/(($B$7:$B84=$B85)*($A$7:$A84&lt;$A85)),$C$7:$C84),""))</f>
        <v/>
      </c>
      <c r="E85" s="396" t="n"/>
    </row>
    <row r="86" ht="15" customHeight="1" s="278">
      <c r="A86" s="386" t="n"/>
      <c r="B86" s="391" t="n"/>
      <c r="C86" s="392" t="n"/>
      <c r="D86" s="385" t="str">
        <f>IF($C86="","",IFERROR($C86-LOOKUP(2,1/(($B$7:$B85=$B86)*($A$7:$A85&lt;$A86)),$C$7:$C85),""))</f>
        <v/>
      </c>
      <c r="E86" s="396" t="n"/>
    </row>
    <row r="87" ht="15" customHeight="1" s="278">
      <c r="A87" s="386" t="n"/>
      <c r="B87" s="391" t="n"/>
      <c r="C87" s="392" t="n"/>
      <c r="D87" s="385" t="str">
        <f>IF($C87="","",IFERROR($C87-LOOKUP(2,1/(($B$7:$B86=$B87)*($A$7:$A86&lt;$A87)),$C$7:$C86),""))</f>
        <v/>
      </c>
      <c r="E87" s="396" t="n"/>
    </row>
    <row r="88" ht="15" customHeight="1" s="278">
      <c r="A88" s="386" t="n"/>
      <c r="B88" s="391" t="n"/>
      <c r="C88" s="392" t="n"/>
      <c r="D88" s="385" t="str">
        <f>IF($C88="","",IFERROR($C88-LOOKUP(2,1/(($B$7:$B87=$B88)*($A$7:$A87&lt;$A88)),$C$7:$C87),""))</f>
        <v/>
      </c>
      <c r="E88" s="396" t="n"/>
    </row>
    <row r="89" ht="15" customHeight="1" s="278">
      <c r="A89" s="386" t="n"/>
      <c r="B89" s="391" t="n"/>
      <c r="C89" s="392" t="n"/>
      <c r="D89" s="385" t="str">
        <f>IF($C89="","",IFERROR($C89-LOOKUP(2,1/(($B$7:$B88=$B89)*($A$7:$A88&lt;$A89)),$C$7:$C88),""))</f>
        <v/>
      </c>
      <c r="E89" s="396" t="n"/>
    </row>
    <row r="90" ht="15" customHeight="1" s="278">
      <c r="A90" s="386" t="n"/>
      <c r="B90" s="391" t="n"/>
      <c r="C90" s="392" t="n"/>
      <c r="D90" s="385" t="str">
        <f>IF($C90="","",IFERROR($C90-LOOKUP(2,1/(($B$7:$B89=$B90)*($A$7:$A89&lt;$A90)),$C$7:$C89),""))</f>
        <v/>
      </c>
      <c r="E90" s="396" t="n"/>
    </row>
    <row r="91" ht="15" customHeight="1" s="278">
      <c r="A91" s="386" t="n"/>
      <c r="B91" s="391" t="n"/>
      <c r="C91" s="392" t="n"/>
      <c r="D91" s="385" t="str">
        <f>IF($C91="","",IFERROR($C91-LOOKUP(2,1/(($B$7:$B90=$B91)*($A$7:$A90&lt;$A91)),$C$7:$C90),""))</f>
        <v/>
      </c>
      <c r="E91" s="396" t="n"/>
    </row>
    <row r="92" ht="15" customHeight="1" s="278">
      <c r="A92" s="386" t="n"/>
      <c r="B92" s="391" t="n"/>
      <c r="C92" s="392" t="n"/>
      <c r="D92" s="385" t="str">
        <f>IF($C92="","",IFERROR($C92-LOOKUP(2,1/(($B$7:$B91=$B92)*($A$7:$A91&lt;$A92)),$C$7:$C91),""))</f>
        <v/>
      </c>
      <c r="E92" s="396" t="n"/>
    </row>
    <row r="93" ht="15" customHeight="1" s="278">
      <c r="A93" s="386" t="n"/>
      <c r="B93" s="391" t="n"/>
      <c r="C93" s="392" t="n"/>
      <c r="D93" s="385" t="str">
        <f>IF($C93="","",IFERROR($C93-LOOKUP(2,1/(($B$7:$B92=$B93)*($A$7:$A92&lt;$A93)),$C$7:$C92),""))</f>
        <v/>
      </c>
      <c r="E93" s="396" t="n"/>
    </row>
    <row r="94" ht="15" customHeight="1" s="278">
      <c r="A94" s="386" t="n"/>
      <c r="B94" s="391" t="n"/>
      <c r="C94" s="392" t="n"/>
      <c r="D94" s="385" t="str">
        <f>IF($C94="","",IFERROR($C94-LOOKUP(2,1/(($B$7:$B93=$B94)*($A$7:$A93&lt;$A94)),$C$7:$C93),""))</f>
        <v/>
      </c>
      <c r="E94" s="396" t="n"/>
    </row>
    <row r="95" ht="15" customHeight="1" s="278">
      <c r="A95" s="386" t="n"/>
      <c r="B95" s="391" t="n"/>
      <c r="C95" s="392" t="n"/>
      <c r="D95" s="385" t="str">
        <f>IF($C95="","",IFERROR($C95-LOOKUP(2,1/(($B$7:$B94=$B95)*($A$7:$A94&lt;$A95)),$C$7:$C94),""))</f>
        <v/>
      </c>
      <c r="E95" s="396" t="n"/>
    </row>
    <row r="96" ht="15" customHeight="1" s="278">
      <c r="A96" s="386" t="n"/>
      <c r="B96" s="391" t="n"/>
      <c r="C96" s="392" t="n"/>
      <c r="D96" s="385" t="str">
        <f>IF($C96="","",IFERROR($C96-LOOKUP(2,1/(($B$7:$B95=$B96)*($A$7:$A95&lt;$A96)),$C$7:$C95),""))</f>
        <v/>
      </c>
      <c r="E96" s="396" t="n"/>
    </row>
    <row r="97" ht="15" customHeight="1" s="278">
      <c r="A97" s="386" t="n"/>
      <c r="B97" s="391" t="n"/>
      <c r="C97" s="392" t="n"/>
      <c r="D97" s="385" t="str">
        <f>IF($C97="","",IFERROR($C97-LOOKUP(2,1/(($B$7:$B96=$B97)*($A$7:$A96&lt;$A97)),$C$7:$C96),""))</f>
        <v/>
      </c>
      <c r="E97" s="396" t="n"/>
    </row>
    <row r="98" ht="15" customHeight="1" s="278">
      <c r="A98" s="386" t="n"/>
      <c r="B98" s="391" t="n"/>
      <c r="C98" s="392" t="n"/>
      <c r="D98" s="385" t="str">
        <f>IF($C98="","",IFERROR($C98-LOOKUP(2,1/(($B$7:$B97=$B98)*($A$7:$A97&lt;$A98)),$C$7:$C97),""))</f>
        <v/>
      </c>
      <c r="E98" s="396" t="n"/>
    </row>
    <row r="99" ht="15" customHeight="1" s="278">
      <c r="A99" s="386" t="n"/>
      <c r="B99" s="391" t="n"/>
      <c r="C99" s="392" t="n"/>
      <c r="D99" s="385" t="str">
        <f>IF($C99="","",IFERROR($C99-LOOKUP(2,1/(($B$7:$B98=$B99)*($A$7:$A98&lt;$A99)),$C$7:$C98),""))</f>
        <v/>
      </c>
      <c r="E99" s="396" t="n"/>
    </row>
    <row r="100" ht="15" customHeight="1" s="278">
      <c r="A100" s="386" t="n"/>
      <c r="B100" s="391" t="n"/>
      <c r="C100" s="392" t="n"/>
      <c r="D100" s="385" t="str">
        <f>IF($C100="","",IFERROR($C100-LOOKUP(2,1/(($B$7:$B99=$B100)*($A$7:$A99&lt;$A100)),$C$7:$C99),""))</f>
        <v/>
      </c>
      <c r="E100" s="396" t="n"/>
    </row>
  </sheetData>
  <autoFilter ref="A6:E100"/>
  <mergeCells count="1">
    <mergeCell ref="A24:E24"/>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10213A"/>
    <outlinePr summaryBelow="1" summaryRight="1"/>
    <pageSetUpPr fitToPage="1"/>
  </sheetPr>
  <dimension ref="A1:U520"/>
  <sheetViews>
    <sheetView showFormulas="0" showGridLines="1" showRowColHeaders="1" showZeros="1" rightToLeft="0" tabSelected="0" showOutlineSymbols="1" defaultGridColor="1"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baseColWidth="8" defaultColWidth="8.6796875" defaultRowHeight="15" zeroHeight="0" outlineLevelRow="0"/>
  <cols>
    <col width="9" customWidth="1" style="277" min="1" max="1"/>
    <col width="12" customWidth="1" style="277" min="2" max="2"/>
    <col width="10" customWidth="1" style="277" min="3" max="3"/>
    <col width="8" customWidth="1" style="277" min="4" max="4"/>
    <col width="22" customWidth="1" style="277" min="5" max="5"/>
    <col width="13" customWidth="1" style="277" min="6" max="6"/>
    <col width="18" customWidth="1" style="277" min="7" max="8"/>
    <col width="30" customWidth="1" style="277" min="9" max="9"/>
    <col width="13" customWidth="1" style="277" min="10" max="10"/>
    <col width="11" customWidth="1" style="277" min="11" max="11"/>
    <col width="14" customWidth="1" style="277" min="12" max="13"/>
    <col width="11" customWidth="1" style="277" min="14" max="14"/>
    <col width="13" customWidth="1" style="277" min="15" max="15"/>
    <col width="9" customWidth="1" style="277" min="16" max="16"/>
    <col width="13" customWidth="1" style="277" min="17" max="17"/>
    <col width="20" customWidth="1" style="277" min="18" max="18"/>
    <col width="10" customWidth="1" style="277" min="19" max="19"/>
    <col width="38" customWidth="1" style="277" min="20" max="20"/>
    <col width="18" customWidth="1" style="277" min="21" max="21"/>
  </cols>
  <sheetData>
    <row r="1" ht="30" customHeight="1" s="278">
      <c r="A1" s="345" t="inlineStr">
        <is>
          <t>Master Transaction Database</t>
        </is>
      </c>
    </row>
    <row r="2" ht="13.5" customHeight="1" s="278">
      <c r="A2" s="565" t="inlineStr">
        <is>
          <t>One row per movement of money. Type your entry in the first empty row — grey columns fill themselves. Transfers never count as spending.</t>
        </is>
      </c>
    </row>
    <row r="3" ht="6" customHeight="1" s="278"/>
    <row r="4" ht="19.5" customHeight="1" s="278">
      <c r="A4" s="398" t="inlineStr">
        <is>
          <t>QUICK ADD  →  you only need to fill: Date · Account · Type · Category · Merchant · Amount.  Everything else is optional or automatic.</t>
        </is>
      </c>
    </row>
    <row r="6" ht="27.75" customHeight="1" s="278">
      <c r="A6" s="383" t="inlineStr">
        <is>
          <t>ID</t>
        </is>
      </c>
      <c r="B6" s="383" t="inlineStr">
        <is>
          <t>Date</t>
        </is>
      </c>
      <c r="C6" s="383" t="inlineStr">
        <is>
          <t>Month</t>
        </is>
      </c>
      <c r="D6" s="383" t="inlineStr">
        <is>
          <t>Year</t>
        </is>
      </c>
      <c r="E6" s="383" t="inlineStr">
        <is>
          <t>Account</t>
        </is>
      </c>
      <c r="F6" s="383" t="inlineStr">
        <is>
          <t>Type</t>
        </is>
      </c>
      <c r="G6" s="383" t="inlineStr">
        <is>
          <t>Category</t>
        </is>
      </c>
      <c r="H6" s="383" t="inlineStr">
        <is>
          <t>Subcategory</t>
        </is>
      </c>
      <c r="I6" s="383" t="inlineStr">
        <is>
          <t>Merchant / Payee</t>
        </is>
      </c>
      <c r="J6" s="383" t="inlineStr">
        <is>
          <t>Class</t>
        </is>
      </c>
      <c r="K6" s="383" t="inlineStr">
        <is>
          <t>Fixed / Var</t>
        </is>
      </c>
      <c r="L6" s="383" t="inlineStr">
        <is>
          <t>Essential?</t>
        </is>
      </c>
      <c r="M6" s="383" t="inlineStr">
        <is>
          <t>Payment Method</t>
        </is>
      </c>
      <c r="N6" s="383" t="inlineStr">
        <is>
          <t>Recurring?</t>
        </is>
      </c>
      <c r="O6" s="383" t="inlineStr">
        <is>
          <t>Amount</t>
        </is>
      </c>
      <c r="P6" s="383" t="inlineStr">
        <is>
          <t>Currency</t>
        </is>
      </c>
      <c r="Q6" s="383" t="inlineStr">
        <is>
          <t>Cash Impact (AED)</t>
        </is>
      </c>
      <c r="R6" s="383" t="inlineStr">
        <is>
          <t>Related Bill</t>
        </is>
      </c>
      <c r="S6" s="383" t="inlineStr">
        <is>
          <t>Verified?</t>
        </is>
      </c>
      <c r="T6" s="383" t="inlineStr">
        <is>
          <t>Notes</t>
        </is>
      </c>
      <c r="U6" s="383" t="inlineStr">
        <is>
          <t>Original timestamp</t>
        </is>
      </c>
    </row>
    <row r="7" ht="15" customHeight="1" s="278">
      <c r="A7" s="399" t="str">
        <f>IF($B7="","","T"&amp;TEXT(ROW()-6,"0000"))</f>
        <v>T1.00</v>
      </c>
      <c r="B7" s="386" t="n">
        <v>46237</v>
      </c>
      <c r="C7" s="399" t="str">
        <f>IF($B7="","",TEXT($B7,"YYYY-MM"))</f>
        <v>2026-08</v>
      </c>
      <c r="D7" s="400">
        <f>IF($B7="","",YEAR($B7))</f>
        <v>2026.0</v>
      </c>
      <c r="E7" s="391" t="inlineStr">
        <is>
          <t>FAB 4001 Current</t>
        </is>
      </c>
      <c r="F7" s="391" t="inlineStr">
        <is>
          <t>Expense</t>
        </is>
      </c>
      <c r="G7" s="391" t="inlineStr">
        <is>
          <t>Utilities</t>
        </is>
      </c>
      <c r="H7" s="391" t="inlineStr">
        <is>
          <t>du + Etisalat</t>
        </is>
      </c>
      <c r="I7" s="391" t="inlineStr">
        <is>
          <t>du + Etisalat via DubaiPay</t>
        </is>
      </c>
      <c r="J7" s="391" t="inlineStr">
        <is>
          <t>Household</t>
        </is>
      </c>
      <c r="K7" s="391" t="inlineStr">
        <is>
          <t>Fixed</t>
        </is>
      </c>
      <c r="L7" s="391" t="inlineStr">
        <is>
          <t>Essential</t>
        </is>
      </c>
      <c r="M7" s="391" t="inlineStr">
        <is>
          <t>Card</t>
        </is>
      </c>
      <c r="N7" s="391" t="inlineStr">
        <is>
          <t>Yes</t>
        </is>
      </c>
      <c r="O7" s="392" t="n">
        <v>914.9299999999999</v>
      </c>
      <c r="P7" s="391" t="inlineStr">
        <is>
          <t>AED</t>
        </is>
      </c>
      <c r="Q7" s="385">
        <f>IF($B7="","",IF($P7&lt;&gt;"AED",0,IF($F7="Income",$O7,IF($F7="Expense",-$O7,0))))</f>
        <v>-914.93</v>
      </c>
      <c r="R7" s="561" t="inlineStr">
        <is>
          <t>du August</t>
        </is>
      </c>
      <c r="S7" s="304" t="inlineStr">
        <is>
          <t>Yes</t>
        </is>
      </c>
      <c r="T7" s="368" t="inlineStr">
        <is>
          <t>Paid once — du 590.98 + Etisalat 323.95</t>
        </is>
      </c>
      <c r="U7" s="381" t="inlineStr">
        <is>
          <t>2026-08-03 11:20</t>
        </is>
      </c>
    </row>
    <row r="8" ht="15" customHeight="1" s="278">
      <c r="A8" s="399" t="str">
        <f>IF($B8="","","T"&amp;TEXT(ROW()-6,"0000"))</f>
        <v>T2.00</v>
      </c>
      <c r="B8" s="386" t="n">
        <v>46237</v>
      </c>
      <c r="C8" s="399" t="str">
        <f>IF($B8="","",TEXT($B8,"YYYY-MM"))</f>
        <v>2026-08</v>
      </c>
      <c r="D8" s="400">
        <f>IF($B8="","",YEAR($B8))</f>
        <v>2026.0</v>
      </c>
      <c r="E8" s="391" t="inlineStr">
        <is>
          <t>NBD Current</t>
        </is>
      </c>
      <c r="F8" s="391" t="inlineStr">
        <is>
          <t>Expense</t>
        </is>
      </c>
      <c r="G8" s="391" t="inlineStr">
        <is>
          <t>Lifestyle</t>
        </is>
      </c>
      <c r="H8" s="391" t="inlineStr">
        <is>
          <t>Convenience store</t>
        </is>
      </c>
      <c r="I8" s="391" t="inlineStr">
        <is>
          <t>Asas Al Madina General</t>
        </is>
      </c>
      <c r="J8" s="391" t="inlineStr">
        <is>
          <t>Personal</t>
        </is>
      </c>
      <c r="K8" s="391" t="inlineStr">
        <is>
          <t>Variable</t>
        </is>
      </c>
      <c r="L8" s="391" t="inlineStr">
        <is>
          <t>Non-Essential</t>
        </is>
      </c>
      <c r="M8" s="391" t="inlineStr">
        <is>
          <t>Card</t>
        </is>
      </c>
      <c r="N8" s="391" t="inlineStr">
        <is>
          <t>No</t>
        </is>
      </c>
      <c r="O8" s="392" t="n">
        <v>14</v>
      </c>
      <c r="P8" s="391" t="inlineStr">
        <is>
          <t>AED</t>
        </is>
      </c>
      <c r="Q8" s="385">
        <f>IF($B8="","",IF($P8&lt;&gt;"AED",0,IF($F8="Income",$O8,IF($F8="Expense",-$O8,0))))</f>
        <v>-14.0</v>
      </c>
      <c r="R8" s="561" t="n"/>
      <c r="S8" s="304" t="inlineStr">
        <is>
          <t>Yes</t>
        </is>
      </c>
      <c r="T8" s="368" t="n"/>
      <c r="U8" s="381" t="inlineStr">
        <is>
          <t>2026-08-03 12:00</t>
        </is>
      </c>
    </row>
    <row r="9" ht="15" customHeight="1" s="278">
      <c r="A9" s="399" t="str">
        <f>IF($B9="","","T"&amp;TEXT(ROW()-6,"0000"))</f>
        <v>T3.00</v>
      </c>
      <c r="B9" s="386" t="n">
        <v>46237</v>
      </c>
      <c r="C9" s="399" t="str">
        <f>IF($B9="","",TEXT($B9,"YYYY-MM"))</f>
        <v>2026-08</v>
      </c>
      <c r="D9" s="400">
        <f>IF($B9="","",YEAR($B9))</f>
        <v>2026.0</v>
      </c>
      <c r="E9" s="391" t="inlineStr">
        <is>
          <t>NBD Current</t>
        </is>
      </c>
      <c r="F9" s="391" t="inlineStr">
        <is>
          <t>Expense</t>
        </is>
      </c>
      <c r="G9" s="391" t="inlineStr">
        <is>
          <t>Household Other</t>
        </is>
      </c>
      <c r="H9" s="391" t="inlineStr">
        <is>
          <t>Home supplies</t>
        </is>
      </c>
      <c r="I9" s="391" t="inlineStr">
        <is>
          <t>Yas Home General Trading</t>
        </is>
      </c>
      <c r="J9" s="391" t="inlineStr">
        <is>
          <t>Household</t>
        </is>
      </c>
      <c r="K9" s="391" t="inlineStr">
        <is>
          <t>Variable</t>
        </is>
      </c>
      <c r="L9" s="391" t="inlineStr">
        <is>
          <t>Essential</t>
        </is>
      </c>
      <c r="M9" s="391" t="inlineStr">
        <is>
          <t>Card</t>
        </is>
      </c>
      <c r="N9" s="391" t="inlineStr">
        <is>
          <t>No</t>
        </is>
      </c>
      <c r="O9" s="392" t="n">
        <v>22.97</v>
      </c>
      <c r="P9" s="391" t="inlineStr">
        <is>
          <t>AED</t>
        </is>
      </c>
      <c r="Q9" s="385">
        <f>IF($B9="","",IF($P9&lt;&gt;"AED",0,IF($F9="Income",$O9,IF($F9="Expense",-$O9,0))))</f>
        <v>-22.97</v>
      </c>
      <c r="R9" s="561" t="n"/>
      <c r="S9" s="304" t="inlineStr">
        <is>
          <t>Yes</t>
        </is>
      </c>
      <c r="T9" s="368" t="n"/>
      <c r="U9" s="381" t="inlineStr">
        <is>
          <t>2026-08-03 13:00</t>
        </is>
      </c>
    </row>
    <row r="10" ht="15" customHeight="1" s="278">
      <c r="A10" s="399" t="str">
        <f>IF($B10="","","T"&amp;TEXT(ROW()-6,"0000"))</f>
        <v>T4.00</v>
      </c>
      <c r="B10" s="386" t="n">
        <v>46237</v>
      </c>
      <c r="C10" s="399" t="str">
        <f>IF($B10="","",TEXT($B10,"YYYY-MM"))</f>
        <v>2026-08</v>
      </c>
      <c r="D10" s="400">
        <f>IF($B10="","",YEAR($B10))</f>
        <v>2026.0</v>
      </c>
      <c r="E10" s="391" t="inlineStr">
        <is>
          <t>NBD Current</t>
        </is>
      </c>
      <c r="F10" s="391" t="inlineStr">
        <is>
          <t>Expense</t>
        </is>
      </c>
      <c r="G10" s="391" t="inlineStr">
        <is>
          <t>Food &amp; Dining</t>
        </is>
      </c>
      <c r="H10" s="391" t="inlineStr">
        <is>
          <t>Restaurant</t>
        </is>
      </c>
      <c r="I10" s="391" t="inlineStr">
        <is>
          <t>Spicy Falcon Restaurant</t>
        </is>
      </c>
      <c r="J10" s="391" t="inlineStr">
        <is>
          <t>Household</t>
        </is>
      </c>
      <c r="K10" s="391" t="inlineStr">
        <is>
          <t>Variable</t>
        </is>
      </c>
      <c r="L10" s="391" t="inlineStr">
        <is>
          <t>Non-Essential</t>
        </is>
      </c>
      <c r="M10" s="391" t="inlineStr">
        <is>
          <t>Card</t>
        </is>
      </c>
      <c r="N10" s="391" t="inlineStr">
        <is>
          <t>No</t>
        </is>
      </c>
      <c r="O10" s="392" t="n">
        <v>16</v>
      </c>
      <c r="P10" s="391" t="inlineStr">
        <is>
          <t>AED</t>
        </is>
      </c>
      <c r="Q10" s="385">
        <f>IF($B10="","",IF($P10&lt;&gt;"AED",0,IF($F10="Income",$O10,IF($F10="Expense",-$O10,0))))</f>
        <v>-16.0</v>
      </c>
      <c r="R10" s="561" t="n"/>
      <c r="S10" s="304" t="inlineStr">
        <is>
          <t>Yes</t>
        </is>
      </c>
      <c r="T10" s="368" t="n"/>
      <c r="U10" s="381" t="inlineStr">
        <is>
          <t>2026-08-03 20:04</t>
        </is>
      </c>
    </row>
    <row r="11" ht="15" customHeight="1" s="278">
      <c r="A11" s="399" t="str">
        <f>IF($B11="","","T"&amp;TEXT(ROW()-6,"0000"))</f>
        <v>T5.00</v>
      </c>
      <c r="B11" s="386" t="n">
        <v>46238</v>
      </c>
      <c r="C11" s="399" t="str">
        <f>IF($B11="","",TEXT($B11,"YYYY-MM"))</f>
        <v>2026-08</v>
      </c>
      <c r="D11" s="400">
        <f>IF($B11="","",YEAR($B11))</f>
        <v>2026.0</v>
      </c>
      <c r="E11" s="391" t="inlineStr">
        <is>
          <t>NBD Current</t>
        </is>
      </c>
      <c r="F11" s="391" t="inlineStr">
        <is>
          <t>Expense</t>
        </is>
      </c>
      <c r="G11" s="391" t="inlineStr">
        <is>
          <t>Lifestyle</t>
        </is>
      </c>
      <c r="H11" s="391" t="inlineStr">
        <is>
          <t>Fuel / convenience</t>
        </is>
      </c>
      <c r="I11" s="391" t="inlineStr">
        <is>
          <t>Emarat Nad Al Hamar</t>
        </is>
      </c>
      <c r="J11" s="391" t="inlineStr">
        <is>
          <t>Personal</t>
        </is>
      </c>
      <c r="K11" s="391" t="inlineStr">
        <is>
          <t>Variable</t>
        </is>
      </c>
      <c r="L11" s="391" t="inlineStr">
        <is>
          <t>Non-Essential</t>
        </is>
      </c>
      <c r="M11" s="391" t="inlineStr">
        <is>
          <t>Card</t>
        </is>
      </c>
      <c r="N11" s="391" t="inlineStr">
        <is>
          <t>No</t>
        </is>
      </c>
      <c r="O11" s="392" t="n">
        <v>13.5</v>
      </c>
      <c r="P11" s="391" t="inlineStr">
        <is>
          <t>AED</t>
        </is>
      </c>
      <c r="Q11" s="385">
        <f>IF($B11="","",IF($P11&lt;&gt;"AED",0,IF($F11="Income",$O11,IF($F11="Expense",-$O11,0))))</f>
        <v>-13.5</v>
      </c>
      <c r="R11" s="561" t="n"/>
      <c r="S11" s="304" t="inlineStr">
        <is>
          <t>Yes</t>
        </is>
      </c>
      <c r="T11" s="368" t="n"/>
      <c r="U11" s="381" t="inlineStr">
        <is>
          <t>2026-08-04 04:42</t>
        </is>
      </c>
    </row>
    <row r="12" ht="15" customHeight="1" s="278">
      <c r="A12" s="399" t="str">
        <f>IF($B12="","","T"&amp;TEXT(ROW()-6,"0000"))</f>
        <v>T6.00</v>
      </c>
      <c r="B12" s="386" t="n">
        <v>46238</v>
      </c>
      <c r="C12" s="399" t="str">
        <f>IF($B12="","",TEXT($B12,"YYYY-MM"))</f>
        <v>2026-08</v>
      </c>
      <c r="D12" s="400">
        <f>IF($B12="","",YEAR($B12))</f>
        <v>2026.0</v>
      </c>
      <c r="E12" s="391" t="inlineStr">
        <is>
          <t>Tabby Cash</t>
        </is>
      </c>
      <c r="F12" s="391" t="inlineStr">
        <is>
          <t>Expense</t>
        </is>
      </c>
      <c r="G12" s="391" t="inlineStr">
        <is>
          <t>Lifestyle</t>
        </is>
      </c>
      <c r="H12" s="391" t="inlineStr">
        <is>
          <t>Convenience store</t>
        </is>
      </c>
      <c r="I12" s="391" t="inlineStr">
        <is>
          <t>Nad Al Hamar Star Grocery</t>
        </is>
      </c>
      <c r="J12" s="391" t="inlineStr">
        <is>
          <t>Personal</t>
        </is>
      </c>
      <c r="K12" s="391" t="inlineStr">
        <is>
          <t>Variable</t>
        </is>
      </c>
      <c r="L12" s="391" t="inlineStr">
        <is>
          <t>Non-Essential</t>
        </is>
      </c>
      <c r="M12" s="391" t="inlineStr">
        <is>
          <t>Wallet</t>
        </is>
      </c>
      <c r="N12" s="391" t="inlineStr">
        <is>
          <t>No</t>
        </is>
      </c>
      <c r="O12" s="392" t="n">
        <v>2</v>
      </c>
      <c r="P12" s="391" t="inlineStr">
        <is>
          <t>AED</t>
        </is>
      </c>
      <c r="Q12" s="385">
        <f>IF($B12="","",IF($P12&lt;&gt;"AED",0,IF($F12="Income",$O12,IF($F12="Expense",-$O12,0))))</f>
        <v>-2.0</v>
      </c>
      <c r="R12" s="561" t="n"/>
      <c r="S12" s="304" t="inlineStr">
        <is>
          <t>Yes</t>
        </is>
      </c>
      <c r="T12" s="368" t="inlineStr">
        <is>
          <t>Tabby Cash wallet — never Tabby Card debt</t>
        </is>
      </c>
      <c r="U12" s="381" t="inlineStr">
        <is>
          <t>2026-08-04 05:00</t>
        </is>
      </c>
    </row>
    <row r="13" ht="15" customHeight="1" s="278">
      <c r="A13" s="399" t="str">
        <f>IF($B13="","","T"&amp;TEXT(ROW()-6,"0000"))</f>
        <v>T7.00</v>
      </c>
      <c r="B13" s="386" t="n">
        <v>46238</v>
      </c>
      <c r="C13" s="399" t="str">
        <f>IF($B13="","",TEXT($B13,"YYYY-MM"))</f>
        <v>2026-08</v>
      </c>
      <c r="D13" s="400">
        <f>IF($B13="","",YEAR($B13))</f>
        <v>2026.0</v>
      </c>
      <c r="E13" s="391" t="inlineStr">
        <is>
          <t>NBD Current</t>
        </is>
      </c>
      <c r="F13" s="391" t="inlineStr">
        <is>
          <t>Expense</t>
        </is>
      </c>
      <c r="G13" s="391" t="inlineStr">
        <is>
          <t>Groceries</t>
        </is>
      </c>
      <c r="H13" s="391" t="inlineStr">
        <is>
          <t>Grocery</t>
        </is>
      </c>
      <c r="I13" s="391" t="inlineStr">
        <is>
          <t>Asas Al Madina General</t>
        </is>
      </c>
      <c r="J13" s="391" t="inlineStr">
        <is>
          <t>Household</t>
        </is>
      </c>
      <c r="K13" s="391" t="inlineStr">
        <is>
          <t>Variable</t>
        </is>
      </c>
      <c r="L13" s="391" t="inlineStr">
        <is>
          <t>Essential</t>
        </is>
      </c>
      <c r="M13" s="391" t="inlineStr">
        <is>
          <t>Card</t>
        </is>
      </c>
      <c r="N13" s="391" t="inlineStr">
        <is>
          <t>No</t>
        </is>
      </c>
      <c r="O13" s="392" t="n">
        <v>24.5</v>
      </c>
      <c r="P13" s="391" t="inlineStr">
        <is>
          <t>AED</t>
        </is>
      </c>
      <c r="Q13" s="385">
        <f>IF($B13="","",IF($P13&lt;&gt;"AED",0,IF($F13="Income",$O13,IF($F13="Expense",-$O13,0))))</f>
        <v>-24.5</v>
      </c>
      <c r="R13" s="561" t="n"/>
      <c r="S13" s="304" t="inlineStr">
        <is>
          <t>Yes</t>
        </is>
      </c>
      <c r="T13" s="368" t="n"/>
      <c r="U13" s="381" t="inlineStr">
        <is>
          <t>2026-08-04 08:00</t>
        </is>
      </c>
    </row>
    <row r="14" ht="18.75" customHeight="1" s="278">
      <c r="A14" s="399" t="str">
        <f>IF($B14="","","T"&amp;TEXT(ROW()-6,"0000"))</f>
        <v>T8.00</v>
      </c>
      <c r="B14" s="386" t="n">
        <v>46239</v>
      </c>
      <c r="C14" s="399" t="str">
        <f>IF($B14="","",TEXT($B14,"YYYY-MM"))</f>
        <v>2026-08</v>
      </c>
      <c r="D14" s="400">
        <f>IF($B14="","",YEAR($B14))</f>
        <v>2026.0</v>
      </c>
      <c r="E14" s="391" t="inlineStr">
        <is>
          <t>NBD Current</t>
        </is>
      </c>
      <c r="F14" s="391" t="inlineStr">
        <is>
          <t>Expense</t>
        </is>
      </c>
      <c r="G14" s="391" t="inlineStr">
        <is>
          <t>Entertainment</t>
        </is>
      </c>
      <c r="H14" s="391" t="inlineStr">
        <is>
          <t>Cinema</t>
        </is>
      </c>
      <c r="I14" s="391" t="inlineStr">
        <is>
          <t>Reel Entertainment</t>
        </is>
      </c>
      <c r="J14" s="391" t="inlineStr">
        <is>
          <t>Personal</t>
        </is>
      </c>
      <c r="K14" s="391" t="inlineStr">
        <is>
          <t>Variable</t>
        </is>
      </c>
      <c r="L14" s="391" t="inlineStr">
        <is>
          <t>Non-Essential</t>
        </is>
      </c>
      <c r="M14" s="391" t="inlineStr">
        <is>
          <t>Card</t>
        </is>
      </c>
      <c r="N14" s="391" t="inlineStr">
        <is>
          <t>No</t>
        </is>
      </c>
      <c r="O14" s="392" t="n">
        <v>20</v>
      </c>
      <c r="P14" s="391" t="inlineStr">
        <is>
          <t>AED</t>
        </is>
      </c>
      <c r="Q14" s="385">
        <f>IF($B14="","",IF($P14&lt;&gt;"AED",0,IF($F14="Income",$O14,IF($F14="Expense",-$O14,0))))</f>
        <v>-20.0</v>
      </c>
      <c r="R14" s="561" t="n"/>
      <c r="S14" s="304" t="inlineStr">
        <is>
          <t>Yes</t>
        </is>
      </c>
      <c r="T14" s="368" t="inlineStr">
        <is>
          <t>Reclassified from Household Other — this is discretionary</t>
        </is>
      </c>
      <c r="U14" s="381" t="inlineStr">
        <is>
          <t>2026-08-05 07:48</t>
        </is>
      </c>
    </row>
    <row r="15" ht="15" customHeight="1" s="278">
      <c r="A15" s="399" t="str">
        <f>IF($B15="","","T"&amp;TEXT(ROW()-6,"0000"))</f>
        <v>T9.00</v>
      </c>
      <c r="B15" s="386" t="n">
        <v>46239</v>
      </c>
      <c r="C15" s="399" t="str">
        <f>IF($B15="","",TEXT($B15,"YYYY-MM"))</f>
        <v>2026-08</v>
      </c>
      <c r="D15" s="400">
        <f>IF($B15="","",YEAR($B15))</f>
        <v>2026.0</v>
      </c>
      <c r="E15" s="391" t="inlineStr">
        <is>
          <t>NBD Current</t>
        </is>
      </c>
      <c r="F15" s="391" t="inlineStr">
        <is>
          <t>Expense</t>
        </is>
      </c>
      <c r="G15" s="391" t="inlineStr">
        <is>
          <t>Food &amp; Dining</t>
        </is>
      </c>
      <c r="H15" s="391" t="inlineStr">
        <is>
          <t>Cafe</t>
        </is>
      </c>
      <c r="I15" s="391" t="inlineStr">
        <is>
          <t>HNS Restaurant and Cafe</t>
        </is>
      </c>
      <c r="J15" s="391" t="inlineStr">
        <is>
          <t>Household</t>
        </is>
      </c>
      <c r="K15" s="391" t="inlineStr">
        <is>
          <t>Variable</t>
        </is>
      </c>
      <c r="L15" s="391" t="inlineStr">
        <is>
          <t>Non-Essential</t>
        </is>
      </c>
      <c r="M15" s="391" t="inlineStr">
        <is>
          <t>Card</t>
        </is>
      </c>
      <c r="N15" s="391" t="inlineStr">
        <is>
          <t>No</t>
        </is>
      </c>
      <c r="O15" s="392" t="n">
        <v>10</v>
      </c>
      <c r="P15" s="391" t="inlineStr">
        <is>
          <t>AED</t>
        </is>
      </c>
      <c r="Q15" s="385">
        <f>IF($B15="","",IF($P15&lt;&gt;"AED",0,IF($F15="Income",$O15,IF($F15="Expense",-$O15,0))))</f>
        <v>-10.0</v>
      </c>
      <c r="R15" s="561" t="n"/>
      <c r="S15" s="304" t="inlineStr">
        <is>
          <t>Yes</t>
        </is>
      </c>
      <c r="T15" s="368" t="n"/>
      <c r="U15" s="381" t="inlineStr">
        <is>
          <t>2026-08-05 10:46</t>
        </is>
      </c>
    </row>
    <row r="16" ht="15" customHeight="1" s="278">
      <c r="A16" s="399" t="str">
        <f>IF($B16="","","T"&amp;TEXT(ROW()-6,"0000"))</f>
        <v>T10.00</v>
      </c>
      <c r="B16" s="386" t="n">
        <v>46239</v>
      </c>
      <c r="C16" s="399" t="str">
        <f>IF($B16="","",TEXT($B16,"YYYY-MM"))</f>
        <v>2026-08</v>
      </c>
      <c r="D16" s="400">
        <f>IF($B16="","",YEAR($B16))</f>
        <v>2026.0</v>
      </c>
      <c r="E16" s="391" t="inlineStr">
        <is>
          <t>NBD Current</t>
        </is>
      </c>
      <c r="F16" s="391" t="inlineStr">
        <is>
          <t>Expense</t>
        </is>
      </c>
      <c r="G16" s="391" t="inlineStr">
        <is>
          <t>Food &amp; Dining</t>
        </is>
      </c>
      <c r="H16" s="391" t="inlineStr">
        <is>
          <t>Fast food</t>
        </is>
      </c>
      <c r="I16" s="391" t="inlineStr">
        <is>
          <t>Burger King Dubai Mall</t>
        </is>
      </c>
      <c r="J16" s="391" t="inlineStr">
        <is>
          <t>Household</t>
        </is>
      </c>
      <c r="K16" s="391" t="inlineStr">
        <is>
          <t>Variable</t>
        </is>
      </c>
      <c r="L16" s="391" t="inlineStr">
        <is>
          <t>Non-Essential</t>
        </is>
      </c>
      <c r="M16" s="391" t="inlineStr">
        <is>
          <t>Card</t>
        </is>
      </c>
      <c r="N16" s="391" t="inlineStr">
        <is>
          <t>No</t>
        </is>
      </c>
      <c r="O16" s="392" t="n">
        <v>10</v>
      </c>
      <c r="P16" s="391" t="inlineStr">
        <is>
          <t>AED</t>
        </is>
      </c>
      <c r="Q16" s="385">
        <f>IF($B16="","",IF($P16&lt;&gt;"AED",0,IF($F16="Income",$O16,IF($F16="Expense",-$O16,0))))</f>
        <v>-10.0</v>
      </c>
      <c r="R16" s="561" t="n"/>
      <c r="S16" s="304" t="inlineStr">
        <is>
          <t>Yes</t>
        </is>
      </c>
      <c r="T16" s="368" t="n"/>
      <c r="U16" s="381" t="inlineStr">
        <is>
          <t>2026-08-05 10:47</t>
        </is>
      </c>
    </row>
    <row r="17" ht="15" customHeight="1" s="278">
      <c r="A17" s="399" t="str">
        <f>IF($B17="","","T"&amp;TEXT(ROW()-6,"0000"))</f>
        <v>T11.00</v>
      </c>
      <c r="B17" s="386" t="n">
        <v>46239</v>
      </c>
      <c r="C17" s="399" t="str">
        <f>IF($B17="","",TEXT($B17,"YYYY-MM"))</f>
        <v>2026-08</v>
      </c>
      <c r="D17" s="400">
        <f>IF($B17="","",YEAR($B17))</f>
        <v>2026.0</v>
      </c>
      <c r="E17" s="391" t="inlineStr">
        <is>
          <t>NBD Current</t>
        </is>
      </c>
      <c r="F17" s="391" t="inlineStr">
        <is>
          <t>Expense</t>
        </is>
      </c>
      <c r="G17" s="391" t="inlineStr">
        <is>
          <t>Food &amp; Dining</t>
        </is>
      </c>
      <c r="H17" s="391" t="inlineStr">
        <is>
          <t>Fast food</t>
        </is>
      </c>
      <c r="I17" s="391" t="inlineStr">
        <is>
          <t>Texas Dubai Mall</t>
        </is>
      </c>
      <c r="J17" s="391" t="inlineStr">
        <is>
          <t>Household</t>
        </is>
      </c>
      <c r="K17" s="391" t="inlineStr">
        <is>
          <t>Variable</t>
        </is>
      </c>
      <c r="L17" s="391" t="inlineStr">
        <is>
          <t>Non-Essential</t>
        </is>
      </c>
      <c r="M17" s="391" t="inlineStr">
        <is>
          <t>Card</t>
        </is>
      </c>
      <c r="N17" s="391" t="inlineStr">
        <is>
          <t>No</t>
        </is>
      </c>
      <c r="O17" s="392" t="n">
        <v>10</v>
      </c>
      <c r="P17" s="391" t="inlineStr">
        <is>
          <t>AED</t>
        </is>
      </c>
      <c r="Q17" s="385">
        <f>IF($B17="","",IF($P17&lt;&gt;"AED",0,IF($F17="Income",$O17,IF($F17="Expense",-$O17,0))))</f>
        <v>-10.0</v>
      </c>
      <c r="R17" s="561" t="n"/>
      <c r="S17" s="304" t="inlineStr">
        <is>
          <t>Yes</t>
        </is>
      </c>
      <c r="T17" s="368" t="n"/>
      <c r="U17" s="381" t="inlineStr">
        <is>
          <t>2026-08-05 10:48</t>
        </is>
      </c>
    </row>
    <row r="18" ht="15" customHeight="1" s="278">
      <c r="A18" s="399" t="str">
        <f>IF($B18="","","T"&amp;TEXT(ROW()-6,"0000"))</f>
        <v>T12.00</v>
      </c>
      <c r="B18" s="386" t="n">
        <v>46239</v>
      </c>
      <c r="C18" s="399" t="str">
        <f>IF($B18="","",TEXT($B18,"YYYY-MM"))</f>
        <v>2026-08</v>
      </c>
      <c r="D18" s="400">
        <f>IF($B18="","",YEAR($B18))</f>
        <v>2026.0</v>
      </c>
      <c r="E18" s="391" t="inlineStr">
        <is>
          <t>NBD Current</t>
        </is>
      </c>
      <c r="F18" s="391" t="inlineStr">
        <is>
          <t>Expense</t>
        </is>
      </c>
      <c r="G18" s="391" t="inlineStr">
        <is>
          <t>Food &amp; Dining</t>
        </is>
      </c>
      <c r="H18" s="391" t="inlineStr">
        <is>
          <t>Restaurant</t>
        </is>
      </c>
      <c r="I18" s="391" t="inlineStr">
        <is>
          <t>Team Taste Restaurant</t>
        </is>
      </c>
      <c r="J18" s="391" t="inlineStr">
        <is>
          <t>Household</t>
        </is>
      </c>
      <c r="K18" s="391" t="inlineStr">
        <is>
          <t>Variable</t>
        </is>
      </c>
      <c r="L18" s="391" t="inlineStr">
        <is>
          <t>Non-Essential</t>
        </is>
      </c>
      <c r="M18" s="391" t="inlineStr">
        <is>
          <t>Card</t>
        </is>
      </c>
      <c r="N18" s="391" t="inlineStr">
        <is>
          <t>No</t>
        </is>
      </c>
      <c r="O18" s="392" t="n">
        <v>31</v>
      </c>
      <c r="P18" s="391" t="inlineStr">
        <is>
          <t>AED</t>
        </is>
      </c>
      <c r="Q18" s="385">
        <f>IF($B18="","",IF($P18&lt;&gt;"AED",0,IF($F18="Income",$O18,IF($F18="Expense",-$O18,0))))</f>
        <v>-31.0</v>
      </c>
      <c r="R18" s="561" t="n"/>
      <c r="S18" s="304" t="inlineStr">
        <is>
          <t>Yes</t>
        </is>
      </c>
      <c r="T18" s="368" t="n"/>
      <c r="U18" s="381" t="inlineStr">
        <is>
          <t>2026-08-05 15:22</t>
        </is>
      </c>
    </row>
    <row r="19" ht="15" customHeight="1" s="278">
      <c r="A19" s="399" t="str">
        <f>IF($B19="","","T"&amp;TEXT(ROW()-6,"0000"))</f>
        <v>T13.00</v>
      </c>
      <c r="B19" s="386" t="n">
        <v>46239</v>
      </c>
      <c r="C19" s="399" t="str">
        <f>IF($B19="","",TEXT($B19,"YYYY-MM"))</f>
        <v>2026-08</v>
      </c>
      <c r="D19" s="400">
        <f>IF($B19="","",YEAR($B19))</f>
        <v>2026.0</v>
      </c>
      <c r="E19" s="391" t="inlineStr">
        <is>
          <t>NBD Current</t>
        </is>
      </c>
      <c r="F19" s="391" t="inlineStr">
        <is>
          <t>Expense</t>
        </is>
      </c>
      <c r="G19" s="391" t="inlineStr">
        <is>
          <t>Groceries</t>
        </is>
      </c>
      <c r="H19" s="391" t="inlineStr">
        <is>
          <t>Supermarket</t>
        </is>
      </c>
      <c r="I19" s="391" t="inlineStr">
        <is>
          <t>Raya Al Talal Supermarket</t>
        </is>
      </c>
      <c r="J19" s="391" t="inlineStr">
        <is>
          <t>Household</t>
        </is>
      </c>
      <c r="K19" s="391" t="inlineStr">
        <is>
          <t>Variable</t>
        </is>
      </c>
      <c r="L19" s="391" t="inlineStr">
        <is>
          <t>Essential</t>
        </is>
      </c>
      <c r="M19" s="391" t="inlineStr">
        <is>
          <t>Card</t>
        </is>
      </c>
      <c r="N19" s="391" t="inlineStr">
        <is>
          <t>No</t>
        </is>
      </c>
      <c r="O19" s="392" t="n">
        <v>10.25</v>
      </c>
      <c r="P19" s="391" t="inlineStr">
        <is>
          <t>AED</t>
        </is>
      </c>
      <c r="Q19" s="385">
        <f>IF($B19="","",IF($P19&lt;&gt;"AED",0,IF($F19="Income",$O19,IF($F19="Expense",-$O19,0))))</f>
        <v>-10.25</v>
      </c>
      <c r="R19" s="561" t="n"/>
      <c r="S19" s="304" t="inlineStr">
        <is>
          <t>Yes</t>
        </is>
      </c>
      <c r="T19" s="368" t="n"/>
      <c r="U19" s="381" t="inlineStr">
        <is>
          <t>2026-08-05 15:23</t>
        </is>
      </c>
    </row>
    <row r="20" ht="15" customHeight="1" s="278">
      <c r="A20" s="399" t="str">
        <f>IF($B20="","","T"&amp;TEXT(ROW()-6,"0000"))</f>
        <v>T14.00</v>
      </c>
      <c r="B20" s="386" t="n">
        <v>46239</v>
      </c>
      <c r="C20" s="399" t="str">
        <f>IF($B20="","",TEXT($B20,"YYYY-MM"))</f>
        <v>2026-08</v>
      </c>
      <c r="D20" s="400">
        <f>IF($B20="","",YEAR($B20))</f>
        <v>2026.0</v>
      </c>
      <c r="E20" s="391" t="inlineStr">
        <is>
          <t>FAB 4001 Current</t>
        </is>
      </c>
      <c r="F20" s="391" t="inlineStr">
        <is>
          <t>Expense</t>
        </is>
      </c>
      <c r="G20" s="391" t="inlineStr">
        <is>
          <t>Lifestyle</t>
        </is>
      </c>
      <c r="H20" s="391" t="inlineStr">
        <is>
          <t>Convenience store</t>
        </is>
      </c>
      <c r="I20" s="391" t="inlineStr">
        <is>
          <t>Asas Al Madina General</t>
        </is>
      </c>
      <c r="J20" s="391" t="inlineStr">
        <is>
          <t>Personal</t>
        </is>
      </c>
      <c r="K20" s="391" t="inlineStr">
        <is>
          <t>Variable</t>
        </is>
      </c>
      <c r="L20" s="391" t="inlineStr">
        <is>
          <t>Non-Essential</t>
        </is>
      </c>
      <c r="M20" s="391" t="inlineStr">
        <is>
          <t>Card</t>
        </is>
      </c>
      <c r="N20" s="391" t="inlineStr">
        <is>
          <t>No</t>
        </is>
      </c>
      <c r="O20" s="392" t="n">
        <v>14</v>
      </c>
      <c r="P20" s="391" t="inlineStr">
        <is>
          <t>AED</t>
        </is>
      </c>
      <c r="Q20" s="385">
        <f>IF($B20="","",IF($P20&lt;&gt;"AED",0,IF($F20="Income",$O20,IF($F20="Expense",-$O20,0))))</f>
        <v>-14.0</v>
      </c>
      <c r="R20" s="561" t="n"/>
      <c r="S20" s="304" t="inlineStr">
        <is>
          <t>Yes</t>
        </is>
      </c>
      <c r="T20" s="368" t="n"/>
      <c r="U20" s="381" t="inlineStr">
        <is>
          <t>2026-08-05 15:49</t>
        </is>
      </c>
    </row>
    <row r="21" ht="15" customHeight="1" s="278">
      <c r="A21" s="399" t="str">
        <f>IF($B21="","","T"&amp;TEXT(ROW()-6,"0000"))</f>
        <v>T15.00</v>
      </c>
      <c r="B21" s="386" t="n">
        <v>46240</v>
      </c>
      <c r="C21" s="399" t="str">
        <f>IF($B21="","",TEXT($B21,"YYYY-MM"))</f>
        <v>2026-08</v>
      </c>
      <c r="D21" s="400">
        <f>IF($B21="","",YEAR($B21))</f>
        <v>2026.0</v>
      </c>
      <c r="E21" s="391" t="inlineStr">
        <is>
          <t>FAB 4001 Current</t>
        </is>
      </c>
      <c r="F21" s="391" t="inlineStr">
        <is>
          <t>Expense</t>
        </is>
      </c>
      <c r="G21" s="391" t="inlineStr">
        <is>
          <t>Groceries</t>
        </is>
      </c>
      <c r="H21" s="391" t="inlineStr">
        <is>
          <t>Grocery</t>
        </is>
      </c>
      <c r="I21" s="391" t="inlineStr">
        <is>
          <t>Asas Al Madina General</t>
        </is>
      </c>
      <c r="J21" s="391" t="inlineStr">
        <is>
          <t>Household</t>
        </is>
      </c>
      <c r="K21" s="391" t="inlineStr">
        <is>
          <t>Variable</t>
        </is>
      </c>
      <c r="L21" s="391" t="inlineStr">
        <is>
          <t>Essential</t>
        </is>
      </c>
      <c r="M21" s="391" t="inlineStr">
        <is>
          <t>Card</t>
        </is>
      </c>
      <c r="N21" s="391" t="inlineStr">
        <is>
          <t>No</t>
        </is>
      </c>
      <c r="O21" s="392" t="n">
        <v>20</v>
      </c>
      <c r="P21" s="391" t="inlineStr">
        <is>
          <t>AED</t>
        </is>
      </c>
      <c r="Q21" s="385">
        <f>IF($B21="","",IF($P21&lt;&gt;"AED",0,IF($F21="Income",$O21,IF($F21="Expense",-$O21,0))))</f>
        <v>-20.0</v>
      </c>
      <c r="R21" s="561" t="n"/>
      <c r="S21" s="304" t="inlineStr">
        <is>
          <t>Yes</t>
        </is>
      </c>
      <c r="T21" s="368" t="n"/>
      <c r="U21" s="381" t="inlineStr">
        <is>
          <t>2026-08-06 16:43</t>
        </is>
      </c>
    </row>
    <row r="22" ht="27.75" customHeight="1" s="278">
      <c r="A22" s="399" t="str">
        <f>IF($B22="","","T"&amp;TEXT(ROW()-6,"0000"))</f>
        <v>T16.00</v>
      </c>
      <c r="B22" s="386" t="n">
        <v>46240</v>
      </c>
      <c r="C22" s="399" t="str">
        <f>IF($B22="","",TEXT($B22,"YYYY-MM"))</f>
        <v>2026-08</v>
      </c>
      <c r="D22" s="400">
        <f>IF($B22="","",YEAR($B22))</f>
        <v>2026.0</v>
      </c>
      <c r="E22" s="391" t="inlineStr">
        <is>
          <t>FAB 4002 Home Expenditure</t>
        </is>
      </c>
      <c r="F22" s="391" t="inlineStr">
        <is>
          <t>Income</t>
        </is>
      </c>
      <c r="G22" s="391" t="inlineStr">
        <is>
          <t>Salary</t>
        </is>
      </c>
      <c r="H22" s="391" t="inlineStr">
        <is>
          <t>Advance</t>
        </is>
      </c>
      <c r="I22" s="391" t="inlineStr">
        <is>
          <t>Advance salary + ticket refund profit</t>
        </is>
      </c>
      <c r="J22" s="391" t="inlineStr">
        <is>
          <t>Income</t>
        </is>
      </c>
      <c r="K22" s="391" t="inlineStr">
        <is>
          <t>Fixed</t>
        </is>
      </c>
      <c r="L22" s="391" t="inlineStr">
        <is>
          <t>Essential</t>
        </is>
      </c>
      <c r="M22" s="391" t="inlineStr">
        <is>
          <t>Bank credit</t>
        </is>
      </c>
      <c r="N22" s="391" t="inlineStr">
        <is>
          <t>Yes</t>
        </is>
      </c>
      <c r="O22" s="392" t="n">
        <v>4000</v>
      </c>
      <c r="P22" s="391" t="inlineStr">
        <is>
          <t>AED</t>
        </is>
      </c>
      <c r="Q22" s="385">
        <f>IF($B22="","",IF($P22&lt;&gt;"AED",0,IF($F22="Income",$O22,IF($F22="Expense",-$O22,0))))</f>
        <v>4000.0</v>
      </c>
      <c r="R22" s="561" t="inlineStr">
        <is>
          <t>Remaining August payday</t>
        </is>
      </c>
      <c r="S22" s="304" t="inlineStr">
        <is>
          <t>Yes</t>
        </is>
      </c>
      <c r="T22" s="368" t="inlineStr">
        <is>
          <t>AED 3,740 early salary + AED 260 profit from the ticket refund = AED 4,000, landing in FAB 4002 (the rent vault), not 4001. Counts against the 26 Aug payday.</t>
        </is>
      </c>
      <c r="U22" s="381" t="inlineStr">
        <is>
          <t>2026-08-06 20:56</t>
        </is>
      </c>
    </row>
    <row r="23" ht="15" customHeight="1" s="278">
      <c r="A23" s="399" t="str">
        <f>IF($B23="","","T"&amp;TEXT(ROW()-6,"0000"))</f>
        <v/>
      </c>
      <c r="B23" s="386" t="n"/>
      <c r="C23" s="399" t="str">
        <f>IF($B23="","",TEXT($B23,"YYYY-MM"))</f>
        <v/>
      </c>
      <c r="D23" s="400" t="str">
        <f>IF($B23="","",YEAR($B23))</f>
        <v/>
      </c>
      <c r="E23" s="391" t="n"/>
      <c r="F23" s="391" t="n"/>
      <c r="G23" s="391" t="n"/>
      <c r="H23" s="391" t="n"/>
      <c r="I23" s="391" t="n"/>
      <c r="J23" s="391" t="n"/>
      <c r="K23" s="391" t="n"/>
      <c r="L23" s="391" t="n"/>
      <c r="M23" s="391" t="n"/>
      <c r="N23" s="391" t="n"/>
      <c r="O23" s="392" t="n"/>
      <c r="P23" s="391" t="n"/>
      <c r="Q23" s="385" t="str">
        <f>IF($B23="","",IF($P23&lt;&gt;"AED",0,IF($F23="Income",$O23,IF($F23="Expense",-$O23,0))))</f>
        <v/>
      </c>
      <c r="R23" s="561" t="n"/>
      <c r="S23" s="401" t="inlineStr">
        <is>
          <t>No</t>
        </is>
      </c>
      <c r="T23" s="302" t="n"/>
      <c r="U23" s="381" t="n"/>
    </row>
    <row r="24" ht="15" customHeight="1" s="278">
      <c r="A24" s="399" t="str">
        <f>IF($B24="","","T"&amp;TEXT(ROW()-6,"0000"))</f>
        <v>T18.00</v>
      </c>
      <c r="B24" s="386" t="n">
        <v>46241</v>
      </c>
      <c r="C24" s="399" t="str">
        <f>IF($B24="","",TEXT($B24,"YYYY-MM"))</f>
        <v>2026-08</v>
      </c>
      <c r="D24" s="400">
        <f>IF($B24="","",YEAR($B24))</f>
        <v>2026.0</v>
      </c>
      <c r="E24" s="391" t="inlineStr">
        <is>
          <t>FAB 4001 Current</t>
        </is>
      </c>
      <c r="F24" s="391" t="inlineStr">
        <is>
          <t>Expense</t>
        </is>
      </c>
      <c r="G24" s="391" t="inlineStr">
        <is>
          <t>Family Support</t>
        </is>
      </c>
      <c r="H24" s="391" t="inlineStr">
        <is>
          <t>Medical support</t>
        </is>
      </c>
      <c r="I24" s="391" t="inlineStr">
        <is>
          <t>e&amp; Money medical support</t>
        </is>
      </c>
      <c r="J24" s="391" t="inlineStr">
        <is>
          <t>Household</t>
        </is>
      </c>
      <c r="K24" s="391" t="inlineStr">
        <is>
          <t>Variable</t>
        </is>
      </c>
      <c r="L24" s="391" t="inlineStr">
        <is>
          <t>Essential</t>
        </is>
      </c>
      <c r="M24" s="391" t="inlineStr">
        <is>
          <t>Transfer</t>
        </is>
      </c>
      <c r="N24" s="391" t="inlineStr">
        <is>
          <t>No</t>
        </is>
      </c>
      <c r="O24" s="392" t="n">
        <v>100</v>
      </c>
      <c r="P24" s="391" t="inlineStr">
        <is>
          <t>AED</t>
        </is>
      </c>
      <c r="Q24" s="385">
        <f>IF($B24="","",IF($P24&lt;&gt;"AED",0,IF($F24="Income",$O24,IF($F24="Expense",-$O24,0))))</f>
        <v>-100.0</v>
      </c>
      <c r="R24" s="561" t="n"/>
      <c r="S24" s="304" t="inlineStr">
        <is>
          <t>Yes</t>
        </is>
      </c>
      <c r="T24" s="368" t="n"/>
      <c r="U24" s="381" t="inlineStr">
        <is>
          <t>2026-08-07 06:00</t>
        </is>
      </c>
    </row>
    <row r="25" ht="15" customHeight="1" s="278">
      <c r="A25" s="399" t="str">
        <f>IF($B25="","","T"&amp;TEXT(ROW()-6,"0000"))</f>
        <v>T19.00</v>
      </c>
      <c r="B25" s="386" t="n">
        <v>46241</v>
      </c>
      <c r="C25" s="399" t="str">
        <f>IF($B25="","",TEXT($B25,"YYYY-MM"))</f>
        <v>2026-08</v>
      </c>
      <c r="D25" s="400">
        <f>IF($B25="","",YEAR($B25))</f>
        <v>2026.0</v>
      </c>
      <c r="E25" s="391" t="inlineStr">
        <is>
          <t>FAB 4001 Current</t>
        </is>
      </c>
      <c r="F25" s="391" t="inlineStr">
        <is>
          <t>Transfer Out</t>
        </is>
      </c>
      <c r="G25" s="391" t="inlineStr">
        <is>
          <t>Internal Transfer</t>
        </is>
      </c>
      <c r="H25" s="391" t="inlineStr">
        <is>
          <t>Duplicate transfer</t>
        </is>
      </c>
      <c r="I25" s="391" t="inlineStr">
        <is>
          <t>Duplicate e&amp; Money transfer</t>
        </is>
      </c>
      <c r="J25" s="391" t="inlineStr">
        <is>
          <t>Internal</t>
        </is>
      </c>
      <c r="K25" s="391" t="inlineStr">
        <is>
          <t>Variable</t>
        </is>
      </c>
      <c r="L25" s="391" t="inlineStr">
        <is>
          <t>Essential</t>
        </is>
      </c>
      <c r="M25" s="391" t="inlineStr">
        <is>
          <t>Transfer</t>
        </is>
      </c>
      <c r="N25" s="391" t="inlineStr">
        <is>
          <t>No</t>
        </is>
      </c>
      <c r="O25" s="392" t="n">
        <v>100</v>
      </c>
      <c r="P25" s="391" t="inlineStr">
        <is>
          <t>AED</t>
        </is>
      </c>
      <c r="Q25" s="385">
        <f>IF($B25="","",IF($P25&lt;&gt;"AED",0,IF($F25="Income",$O25,IF($F25="Expense",-$O25,0))))</f>
        <v>0.0</v>
      </c>
      <c r="R25" s="561" t="n"/>
      <c r="S25" s="304" t="inlineStr">
        <is>
          <t>Yes</t>
        </is>
      </c>
      <c r="T25" s="368" t="inlineStr">
        <is>
          <t>Receivable — refunded 11 Aug. Never an expense</t>
        </is>
      </c>
      <c r="U25" s="381" t="inlineStr">
        <is>
          <t>2026-08-07 06:01</t>
        </is>
      </c>
    </row>
    <row r="26" ht="18.75" customHeight="1" s="278">
      <c r="A26" s="399" t="str">
        <f>IF($B26="","","T"&amp;TEXT(ROW()-6,"0000"))</f>
        <v>T20.00</v>
      </c>
      <c r="B26" s="386" t="n">
        <v>46245</v>
      </c>
      <c r="C26" s="399" t="str">
        <f>IF($B26="","",TEXT($B26,"YYYY-MM"))</f>
        <v>2026-08</v>
      </c>
      <c r="D26" s="400">
        <f>IF($B26="","",YEAR($B26))</f>
        <v>2026.0</v>
      </c>
      <c r="E26" s="391" t="inlineStr">
        <is>
          <t>NBD Current</t>
        </is>
      </c>
      <c r="F26" s="391" t="inlineStr">
        <is>
          <t>Expense</t>
        </is>
      </c>
      <c r="G26" s="391" t="inlineStr">
        <is>
          <t>Lifestyle</t>
        </is>
      </c>
      <c r="H26" s="391" t="inlineStr">
        <is>
          <t>Unidentified card spend</t>
        </is>
      </c>
      <c r="I26" s="391" t="inlineStr">
        <is>
          <t>NBD card — merchant not identified</t>
        </is>
      </c>
      <c r="J26" s="391" t="inlineStr">
        <is>
          <t>Personal</t>
        </is>
      </c>
      <c r="K26" s="391" t="inlineStr">
        <is>
          <t>Variable</t>
        </is>
      </c>
      <c r="L26" s="391" t="inlineStr">
        <is>
          <t>Non-Essential</t>
        </is>
      </c>
      <c r="M26" s="391" t="inlineStr">
        <is>
          <t>Card</t>
        </is>
      </c>
      <c r="N26" s="391" t="inlineStr">
        <is>
          <t>No</t>
        </is>
      </c>
      <c r="O26" s="392" t="n">
        <v>13.5</v>
      </c>
      <c r="P26" s="391" t="inlineStr">
        <is>
          <t>AED</t>
        </is>
      </c>
      <c r="Q26" s="385">
        <f>IF($B26="","",IF($P26&lt;&gt;"AED",0,IF($F26="Income",$O26,IF($F26="Expense",-$O26,0))))</f>
        <v>-13.5</v>
      </c>
      <c r="R26" s="561" t="n"/>
      <c r="S26" s="401" t="inlineStr">
        <is>
          <t>No</t>
        </is>
      </c>
      <c r="T26" s="368" t="inlineStr">
        <is>
          <t>Identified from the NBD balance trail (15.70 recorded vs 2.20 actual). Confirm the merchant.</t>
        </is>
      </c>
      <c r="U26" s="381" t="inlineStr">
        <is>
          <t>2026-08-11 (from balance trail)</t>
        </is>
      </c>
    </row>
    <row r="27" ht="18.75" customHeight="1" s="278">
      <c r="A27" s="399" t="str">
        <f>IF($B27="","","T"&amp;TEXT(ROW()-6,"0000"))</f>
        <v>T21.00</v>
      </c>
      <c r="B27" s="386" t="n">
        <v>46241</v>
      </c>
      <c r="C27" s="399" t="str">
        <f>IF($B27="","",TEXT($B27,"YYYY-MM"))</f>
        <v>2026-08</v>
      </c>
      <c r="D27" s="400">
        <f>IF($B27="","",YEAR($B27))</f>
        <v>2026.0</v>
      </c>
      <c r="E27" s="391" t="inlineStr">
        <is>
          <t>FAB 4001 Current</t>
        </is>
      </c>
      <c r="F27" s="391" t="inlineStr">
        <is>
          <t>Expense</t>
        </is>
      </c>
      <c r="G27" s="391" t="inlineStr">
        <is>
          <t>Travel &amp; Airfare</t>
        </is>
      </c>
      <c r="H27" s="391" t="inlineStr">
        <is>
          <t>Airfare</t>
        </is>
      </c>
      <c r="I27" s="391" t="inlineStr">
        <is>
          <t>Emirates ticket</t>
        </is>
      </c>
      <c r="J27" s="391" t="inlineStr">
        <is>
          <t>Household</t>
        </is>
      </c>
      <c r="K27" s="391" t="inlineStr">
        <is>
          <t>Variable</t>
        </is>
      </c>
      <c r="L27" s="391" t="inlineStr">
        <is>
          <t>Essential</t>
        </is>
      </c>
      <c r="M27" s="391" t="inlineStr">
        <is>
          <t>Card</t>
        </is>
      </c>
      <c r="N27" s="391" t="inlineStr">
        <is>
          <t>No</t>
        </is>
      </c>
      <c r="O27" s="392" t="n">
        <v>1430</v>
      </c>
      <c r="P27" s="391" t="inlineStr">
        <is>
          <t>AED</t>
        </is>
      </c>
      <c r="Q27" s="385">
        <f>IF($B27="","",IF($P27&lt;&gt;"AED",0,IF($F27="Income",$O27,IF($F27="Expense",-$O27,0))))</f>
        <v>-1430.0</v>
      </c>
      <c r="R27" s="561" t="inlineStr">
        <is>
          <t>Rent refund</t>
        </is>
      </c>
      <c r="S27" s="304" t="inlineStr">
        <is>
          <t>Yes</t>
        </is>
      </c>
      <c r="T27" s="368" t="inlineStr">
        <is>
          <t>Refund of AED 1,430 expected — treated as a future inflow, not netted here</t>
        </is>
      </c>
      <c r="U27" s="381" t="inlineStr">
        <is>
          <t>2026-08-07 15:54</t>
        </is>
      </c>
    </row>
    <row r="28" ht="15" customHeight="1" s="278">
      <c r="A28" s="399" t="str">
        <f>IF($B28="","","T"&amp;TEXT(ROW()-6,"0000"))</f>
        <v>T22.00</v>
      </c>
      <c r="B28" s="386" t="n">
        <v>46242</v>
      </c>
      <c r="C28" s="399" t="str">
        <f>IF($B28="","",TEXT($B28,"YYYY-MM"))</f>
        <v>2026-08</v>
      </c>
      <c r="D28" s="400">
        <f>IF($B28="","",YEAR($B28))</f>
        <v>2026.0</v>
      </c>
      <c r="E28" s="391" t="inlineStr">
        <is>
          <t>FAB 4001 Current</t>
        </is>
      </c>
      <c r="F28" s="391" t="inlineStr">
        <is>
          <t>Expense</t>
        </is>
      </c>
      <c r="G28" s="391" t="inlineStr">
        <is>
          <t>Lifestyle</t>
        </is>
      </c>
      <c r="H28" s="391" t="inlineStr">
        <is>
          <t>Convenience store</t>
        </is>
      </c>
      <c r="I28" s="391" t="inlineStr">
        <is>
          <t>Asas Al Madina General</t>
        </is>
      </c>
      <c r="J28" s="391" t="inlineStr">
        <is>
          <t>Personal</t>
        </is>
      </c>
      <c r="K28" s="391" t="inlineStr">
        <is>
          <t>Variable</t>
        </is>
      </c>
      <c r="L28" s="391" t="inlineStr">
        <is>
          <t>Non-Essential</t>
        </is>
      </c>
      <c r="M28" s="391" t="inlineStr">
        <is>
          <t>Card</t>
        </is>
      </c>
      <c r="N28" s="391" t="inlineStr">
        <is>
          <t>No</t>
        </is>
      </c>
      <c r="O28" s="392" t="n">
        <v>14</v>
      </c>
      <c r="P28" s="391" t="inlineStr">
        <is>
          <t>AED</t>
        </is>
      </c>
      <c r="Q28" s="385">
        <f>IF($B28="","",IF($P28&lt;&gt;"AED",0,IF($F28="Income",$O28,IF($F28="Expense",-$O28,0))))</f>
        <v>-14.0</v>
      </c>
      <c r="R28" s="561" t="n"/>
      <c r="S28" s="304" t="inlineStr">
        <is>
          <t>Yes</t>
        </is>
      </c>
      <c r="T28" s="368" t="n"/>
      <c r="U28" s="381" t="inlineStr">
        <is>
          <t>2026-08-08 07:36</t>
        </is>
      </c>
    </row>
    <row r="29" ht="15" customHeight="1" s="278">
      <c r="A29" s="399" t="str">
        <f>IF($B29="","","T"&amp;TEXT(ROW()-6,"0000"))</f>
        <v>T23.00</v>
      </c>
      <c r="B29" s="386" t="n">
        <v>46242</v>
      </c>
      <c r="C29" s="399" t="str">
        <f>IF($B29="","",TEXT($B29,"YYYY-MM"))</f>
        <v>2026-08</v>
      </c>
      <c r="D29" s="400">
        <f>IF($B29="","",YEAR($B29))</f>
        <v>2026.0</v>
      </c>
      <c r="E29" s="391" t="inlineStr">
        <is>
          <t>FAB 4001 Current</t>
        </is>
      </c>
      <c r="F29" s="391" t="inlineStr">
        <is>
          <t>Expense</t>
        </is>
      </c>
      <c r="G29" s="391" t="inlineStr">
        <is>
          <t>Lifestyle</t>
        </is>
      </c>
      <c r="H29" s="391" t="inlineStr">
        <is>
          <t>Hotel / leisure</t>
        </is>
      </c>
      <c r="I29" s="391" t="inlineStr">
        <is>
          <t>RTS Business Bay Hotel</t>
        </is>
      </c>
      <c r="J29" s="391" t="inlineStr">
        <is>
          <t>Personal</t>
        </is>
      </c>
      <c r="K29" s="391" t="inlineStr">
        <is>
          <t>Variable</t>
        </is>
      </c>
      <c r="L29" s="391" t="inlineStr">
        <is>
          <t>Non-Essential</t>
        </is>
      </c>
      <c r="M29" s="391" t="inlineStr">
        <is>
          <t>Card</t>
        </is>
      </c>
      <c r="N29" s="391" t="inlineStr">
        <is>
          <t>No</t>
        </is>
      </c>
      <c r="O29" s="392" t="n">
        <v>65</v>
      </c>
      <c r="P29" s="391" t="inlineStr">
        <is>
          <t>AED</t>
        </is>
      </c>
      <c r="Q29" s="385">
        <f>IF($B29="","",IF($P29&lt;&gt;"AED",0,IF($F29="Income",$O29,IF($F29="Expense",-$O29,0))))</f>
        <v>-65.0</v>
      </c>
      <c r="R29" s="561" t="n"/>
      <c r="S29" s="304" t="inlineStr">
        <is>
          <t>Yes</t>
        </is>
      </c>
      <c r="T29" s="368" t="n"/>
      <c r="U29" s="381" t="inlineStr">
        <is>
          <t>2026-08-08 15:45</t>
        </is>
      </c>
    </row>
    <row r="30" ht="15" customHeight="1" s="278">
      <c r="A30" s="399" t="str">
        <f>IF($B30="","","T"&amp;TEXT(ROW()-6,"0000"))</f>
        <v>T24.00</v>
      </c>
      <c r="B30" s="386" t="n">
        <v>46242</v>
      </c>
      <c r="C30" s="399" t="str">
        <f>IF($B30="","",TEXT($B30,"YYYY-MM"))</f>
        <v>2026-08</v>
      </c>
      <c r="D30" s="400">
        <f>IF($B30="","",YEAR($B30))</f>
        <v>2026.0</v>
      </c>
      <c r="E30" s="391" t="inlineStr">
        <is>
          <t>FAB 4001 Current</t>
        </is>
      </c>
      <c r="F30" s="391" t="inlineStr">
        <is>
          <t>Expense</t>
        </is>
      </c>
      <c r="G30" s="391" t="inlineStr">
        <is>
          <t>Lifestyle</t>
        </is>
      </c>
      <c r="H30" s="391" t="inlineStr">
        <is>
          <t>Hotel / leisure</t>
        </is>
      </c>
      <c r="I30" s="391" t="inlineStr">
        <is>
          <t>RTS Business Bay Hotel</t>
        </is>
      </c>
      <c r="J30" s="391" t="inlineStr">
        <is>
          <t>Personal</t>
        </is>
      </c>
      <c r="K30" s="391" t="inlineStr">
        <is>
          <t>Variable</t>
        </is>
      </c>
      <c r="L30" s="391" t="inlineStr">
        <is>
          <t>Non-Essential</t>
        </is>
      </c>
      <c r="M30" s="391" t="inlineStr">
        <is>
          <t>Card</t>
        </is>
      </c>
      <c r="N30" s="391" t="inlineStr">
        <is>
          <t>No</t>
        </is>
      </c>
      <c r="O30" s="392" t="n">
        <v>47.25</v>
      </c>
      <c r="P30" s="391" t="inlineStr">
        <is>
          <t>AED</t>
        </is>
      </c>
      <c r="Q30" s="385">
        <f>IF($B30="","",IF($P30&lt;&gt;"AED",0,IF($F30="Income",$O30,IF($F30="Expense",-$O30,0))))</f>
        <v>-47.25</v>
      </c>
      <c r="R30" s="561" t="n"/>
      <c r="S30" s="304" t="inlineStr">
        <is>
          <t>Yes</t>
        </is>
      </c>
      <c r="T30" s="368" t="n"/>
      <c r="U30" s="381" t="inlineStr">
        <is>
          <t>2026-08-08 17:24</t>
        </is>
      </c>
    </row>
    <row r="31" ht="18.75" customHeight="1" s="278">
      <c r="A31" s="399" t="str">
        <f>IF($B31="","","T"&amp;TEXT(ROW()-6,"0000"))</f>
        <v>T25.00</v>
      </c>
      <c r="B31" s="386" t="n">
        <v>46242</v>
      </c>
      <c r="C31" s="399" t="str">
        <f>IF($B31="","",TEXT($B31,"YYYY-MM"))</f>
        <v>2026-08</v>
      </c>
      <c r="D31" s="400">
        <f>IF($B31="","",YEAR($B31))</f>
        <v>2026.0</v>
      </c>
      <c r="E31" s="391" t="inlineStr">
        <is>
          <t>FAB 4001 Current</t>
        </is>
      </c>
      <c r="F31" s="391" t="inlineStr">
        <is>
          <t>Expense</t>
        </is>
      </c>
      <c r="G31" s="391" t="inlineStr">
        <is>
          <t>Lifestyle</t>
        </is>
      </c>
      <c r="H31" s="391" t="inlineStr">
        <is>
          <t>Hotel / leisure</t>
        </is>
      </c>
      <c r="I31" s="391" t="inlineStr">
        <is>
          <t>RTS Business Bay Hotel</t>
        </is>
      </c>
      <c r="J31" s="391" t="inlineStr">
        <is>
          <t>Personal</t>
        </is>
      </c>
      <c r="K31" s="391" t="inlineStr">
        <is>
          <t>Variable</t>
        </is>
      </c>
      <c r="L31" s="391" t="inlineStr">
        <is>
          <t>Non-Essential</t>
        </is>
      </c>
      <c r="M31" s="391" t="inlineStr">
        <is>
          <t>Card</t>
        </is>
      </c>
      <c r="N31" s="391" t="inlineStr">
        <is>
          <t>No</t>
        </is>
      </c>
      <c r="O31" s="392" t="n">
        <v>274.5</v>
      </c>
      <c r="P31" s="391" t="inlineStr">
        <is>
          <t>AED</t>
        </is>
      </c>
      <c r="Q31" s="385">
        <f>IF($B31="","",IF($P31&lt;&gt;"AED",0,IF($F31="Income",$O31,IF($F31="Expense",-$O31,0))))</f>
        <v>-274.5</v>
      </c>
      <c r="R31" s="561" t="n"/>
      <c r="S31" s="304" t="inlineStr">
        <is>
          <t>Yes</t>
        </is>
      </c>
      <c r="T31" s="368" t="inlineStr">
        <is>
          <t>Third charge same venue same day — AED 386.75 total on 08 Aug</t>
        </is>
      </c>
      <c r="U31" s="381" t="inlineStr">
        <is>
          <t>2026-08-08 17:42</t>
        </is>
      </c>
    </row>
    <row r="32" ht="15" customHeight="1" s="278">
      <c r="A32" s="399" t="str">
        <f>IF($B32="","","T"&amp;TEXT(ROW()-6,"0000"))</f>
        <v>T26.00</v>
      </c>
      <c r="B32" s="386" t="n">
        <v>46242</v>
      </c>
      <c r="C32" s="399" t="str">
        <f>IF($B32="","",TEXT($B32,"YYYY-MM"))</f>
        <v>2026-08</v>
      </c>
      <c r="D32" s="400">
        <f>IF($B32="","",YEAR($B32))</f>
        <v>2026.0</v>
      </c>
      <c r="E32" s="391" t="inlineStr">
        <is>
          <t>FAB 4001 Current</t>
        </is>
      </c>
      <c r="F32" s="391" t="inlineStr">
        <is>
          <t>Expense</t>
        </is>
      </c>
      <c r="G32" s="391" t="inlineStr">
        <is>
          <t>Lifestyle</t>
        </is>
      </c>
      <c r="H32" s="391" t="inlineStr">
        <is>
          <t>Convenience store</t>
        </is>
      </c>
      <c r="I32" s="391" t="inlineStr">
        <is>
          <t>Asas Al Madina General</t>
        </is>
      </c>
      <c r="J32" s="391" t="inlineStr">
        <is>
          <t>Personal</t>
        </is>
      </c>
      <c r="K32" s="391" t="inlineStr">
        <is>
          <t>Variable</t>
        </is>
      </c>
      <c r="L32" s="391" t="inlineStr">
        <is>
          <t>Non-Essential</t>
        </is>
      </c>
      <c r="M32" s="391" t="inlineStr">
        <is>
          <t>Card</t>
        </is>
      </c>
      <c r="N32" s="391" t="inlineStr">
        <is>
          <t>No</t>
        </is>
      </c>
      <c r="O32" s="392" t="n">
        <v>20.5</v>
      </c>
      <c r="P32" s="391" t="inlineStr">
        <is>
          <t>AED</t>
        </is>
      </c>
      <c r="Q32" s="385">
        <f>IF($B32="","",IF($P32&lt;&gt;"AED",0,IF($F32="Income",$O32,IF($F32="Expense",-$O32,0))))</f>
        <v>-20.5</v>
      </c>
      <c r="R32" s="561" t="n"/>
      <c r="S32" s="304" t="inlineStr">
        <is>
          <t>Yes</t>
        </is>
      </c>
      <c r="T32" s="368" t="n"/>
      <c r="U32" s="381" t="inlineStr">
        <is>
          <t>2026-08-08 20:03</t>
        </is>
      </c>
    </row>
    <row r="33" ht="15" customHeight="1" s="278">
      <c r="A33" s="399" t="str">
        <f>IF($B33="","","T"&amp;TEXT(ROW()-6,"0000"))</f>
        <v>T27.00</v>
      </c>
      <c r="B33" s="386" t="n">
        <v>46243</v>
      </c>
      <c r="C33" s="399" t="str">
        <f>IF($B33="","",TEXT($B33,"YYYY-MM"))</f>
        <v>2026-08</v>
      </c>
      <c r="D33" s="400">
        <f>IF($B33="","",YEAR($B33))</f>
        <v>2026.0</v>
      </c>
      <c r="E33" s="391" t="inlineStr">
        <is>
          <t>FAB 4001 Current</t>
        </is>
      </c>
      <c r="F33" s="391" t="inlineStr">
        <is>
          <t>Expense</t>
        </is>
      </c>
      <c r="G33" s="391" t="inlineStr">
        <is>
          <t>Food &amp; Dining</t>
        </is>
      </c>
      <c r="H33" s="391" t="inlineStr">
        <is>
          <t>Restaurant</t>
        </is>
      </c>
      <c r="I33" s="391" t="inlineStr">
        <is>
          <t>Salkara / Team Taste</t>
        </is>
      </c>
      <c r="J33" s="391" t="inlineStr">
        <is>
          <t>Household</t>
        </is>
      </c>
      <c r="K33" s="391" t="inlineStr">
        <is>
          <t>Variable</t>
        </is>
      </c>
      <c r="L33" s="391" t="inlineStr">
        <is>
          <t>Non-Essential</t>
        </is>
      </c>
      <c r="M33" s="391" t="inlineStr">
        <is>
          <t>Card</t>
        </is>
      </c>
      <c r="N33" s="391" t="inlineStr">
        <is>
          <t>No</t>
        </is>
      </c>
      <c r="O33" s="392" t="n">
        <v>101.5</v>
      </c>
      <c r="P33" s="391" t="inlineStr">
        <is>
          <t>AED</t>
        </is>
      </c>
      <c r="Q33" s="385">
        <f>IF($B33="","",IF($P33&lt;&gt;"AED",0,IF($F33="Income",$O33,IF($F33="Expense",-$O33,0))))</f>
        <v>-101.5</v>
      </c>
      <c r="R33" s="561" t="n"/>
      <c r="S33" s="304" t="inlineStr">
        <is>
          <t>Yes</t>
        </is>
      </c>
      <c r="T33" s="368" t="n"/>
      <c r="U33" s="381" t="inlineStr">
        <is>
          <t>2026-08-09 09:43</t>
        </is>
      </c>
    </row>
    <row r="34" ht="15" customHeight="1" s="278">
      <c r="A34" s="399" t="str">
        <f>IF($B34="","","T"&amp;TEXT(ROW()-6,"0000"))</f>
        <v>T28.00</v>
      </c>
      <c r="B34" s="386" t="n">
        <v>46243</v>
      </c>
      <c r="C34" s="399" t="str">
        <f>IF($B34="","",TEXT($B34,"YYYY-MM"))</f>
        <v>2026-08</v>
      </c>
      <c r="D34" s="400">
        <f>IF($B34="","",YEAR($B34))</f>
        <v>2026.0</v>
      </c>
      <c r="E34" s="391" t="inlineStr">
        <is>
          <t>FAB 4001 Current</t>
        </is>
      </c>
      <c r="F34" s="391" t="inlineStr">
        <is>
          <t>Expense</t>
        </is>
      </c>
      <c r="G34" s="391" t="inlineStr">
        <is>
          <t>Lifestyle</t>
        </is>
      </c>
      <c r="H34" s="391" t="inlineStr">
        <is>
          <t>Convenience store</t>
        </is>
      </c>
      <c r="I34" s="391" t="inlineStr">
        <is>
          <t>Shams Al Qusais Grocery</t>
        </is>
      </c>
      <c r="J34" s="391" t="inlineStr">
        <is>
          <t>Personal</t>
        </is>
      </c>
      <c r="K34" s="391" t="inlineStr">
        <is>
          <t>Variable</t>
        </is>
      </c>
      <c r="L34" s="391" t="inlineStr">
        <is>
          <t>Non-Essential</t>
        </is>
      </c>
      <c r="M34" s="391" t="inlineStr">
        <is>
          <t>Card</t>
        </is>
      </c>
      <c r="N34" s="391" t="inlineStr">
        <is>
          <t>No</t>
        </is>
      </c>
      <c r="O34" s="392" t="n">
        <v>10</v>
      </c>
      <c r="P34" s="391" t="inlineStr">
        <is>
          <t>AED</t>
        </is>
      </c>
      <c r="Q34" s="385">
        <f>IF($B34="","",IF($P34&lt;&gt;"AED",0,IF($F34="Income",$O34,IF($F34="Expense",-$O34,0))))</f>
        <v>-10.0</v>
      </c>
      <c r="R34" s="561" t="n"/>
      <c r="S34" s="304" t="inlineStr">
        <is>
          <t>Yes</t>
        </is>
      </c>
      <c r="T34" s="368" t="n"/>
      <c r="U34" s="381" t="inlineStr">
        <is>
          <t>2026-08-09 15:37</t>
        </is>
      </c>
    </row>
    <row r="35" ht="15" customHeight="1" s="278">
      <c r="A35" s="399" t="str">
        <f>IF($B35="","","T"&amp;TEXT(ROW()-6,"0000"))</f>
        <v>T29.00</v>
      </c>
      <c r="B35" s="386" t="n">
        <v>46243</v>
      </c>
      <c r="C35" s="399" t="str">
        <f>IF($B35="","",TEXT($B35,"YYYY-MM"))</f>
        <v>2026-08</v>
      </c>
      <c r="D35" s="400">
        <f>IF($B35="","",YEAR($B35))</f>
        <v>2026.0</v>
      </c>
      <c r="E35" s="391" t="inlineStr">
        <is>
          <t>FAB 4001 Current</t>
        </is>
      </c>
      <c r="F35" s="391" t="inlineStr">
        <is>
          <t>Expense</t>
        </is>
      </c>
      <c r="G35" s="391" t="inlineStr">
        <is>
          <t>Transport</t>
        </is>
      </c>
      <c r="H35" s="391" t="inlineStr">
        <is>
          <t>Fuel</t>
        </is>
      </c>
      <c r="I35" s="391" t="inlineStr">
        <is>
          <t>ENOC Site 1006</t>
        </is>
      </c>
      <c r="J35" s="391" t="inlineStr">
        <is>
          <t>Household</t>
        </is>
      </c>
      <c r="K35" s="391" t="inlineStr">
        <is>
          <t>Variable</t>
        </is>
      </c>
      <c r="L35" s="391" t="inlineStr">
        <is>
          <t>Essential</t>
        </is>
      </c>
      <c r="M35" s="391" t="inlineStr">
        <is>
          <t>Card</t>
        </is>
      </c>
      <c r="N35" s="391" t="inlineStr">
        <is>
          <t>No</t>
        </is>
      </c>
      <c r="O35" s="392" t="n">
        <v>50</v>
      </c>
      <c r="P35" s="391" t="inlineStr">
        <is>
          <t>AED</t>
        </is>
      </c>
      <c r="Q35" s="385">
        <f>IF($B35="","",IF($P35&lt;&gt;"AED",0,IF($F35="Income",$O35,IF($F35="Expense",-$O35,0))))</f>
        <v>-50.0</v>
      </c>
      <c r="R35" s="561" t="n"/>
      <c r="S35" s="304" t="inlineStr">
        <is>
          <t>Yes</t>
        </is>
      </c>
      <c r="T35" s="368" t="n"/>
      <c r="U35" s="381" t="inlineStr">
        <is>
          <t>2026-08-09 15:49</t>
        </is>
      </c>
    </row>
    <row r="36" ht="15" customHeight="1" s="278">
      <c r="A36" s="399" t="str">
        <f>IF($B36="","","T"&amp;TEXT(ROW()-6,"0000"))</f>
        <v>T30.00</v>
      </c>
      <c r="B36" s="386" t="n">
        <v>46244</v>
      </c>
      <c r="C36" s="399" t="str">
        <f>IF($B36="","",TEXT($B36,"YYYY-MM"))</f>
        <v>2026-08</v>
      </c>
      <c r="D36" s="400">
        <f>IF($B36="","",YEAR($B36))</f>
        <v>2026.0</v>
      </c>
      <c r="E36" s="391" t="inlineStr">
        <is>
          <t>FAB 4001 Current</t>
        </is>
      </c>
      <c r="F36" s="391" t="inlineStr">
        <is>
          <t>Expense</t>
        </is>
      </c>
      <c r="G36" s="391" t="inlineStr">
        <is>
          <t>Lifestyle</t>
        </is>
      </c>
      <c r="H36" s="391" t="inlineStr">
        <is>
          <t>Fuel / convenience</t>
        </is>
      </c>
      <c r="I36" s="391" t="inlineStr">
        <is>
          <t>Emarat Nad Al Hamar</t>
        </is>
      </c>
      <c r="J36" s="391" t="inlineStr">
        <is>
          <t>Personal</t>
        </is>
      </c>
      <c r="K36" s="391" t="inlineStr">
        <is>
          <t>Variable</t>
        </is>
      </c>
      <c r="L36" s="391" t="inlineStr">
        <is>
          <t>Non-Essential</t>
        </is>
      </c>
      <c r="M36" s="391" t="inlineStr">
        <is>
          <t>Card</t>
        </is>
      </c>
      <c r="N36" s="391" t="inlineStr">
        <is>
          <t>No</t>
        </is>
      </c>
      <c r="O36" s="392" t="n">
        <v>13.5</v>
      </c>
      <c r="P36" s="391" t="inlineStr">
        <is>
          <t>AED</t>
        </is>
      </c>
      <c r="Q36" s="385">
        <f>IF($B36="","",IF($P36&lt;&gt;"AED",0,IF($F36="Income",$O36,IF($F36="Expense",-$O36,0))))</f>
        <v>-13.5</v>
      </c>
      <c r="R36" s="561" t="n"/>
      <c r="S36" s="304" t="inlineStr">
        <is>
          <t>Yes</t>
        </is>
      </c>
      <c r="T36" s="368" t="n"/>
      <c r="U36" s="381" t="inlineStr">
        <is>
          <t>2026-08-10 07:49</t>
        </is>
      </c>
    </row>
    <row r="37" ht="15" customHeight="1" s="278">
      <c r="A37" s="399" t="str">
        <f>IF($B37="","","T"&amp;TEXT(ROW()-6,"0000"))</f>
        <v>T31.00</v>
      </c>
      <c r="B37" s="386" t="n">
        <v>46244</v>
      </c>
      <c r="C37" s="399" t="str">
        <f>IF($B37="","",TEXT($B37,"YYYY-MM"))</f>
        <v>2026-08</v>
      </c>
      <c r="D37" s="400">
        <f>IF($B37="","",YEAR($B37))</f>
        <v>2026.0</v>
      </c>
      <c r="E37" s="391" t="inlineStr">
        <is>
          <t>FAB 4001 Current</t>
        </is>
      </c>
      <c r="F37" s="391" t="inlineStr">
        <is>
          <t>Expense</t>
        </is>
      </c>
      <c r="G37" s="391" t="inlineStr">
        <is>
          <t>Food &amp; Dining</t>
        </is>
      </c>
      <c r="H37" s="391" t="inlineStr">
        <is>
          <t>Restaurant</t>
        </is>
      </c>
      <c r="I37" s="391" t="inlineStr">
        <is>
          <t>Jamahir Al Khair Restaurant</t>
        </is>
      </c>
      <c r="J37" s="391" t="inlineStr">
        <is>
          <t>Household</t>
        </is>
      </c>
      <c r="K37" s="391" t="inlineStr">
        <is>
          <t>Variable</t>
        </is>
      </c>
      <c r="L37" s="391" t="inlineStr">
        <is>
          <t>Non-Essential</t>
        </is>
      </c>
      <c r="M37" s="391" t="inlineStr">
        <is>
          <t>Card</t>
        </is>
      </c>
      <c r="N37" s="391" t="inlineStr">
        <is>
          <t>No</t>
        </is>
      </c>
      <c r="O37" s="392" t="n">
        <v>27</v>
      </c>
      <c r="P37" s="391" t="inlineStr">
        <is>
          <t>AED</t>
        </is>
      </c>
      <c r="Q37" s="385">
        <f>IF($B37="","",IF($P37&lt;&gt;"AED",0,IF($F37="Income",$O37,IF($F37="Expense",-$O37,0))))</f>
        <v>-27.0</v>
      </c>
      <c r="R37" s="561" t="n"/>
      <c r="S37" s="304" t="inlineStr">
        <is>
          <t>Yes</t>
        </is>
      </c>
      <c r="T37" s="368" t="n"/>
      <c r="U37" s="381" t="inlineStr">
        <is>
          <t>2026-08-10 10:37</t>
        </is>
      </c>
    </row>
    <row r="38" ht="15" customHeight="1" s="278">
      <c r="A38" s="399" t="str">
        <f>IF($B38="","","T"&amp;TEXT(ROW()-6,"0000"))</f>
        <v>T32.00</v>
      </c>
      <c r="B38" s="386" t="n">
        <v>46244</v>
      </c>
      <c r="C38" s="399" t="str">
        <f>IF($B38="","",TEXT($B38,"YYYY-MM"))</f>
        <v>2026-08</v>
      </c>
      <c r="D38" s="400">
        <f>IF($B38="","",YEAR($B38))</f>
        <v>2026.0</v>
      </c>
      <c r="E38" s="391" t="inlineStr">
        <is>
          <t>FAB 4001 Current</t>
        </is>
      </c>
      <c r="F38" s="391" t="inlineStr">
        <is>
          <t>Expense</t>
        </is>
      </c>
      <c r="G38" s="391" t="inlineStr">
        <is>
          <t>Groceries</t>
        </is>
      </c>
      <c r="H38" s="391" t="inlineStr">
        <is>
          <t>Grocery</t>
        </is>
      </c>
      <c r="I38" s="391" t="inlineStr">
        <is>
          <t>Asas Al Madina General</t>
        </is>
      </c>
      <c r="J38" s="391" t="inlineStr">
        <is>
          <t>Household</t>
        </is>
      </c>
      <c r="K38" s="391" t="inlineStr">
        <is>
          <t>Variable</t>
        </is>
      </c>
      <c r="L38" s="391" t="inlineStr">
        <is>
          <t>Essential</t>
        </is>
      </c>
      <c r="M38" s="391" t="inlineStr">
        <is>
          <t>Card</t>
        </is>
      </c>
      <c r="N38" s="391" t="inlineStr">
        <is>
          <t>No</t>
        </is>
      </c>
      <c r="O38" s="392" t="n">
        <v>23</v>
      </c>
      <c r="P38" s="391" t="inlineStr">
        <is>
          <t>AED</t>
        </is>
      </c>
      <c r="Q38" s="385">
        <f>IF($B38="","",IF($P38&lt;&gt;"AED",0,IF($F38="Income",$O38,IF($F38="Expense",-$O38,0))))</f>
        <v>-23.0</v>
      </c>
      <c r="R38" s="561" t="n"/>
      <c r="S38" s="304" t="inlineStr">
        <is>
          <t>Yes</t>
        </is>
      </c>
      <c r="T38" s="368" t="n"/>
      <c r="U38" s="381" t="inlineStr">
        <is>
          <t>2026-08-10 13:29</t>
        </is>
      </c>
    </row>
    <row r="39" ht="15" customHeight="1" s="278">
      <c r="A39" s="399" t="str">
        <f>IF($B39="","","T"&amp;TEXT(ROW()-6,"0000"))</f>
        <v>T33.00</v>
      </c>
      <c r="B39" s="386" t="n">
        <v>46244</v>
      </c>
      <c r="C39" s="399" t="str">
        <f>IF($B39="","",TEXT($B39,"YYYY-MM"))</f>
        <v>2026-08</v>
      </c>
      <c r="D39" s="400">
        <f>IF($B39="","",YEAR($B39))</f>
        <v>2026.0</v>
      </c>
      <c r="E39" s="391" t="inlineStr">
        <is>
          <t>FAB 4001 Current</t>
        </is>
      </c>
      <c r="F39" s="391" t="inlineStr">
        <is>
          <t>Expense</t>
        </is>
      </c>
      <c r="G39" s="391" t="inlineStr">
        <is>
          <t>Food &amp; Dining</t>
        </is>
      </c>
      <c r="H39" s="391" t="inlineStr">
        <is>
          <t>Delivery</t>
        </is>
      </c>
      <c r="I39" s="391" t="inlineStr">
        <is>
          <t>Zomato</t>
        </is>
      </c>
      <c r="J39" s="391" t="inlineStr">
        <is>
          <t>Household</t>
        </is>
      </c>
      <c r="K39" s="391" t="inlineStr">
        <is>
          <t>Variable</t>
        </is>
      </c>
      <c r="L39" s="391" t="inlineStr">
        <is>
          <t>Non-Essential</t>
        </is>
      </c>
      <c r="M39" s="391" t="inlineStr">
        <is>
          <t>Card</t>
        </is>
      </c>
      <c r="N39" s="391" t="inlineStr">
        <is>
          <t>No</t>
        </is>
      </c>
      <c r="O39" s="392" t="n">
        <v>66.52</v>
      </c>
      <c r="P39" s="391" t="inlineStr">
        <is>
          <t>AED</t>
        </is>
      </c>
      <c r="Q39" s="385">
        <f>IF($B39="","",IF($P39&lt;&gt;"AED",0,IF($F39="Income",$O39,IF($F39="Expense",-$O39,0))))</f>
        <v>-66.52</v>
      </c>
      <c r="R39" s="561" t="n"/>
      <c r="S39" s="304" t="inlineStr">
        <is>
          <t>Yes</t>
        </is>
      </c>
      <c r="T39" s="368" t="n"/>
      <c r="U39" s="381" t="inlineStr">
        <is>
          <t>2026-08-10 15:51</t>
        </is>
      </c>
    </row>
    <row r="40" ht="15" customHeight="1" s="278">
      <c r="A40" s="399" t="str">
        <f>IF($B40="","","T"&amp;TEXT(ROW()-6,"0000"))</f>
        <v>T34.00</v>
      </c>
      <c r="B40" s="386" t="n">
        <v>46244</v>
      </c>
      <c r="C40" s="399" t="str">
        <f>IF($B40="","",TEXT($B40,"YYYY-MM"))</f>
        <v>2026-08</v>
      </c>
      <c r="D40" s="400">
        <f>IF($B40="","",YEAR($B40))</f>
        <v>2026.0</v>
      </c>
      <c r="E40" s="391" t="inlineStr">
        <is>
          <t>ICICI (INR)</t>
        </is>
      </c>
      <c r="F40" s="391" t="inlineStr">
        <is>
          <t>Expense</t>
        </is>
      </c>
      <c r="G40" s="391" t="inlineStr">
        <is>
          <t>Investments</t>
        </is>
      </c>
      <c r="H40" s="391" t="inlineStr">
        <is>
          <t>Nippon SIP</t>
        </is>
      </c>
      <c r="I40" s="391" t="inlineStr">
        <is>
          <t>Four Nippon SIPs INR 12,000</t>
        </is>
      </c>
      <c r="J40" s="391" t="inlineStr">
        <is>
          <t>Financial</t>
        </is>
      </c>
      <c r="K40" s="391" t="inlineStr">
        <is>
          <t>Fixed</t>
        </is>
      </c>
      <c r="L40" s="391" t="inlineStr">
        <is>
          <t>Essential</t>
        </is>
      </c>
      <c r="M40" s="391" t="inlineStr">
        <is>
          <t>Auto-debit</t>
        </is>
      </c>
      <c r="N40" s="391" t="inlineStr">
        <is>
          <t>Yes</t>
        </is>
      </c>
      <c r="O40" s="392" t="n">
        <v>12000</v>
      </c>
      <c r="P40" s="391" t="inlineStr">
        <is>
          <t>INR</t>
        </is>
      </c>
      <c r="Q40" s="385">
        <f>IF($B40="","",IF($P40&lt;&gt;"AED",0,IF($F40="Income",$O40,IF($F40="Expense",-$O40,0))))</f>
        <v>0.0</v>
      </c>
      <c r="R40" s="561" t="inlineStr">
        <is>
          <t>Nippon SIP Aug</t>
        </is>
      </c>
      <c r="S40" s="304" t="inlineStr">
        <is>
          <t>Yes</t>
        </is>
      </c>
      <c r="T40" s="368" t="inlineStr">
        <is>
          <t>INR — excluded from AED cash impact by design</t>
        </is>
      </c>
      <c r="U40" s="381" t="inlineStr">
        <is>
          <t>2026-08-10</t>
        </is>
      </c>
    </row>
    <row r="41" ht="15" customHeight="1" s="278">
      <c r="A41" s="399" t="str">
        <f>IF($B41="","","T"&amp;TEXT(ROW()-6,"0000"))</f>
        <v>T35.00</v>
      </c>
      <c r="B41" s="386" t="n">
        <v>46245</v>
      </c>
      <c r="C41" s="399" t="str">
        <f>IF($B41="","",TEXT($B41,"YYYY-MM"))</f>
        <v>2026-08</v>
      </c>
      <c r="D41" s="400">
        <f>IF($B41="","",YEAR($B41))</f>
        <v>2026.0</v>
      </c>
      <c r="E41" s="391" t="inlineStr">
        <is>
          <t>FAB 4001 Current</t>
        </is>
      </c>
      <c r="F41" s="391" t="inlineStr">
        <is>
          <t>Transfer In</t>
        </is>
      </c>
      <c r="G41" s="391" t="inlineStr">
        <is>
          <t>Internal Transfer</t>
        </is>
      </c>
      <c r="H41" s="391" t="inlineStr">
        <is>
          <t>Refund of duplicate</t>
        </is>
      </c>
      <c r="I41" s="391" t="inlineStr">
        <is>
          <t>Duplicate e&amp; Money transfer refund</t>
        </is>
      </c>
      <c r="J41" s="391" t="inlineStr">
        <is>
          <t>Internal</t>
        </is>
      </c>
      <c r="K41" s="391" t="inlineStr">
        <is>
          <t>Variable</t>
        </is>
      </c>
      <c r="L41" s="391" t="inlineStr">
        <is>
          <t>Essential</t>
        </is>
      </c>
      <c r="M41" s="391" t="inlineStr">
        <is>
          <t>Transfer</t>
        </is>
      </c>
      <c r="N41" s="391" t="inlineStr">
        <is>
          <t>No</t>
        </is>
      </c>
      <c r="O41" s="392" t="n">
        <v>100</v>
      </c>
      <c r="P41" s="391" t="inlineStr">
        <is>
          <t>AED</t>
        </is>
      </c>
      <c r="Q41" s="385">
        <f>IF($B41="","",IF($P41&lt;&gt;"AED",0,IF($F41="Income",$O41,IF($F41="Expense",-$O41,0))))</f>
        <v>0.0</v>
      </c>
      <c r="R41" s="561" t="n"/>
      <c r="S41" s="304" t="inlineStr">
        <is>
          <t>Yes</t>
        </is>
      </c>
      <c r="T41" s="368" t="inlineStr">
        <is>
          <t>Refund — never income</t>
        </is>
      </c>
      <c r="U41" s="381" t="inlineStr">
        <is>
          <t>2026-08-11 08:00</t>
        </is>
      </c>
    </row>
    <row r="42" ht="18.75" customHeight="1" s="278">
      <c r="A42" s="399" t="str">
        <f>IF($B42="","","T"&amp;TEXT(ROW()-6,"0000"))</f>
        <v>T36.00</v>
      </c>
      <c r="B42" s="386" t="n">
        <v>46245</v>
      </c>
      <c r="C42" s="399" t="str">
        <f>IF($B42="","",TEXT($B42,"YYYY-MM"))</f>
        <v>2026-08</v>
      </c>
      <c r="D42" s="400">
        <f>IF($B42="","",YEAR($B42))</f>
        <v>2026.0</v>
      </c>
      <c r="E42" s="391" t="inlineStr">
        <is>
          <t>FAB 4001 Current</t>
        </is>
      </c>
      <c r="F42" s="391" t="inlineStr">
        <is>
          <t>Expense</t>
        </is>
      </c>
      <c r="G42" s="391" t="inlineStr">
        <is>
          <t>Lifestyle</t>
        </is>
      </c>
      <c r="H42" s="391" t="inlineStr">
        <is>
          <t>Convenience store</t>
        </is>
      </c>
      <c r="I42" s="391" t="inlineStr">
        <is>
          <t>Asas Al Madina General</t>
        </is>
      </c>
      <c r="J42" s="391" t="inlineStr">
        <is>
          <t>Personal</t>
        </is>
      </c>
      <c r="K42" s="391" t="inlineStr">
        <is>
          <t>Variable</t>
        </is>
      </c>
      <c r="L42" s="391" t="inlineStr">
        <is>
          <t>Non-Essential</t>
        </is>
      </c>
      <c r="M42" s="391" t="inlineStr">
        <is>
          <t>Card</t>
        </is>
      </c>
      <c r="N42" s="391" t="inlineStr">
        <is>
          <t>No</t>
        </is>
      </c>
      <c r="O42" s="392" t="n">
        <v>14</v>
      </c>
      <c r="P42" s="391" t="inlineStr">
        <is>
          <t>AED</t>
        </is>
      </c>
      <c r="Q42" s="385">
        <f>IF($B42="","",IF($P42&lt;&gt;"AED",0,IF($F42="Income",$O42,IF($F42="Expense",-$O42,0))))</f>
        <v>-14.0</v>
      </c>
      <c r="R42" s="381" t="n"/>
      <c r="S42" s="304" t="inlineStr">
        <is>
          <t>Yes</t>
        </is>
      </c>
      <c r="T42" s="368" t="inlineStr">
        <is>
          <t>Card XXXX1599 · balance after AED 245.09 — confirms FAB 4001 is the spending account</t>
        </is>
      </c>
      <c r="U42" s="381" t="inlineStr">
        <is>
          <t>2026-08-11 10:02</t>
        </is>
      </c>
    </row>
    <row r="43" ht="39.75" customHeight="1" s="278">
      <c r="A43" s="399" t="str">
        <f>IF($B43="","","T"&amp;TEXT(ROW()-6,"0000"))</f>
        <v>T37.00</v>
      </c>
      <c r="B43" s="386" t="n">
        <v>46246</v>
      </c>
      <c r="C43" s="399" t="str">
        <f>IF($B43="","",TEXT($B43,"YYYY-MM"))</f>
        <v>2026-08</v>
      </c>
      <c r="D43" s="400">
        <f>IF($B43="","",YEAR($B43))</f>
        <v>2026.0</v>
      </c>
      <c r="E43" s="391" t="inlineStr">
        <is>
          <t>FAB 4001 Current</t>
        </is>
      </c>
      <c r="F43" s="391" t="inlineStr">
        <is>
          <t>Income</t>
        </is>
      </c>
      <c r="G43" s="391" t="inlineStr">
        <is>
          <t>Refund / Reimbursement</t>
        </is>
      </c>
      <c r="H43" s="391" t="inlineStr">
        <is>
          <t>Combined remittance</t>
        </is>
      </c>
      <c r="I43" s="391" t="inlineStr">
        <is>
          <t>Rent refund (1,430) + advance salary 2nd portion (1,540)</t>
        </is>
      </c>
      <c r="J43" s="391" t="inlineStr">
        <is>
          <t>Income</t>
        </is>
      </c>
      <c r="K43" s="391" t="inlineStr">
        <is>
          <t>Variable</t>
        </is>
      </c>
      <c r="L43" s="391" t="inlineStr">
        <is>
          <t>Essential</t>
        </is>
      </c>
      <c r="M43" s="391" t="inlineStr">
        <is>
          <t>Bank credit</t>
        </is>
      </c>
      <c r="N43" s="391" t="inlineStr">
        <is>
          <t>No</t>
        </is>
      </c>
      <c r="O43" s="392" t="n">
        <v>3000</v>
      </c>
      <c r="P43" s="391" t="inlineStr">
        <is>
          <t>AED</t>
        </is>
      </c>
      <c r="Q43" s="385">
        <f>IF($B43="","",IF($P43&lt;&gt;"AED",0,IF($F43="Income",$O43,IF($F43="Expense",-$O43,0))))</f>
        <v>3000.0</v>
      </c>
      <c r="R43" s="561" t="n"/>
      <c r="S43" s="401" t="inlineStr">
        <is>
          <t>No</t>
        </is>
      </c>
      <c r="T43" s="302" t="inlineStr">
        <is>
          <t>Bank notification: inward remittance AED 3,000, 12 Aug, balance after AED 3,206.09. Expected 1,430+1,540=2,970 — AED 30 surplus unexplained. Balance also implies ~AED 39 of unlogged spending between 11-12 Aug — REQUIRES VERIFICATION.</t>
        </is>
      </c>
      <c r="U43" s="381" t="inlineStr">
        <is>
          <t>2026-08-12 (bank notification)</t>
        </is>
      </c>
    </row>
    <row r="44" ht="18.75" customHeight="1" s="278">
      <c r="A44" s="399" t="str">
        <f>IF($B44="","","T"&amp;TEXT(ROW()-6,"0000"))</f>
        <v>T38.00</v>
      </c>
      <c r="B44" s="386" t="n">
        <v>46245</v>
      </c>
      <c r="C44" s="399" t="str">
        <f>IF($B44="","",TEXT($B44,"YYYY-MM"))</f>
        <v>2026-08</v>
      </c>
      <c r="D44" s="400">
        <f>IF($B44="","",YEAR($B44))</f>
        <v>2026.0</v>
      </c>
      <c r="E44" s="391" t="inlineStr">
        <is>
          <t>FAB 4001 Current</t>
        </is>
      </c>
      <c r="F44" s="391" t="inlineStr">
        <is>
          <t>Expense</t>
        </is>
      </c>
      <c r="G44" s="391" t="inlineStr">
        <is>
          <t>Lifestyle</t>
        </is>
      </c>
      <c r="H44" s="391" t="inlineStr">
        <is>
          <t>Convenience store</t>
        </is>
      </c>
      <c r="I44" s="391" t="inlineStr">
        <is>
          <t>Asas Al Madina General</t>
        </is>
      </c>
      <c r="J44" s="391" t="inlineStr">
        <is>
          <t>Personal</t>
        </is>
      </c>
      <c r="K44" s="391" t="inlineStr">
        <is>
          <t>Variable</t>
        </is>
      </c>
      <c r="L44" s="391" t="inlineStr">
        <is>
          <t>Non-Essential</t>
        </is>
      </c>
      <c r="M44" s="391" t="inlineStr">
        <is>
          <t>Card</t>
        </is>
      </c>
      <c r="N44" s="391" t="inlineStr">
        <is>
          <t>No</t>
        </is>
      </c>
      <c r="O44" s="392" t="n">
        <v>19</v>
      </c>
      <c r="P44" s="391" t="inlineStr">
        <is>
          <t>AED</t>
        </is>
      </c>
      <c r="Q44" s="385">
        <f>IF($B44="","",IF($P44&lt;&gt;"AED",0,IF($F44="Income",$O44,IF($F44="Expense",-$O44,0))))</f>
        <v>-19.0</v>
      </c>
      <c r="R44" s="381" t="n"/>
      <c r="S44" s="304" t="inlineStr">
        <is>
          <t>Yes</t>
        </is>
      </c>
      <c r="T44" s="368" t="inlineStr">
        <is>
          <t>Card XXXX1599 — confirms the AED 39 balance gap: this + RTA Metro below</t>
        </is>
      </c>
      <c r="U44" s="381" t="inlineStr">
        <is>
          <t>2026-08-11 21:30</t>
        </is>
      </c>
    </row>
    <row r="45" ht="15" customHeight="1" s="278">
      <c r="A45" s="399" t="str">
        <f>IF($B45="","","T"&amp;TEXT(ROW()-6,"0000"))</f>
        <v>T39.00</v>
      </c>
      <c r="B45" s="386" t="n">
        <v>46246</v>
      </c>
      <c r="C45" s="399" t="str">
        <f>IF($B45="","",TEXT($B45,"YYYY-MM"))</f>
        <v>2026-08</v>
      </c>
      <c r="D45" s="400">
        <f>IF($B45="","",YEAR($B45))</f>
        <v>2026.0</v>
      </c>
      <c r="E45" s="391" t="inlineStr">
        <is>
          <t>FAB 4001 Current</t>
        </is>
      </c>
      <c r="F45" s="391" t="inlineStr">
        <is>
          <t>Expense</t>
        </is>
      </c>
      <c r="G45" s="391" t="inlineStr">
        <is>
          <t>Transport</t>
        </is>
      </c>
      <c r="H45" s="391" t="inlineStr">
        <is>
          <t>Nol card top-up</t>
        </is>
      </c>
      <c r="I45" s="391" t="inlineStr">
        <is>
          <t>RTA Dubai Metro TVM</t>
        </is>
      </c>
      <c r="J45" s="391" t="inlineStr">
        <is>
          <t>Household</t>
        </is>
      </c>
      <c r="K45" s="391" t="inlineStr">
        <is>
          <t>Variable</t>
        </is>
      </c>
      <c r="L45" s="391" t="inlineStr">
        <is>
          <t>Essential</t>
        </is>
      </c>
      <c r="M45" s="391" t="inlineStr">
        <is>
          <t>Card</t>
        </is>
      </c>
      <c r="N45" s="391" t="inlineStr">
        <is>
          <t>No</t>
        </is>
      </c>
      <c r="O45" s="392" t="n">
        <v>20</v>
      </c>
      <c r="P45" s="391" t="inlineStr">
        <is>
          <t>AED</t>
        </is>
      </c>
      <c r="Q45" s="385">
        <f>IF($B45="","",IF($P45&lt;&gt;"AED",0,IF($F45="Income",$O45,IF($F45="Expense",-$O45,0))))</f>
        <v>-20.0</v>
      </c>
      <c r="R45" s="381" t="n"/>
      <c r="S45" s="304" t="inlineStr">
        <is>
          <t>Yes</t>
        </is>
      </c>
      <c r="T45" s="368" t="inlineStr">
        <is>
          <t>Card XXXX1599, Nol card top-up</t>
        </is>
      </c>
      <c r="U45" s="381" t="inlineStr">
        <is>
          <t>2026-08-12 06:28</t>
        </is>
      </c>
    </row>
    <row r="46" ht="15" customHeight="1" s="278">
      <c r="A46" s="399" t="str">
        <f>IF($B46="","","T"&amp;TEXT(ROW()-6,"0000"))</f>
        <v>T40.00</v>
      </c>
      <c r="B46" s="386" t="n">
        <v>46246</v>
      </c>
      <c r="C46" s="399" t="str">
        <f>IF($B46="","",TEXT($B46,"YYYY-MM"))</f>
        <v>2026-08</v>
      </c>
      <c r="D46" s="400">
        <f>IF($B46="","",YEAR($B46))</f>
        <v>2026.0</v>
      </c>
      <c r="E46" s="391" t="inlineStr">
        <is>
          <t>FAB 4001 Current</t>
        </is>
      </c>
      <c r="F46" s="391" t="inlineStr">
        <is>
          <t>Transfer Out</t>
        </is>
      </c>
      <c r="G46" s="391" t="inlineStr">
        <is>
          <t>Internal Transfer</t>
        </is>
      </c>
      <c r="H46" s="391" t="inlineStr">
        <is>
          <t>Rent vault funding</t>
        </is>
      </c>
      <c r="I46" s="391" t="inlineStr">
        <is>
          <t>Transfer to FAB 4002 rent vault</t>
        </is>
      </c>
      <c r="J46" s="391" t="inlineStr">
        <is>
          <t>Internal</t>
        </is>
      </c>
      <c r="K46" s="391" t="inlineStr">
        <is>
          <t>Variable</t>
        </is>
      </c>
      <c r="L46" s="391" t="inlineStr">
        <is>
          <t>Essential</t>
        </is>
      </c>
      <c r="M46" s="391" t="inlineStr">
        <is>
          <t>Transfer</t>
        </is>
      </c>
      <c r="N46" s="391" t="inlineStr">
        <is>
          <t>No</t>
        </is>
      </c>
      <c r="O46" s="392" t="n">
        <v>1430</v>
      </c>
      <c r="P46" s="391" t="inlineStr">
        <is>
          <t>AED</t>
        </is>
      </c>
      <c r="Q46" s="385">
        <f>IF($B46="","",IF($P46&lt;&gt;"AED",0,IF($F46="Income",$O46,IF($F46="Expense",-$O46,0))))</f>
        <v>0.0</v>
      </c>
      <c r="R46" s="381" t="n"/>
      <c r="S46" s="304" t="inlineStr">
        <is>
          <t>Yes</t>
        </is>
      </c>
      <c r="T46" s="368" t="inlineStr">
        <is>
          <t>Protecting the refund for rent, per plan</t>
        </is>
      </c>
      <c r="U46" s="381" t="inlineStr">
        <is>
          <t>2026-08-12</t>
        </is>
      </c>
    </row>
    <row r="47" ht="15" customHeight="1" s="278">
      <c r="A47" s="399" t="str">
        <f>IF($B47="","","T"&amp;TEXT(ROW()-6,"0000"))</f>
        <v>T41.00</v>
      </c>
      <c r="B47" s="386" t="n">
        <v>46246</v>
      </c>
      <c r="C47" s="399" t="str">
        <f>IF($B47="","",TEXT($B47,"YYYY-MM"))</f>
        <v>2026-08</v>
      </c>
      <c r="D47" s="400">
        <f>IF($B47="","",YEAR($B47))</f>
        <v>2026.0</v>
      </c>
      <c r="E47" s="391" t="inlineStr">
        <is>
          <t>FAB 4002 Home Expenditure</t>
        </is>
      </c>
      <c r="F47" s="391" t="inlineStr">
        <is>
          <t>Transfer In</t>
        </is>
      </c>
      <c r="G47" s="391" t="inlineStr">
        <is>
          <t>Internal Transfer</t>
        </is>
      </c>
      <c r="H47" s="391" t="inlineStr">
        <is>
          <t>Rent vault funding</t>
        </is>
      </c>
      <c r="I47" s="391" t="inlineStr">
        <is>
          <t>Transfer from FAB 4001</t>
        </is>
      </c>
      <c r="J47" s="391" t="inlineStr">
        <is>
          <t>Internal</t>
        </is>
      </c>
      <c r="K47" s="391" t="inlineStr">
        <is>
          <t>Variable</t>
        </is>
      </c>
      <c r="L47" s="391" t="inlineStr">
        <is>
          <t>Essential</t>
        </is>
      </c>
      <c r="M47" s="391" t="inlineStr">
        <is>
          <t>Transfer</t>
        </is>
      </c>
      <c r="N47" s="391" t="inlineStr">
        <is>
          <t>No</t>
        </is>
      </c>
      <c r="O47" s="392" t="n">
        <v>1430</v>
      </c>
      <c r="P47" s="391" t="inlineStr">
        <is>
          <t>AED</t>
        </is>
      </c>
      <c r="Q47" s="385">
        <f>IF($B47="","",IF($P47&lt;&gt;"AED",0,IF($F47="Income",$O47,IF($F47="Expense",-$O47,0))))</f>
        <v>0.0</v>
      </c>
      <c r="R47" s="381" t="n"/>
      <c r="S47" s="304" t="inlineStr">
        <is>
          <t>Yes</t>
        </is>
      </c>
      <c r="T47" s="381" t="n"/>
      <c r="U47" s="381" t="inlineStr">
        <is>
          <t>2026-08-12</t>
        </is>
      </c>
    </row>
    <row r="48" ht="15" customHeight="1" s="278">
      <c r="A48" s="399" t="str">
        <f>IF($B48="","","T"&amp;TEXT(ROW()-6,"0000"))</f>
        <v>T42.00</v>
      </c>
      <c r="B48" s="386" t="n">
        <v>46246</v>
      </c>
      <c r="C48" s="399" t="str">
        <f>IF($B48="","",TEXT($B48,"YYYY-MM"))</f>
        <v>2026-08</v>
      </c>
      <c r="D48" s="400">
        <f>IF($B48="","",YEAR($B48))</f>
        <v>2026.0</v>
      </c>
      <c r="E48" s="391" t="inlineStr">
        <is>
          <t>FAB 4001 Current</t>
        </is>
      </c>
      <c r="F48" s="391" t="inlineStr">
        <is>
          <t>Transfer Out</t>
        </is>
      </c>
      <c r="G48" s="391" t="inlineStr">
        <is>
          <t>Internal Transfer</t>
        </is>
      </c>
      <c r="H48" s="391" t="inlineStr">
        <is>
          <t>Rent vault funding</t>
        </is>
      </c>
      <c r="I48" s="391" t="inlineStr">
        <is>
          <t>Transfer to FAB 4002</t>
        </is>
      </c>
      <c r="J48" s="391" t="inlineStr">
        <is>
          <t>Internal</t>
        </is>
      </c>
      <c r="K48" s="391" t="inlineStr">
        <is>
          <t>Variable</t>
        </is>
      </c>
      <c r="L48" s="391" t="inlineStr">
        <is>
          <t>Essential</t>
        </is>
      </c>
      <c r="M48" s="391" t="inlineStr">
        <is>
          <t>Transfer</t>
        </is>
      </c>
      <c r="N48" s="391" t="inlineStr">
        <is>
          <t>No</t>
        </is>
      </c>
      <c r="O48" s="392" t="n">
        <v>1576.09</v>
      </c>
      <c r="P48" s="391" t="inlineStr">
        <is>
          <t>AED</t>
        </is>
      </c>
      <c r="Q48" s="385">
        <f>IF($B48="","",IF($P48&lt;&gt;"AED",0,IF($F48="Income",$O48,IF($F48="Expense",-$O48,0))))</f>
        <v>0.0</v>
      </c>
      <c r="R48" s="381" t="n"/>
      <c r="S48" s="304" t="inlineStr">
        <is>
          <t>Yes</t>
        </is>
      </c>
      <c r="T48" s="381" t="n"/>
      <c r="U48" s="381" t="inlineStr">
        <is>
          <t>2026-08-12 16:48</t>
        </is>
      </c>
    </row>
    <row r="49" ht="15" customHeight="1" s="278">
      <c r="A49" s="399" t="str">
        <f>IF($B49="","","T"&amp;TEXT(ROW()-6,"0000"))</f>
        <v>T43.00</v>
      </c>
      <c r="B49" s="386" t="n">
        <v>46246</v>
      </c>
      <c r="C49" s="399" t="str">
        <f>IF($B49="","",TEXT($B49,"YYYY-MM"))</f>
        <v>2026-08</v>
      </c>
      <c r="D49" s="400">
        <f>IF($B49="","",YEAR($B49))</f>
        <v>2026.0</v>
      </c>
      <c r="E49" s="391" t="inlineStr">
        <is>
          <t>FAB 4002 Home Expenditure</t>
        </is>
      </c>
      <c r="F49" s="391" t="inlineStr">
        <is>
          <t>Transfer In</t>
        </is>
      </c>
      <c r="G49" s="391" t="inlineStr">
        <is>
          <t>Internal Transfer</t>
        </is>
      </c>
      <c r="H49" s="391" t="inlineStr">
        <is>
          <t>Rent vault funding</t>
        </is>
      </c>
      <c r="I49" s="391" t="inlineStr">
        <is>
          <t>Transfer from FAB 4001</t>
        </is>
      </c>
      <c r="J49" s="391" t="inlineStr">
        <is>
          <t>Internal</t>
        </is>
      </c>
      <c r="K49" s="391" t="inlineStr">
        <is>
          <t>Variable</t>
        </is>
      </c>
      <c r="L49" s="391" t="inlineStr">
        <is>
          <t>Essential</t>
        </is>
      </c>
      <c r="M49" s="391" t="inlineStr">
        <is>
          <t>Transfer</t>
        </is>
      </c>
      <c r="N49" s="391" t="inlineStr">
        <is>
          <t>No</t>
        </is>
      </c>
      <c r="O49" s="392" t="n">
        <v>1576.09</v>
      </c>
      <c r="P49" s="391" t="inlineStr">
        <is>
          <t>AED</t>
        </is>
      </c>
      <c r="Q49" s="385">
        <f>IF($B49="","",IF($P49&lt;&gt;"AED",0,IF($F49="Income",$O49,IF($F49="Expense",-$O49,0))))</f>
        <v>0.0</v>
      </c>
      <c r="R49" s="381" t="n"/>
      <c r="S49" s="304" t="inlineStr">
        <is>
          <t>Yes</t>
        </is>
      </c>
      <c r="T49" s="381" t="n"/>
      <c r="U49" s="381" t="inlineStr">
        <is>
          <t>2026-08-12 16:48</t>
        </is>
      </c>
    </row>
    <row r="50" ht="15" customHeight="1" s="278">
      <c r="A50" s="399" t="str">
        <f>IF($B50="","","T"&amp;TEXT(ROW()-6,"0000"))</f>
        <v>T44.00</v>
      </c>
      <c r="B50" s="386" t="n">
        <v>46246</v>
      </c>
      <c r="C50" s="399" t="str">
        <f>IF($B50="","",TEXT($B50,"YYYY-MM"))</f>
        <v>2026-08</v>
      </c>
      <c r="D50" s="400">
        <f>IF($B50="","",YEAR($B50))</f>
        <v>2026.0</v>
      </c>
      <c r="E50" s="391" t="inlineStr">
        <is>
          <t>FAB 4001 Current</t>
        </is>
      </c>
      <c r="F50" s="391" t="inlineStr">
        <is>
          <t>Expense</t>
        </is>
      </c>
      <c r="G50" s="391" t="inlineStr">
        <is>
          <t>Food &amp; Dining</t>
        </is>
      </c>
      <c r="H50" s="391" t="inlineStr">
        <is>
          <t>Fast food</t>
        </is>
      </c>
      <c r="I50" s="391" t="inlineStr">
        <is>
          <t>KFC Sharjah</t>
        </is>
      </c>
      <c r="J50" s="391" t="inlineStr">
        <is>
          <t>Household</t>
        </is>
      </c>
      <c r="K50" s="391" t="inlineStr">
        <is>
          <t>Variable</t>
        </is>
      </c>
      <c r="L50" s="391" t="inlineStr">
        <is>
          <t>Non-Essential</t>
        </is>
      </c>
      <c r="M50" s="391" t="inlineStr">
        <is>
          <t>Card</t>
        </is>
      </c>
      <c r="N50" s="391" t="inlineStr">
        <is>
          <t>No</t>
        </is>
      </c>
      <c r="O50" s="392" t="n">
        <v>33</v>
      </c>
      <c r="P50" s="391" t="inlineStr">
        <is>
          <t>AED</t>
        </is>
      </c>
      <c r="Q50" s="385">
        <f>IF($B50="","",IF($P50&lt;&gt;"AED",0,IF($F50="Income",$O50,IF($F50="Expense",-$O50,0))))</f>
        <v>-33.0</v>
      </c>
      <c r="R50" s="381" t="n"/>
      <c r="S50" s="304" t="inlineStr">
        <is>
          <t>Yes</t>
        </is>
      </c>
      <c r="T50" s="381" t="n"/>
      <c r="U50" s="381" t="inlineStr">
        <is>
          <t>2026-08-12 19:30</t>
        </is>
      </c>
    </row>
    <row r="51" ht="15" customHeight="1" s="278">
      <c r="A51" s="399" t="str">
        <f>IF($B51="","","T"&amp;TEXT(ROW()-6,"0000"))</f>
        <v>T45.00</v>
      </c>
      <c r="B51" s="386" t="n">
        <v>46246</v>
      </c>
      <c r="C51" s="399" t="str">
        <f>IF($B51="","",TEXT($B51,"YYYY-MM"))</f>
        <v>2026-08</v>
      </c>
      <c r="D51" s="400">
        <f>IF($B51="","",YEAR($B51))</f>
        <v>2026.0</v>
      </c>
      <c r="E51" s="391" t="inlineStr">
        <is>
          <t>FAB 4001 Current</t>
        </is>
      </c>
      <c r="F51" s="391" t="inlineStr">
        <is>
          <t>Expense</t>
        </is>
      </c>
      <c r="G51" s="391" t="inlineStr">
        <is>
          <t>Food &amp; Dining</t>
        </is>
      </c>
      <c r="H51" s="391" t="inlineStr">
        <is>
          <t>Fast food</t>
        </is>
      </c>
      <c r="I51" s="391" t="inlineStr">
        <is>
          <t>KFC Nad Al Hamar</t>
        </is>
      </c>
      <c r="J51" s="391" t="inlineStr">
        <is>
          <t>Household</t>
        </is>
      </c>
      <c r="K51" s="391" t="inlineStr">
        <is>
          <t>Variable</t>
        </is>
      </c>
      <c r="L51" s="391" t="inlineStr">
        <is>
          <t>Non-Essential</t>
        </is>
      </c>
      <c r="M51" s="391" t="inlineStr">
        <is>
          <t>Card</t>
        </is>
      </c>
      <c r="N51" s="391" t="inlineStr">
        <is>
          <t>No</t>
        </is>
      </c>
      <c r="O51" s="392" t="n">
        <v>1.5</v>
      </c>
      <c r="P51" s="391" t="inlineStr">
        <is>
          <t>AED</t>
        </is>
      </c>
      <c r="Q51" s="385">
        <f>IF($B51="","",IF($P51&lt;&gt;"AED",0,IF($F51="Income",$O51,IF($F51="Expense",-$O51,0))))</f>
        <v>-1.5</v>
      </c>
      <c r="R51" s="381" t="n"/>
      <c r="S51" s="304" t="inlineStr">
        <is>
          <t>Yes</t>
        </is>
      </c>
      <c r="T51" s="381" t="n"/>
      <c r="U51" s="381" t="inlineStr">
        <is>
          <t>2026-08-12 19:43</t>
        </is>
      </c>
    </row>
    <row r="52" ht="15" customHeight="1" s="278">
      <c r="A52" s="399" t="str">
        <f>IF($B52="","","T"&amp;TEXT(ROW()-6,"0000"))</f>
        <v>T46.00</v>
      </c>
      <c r="B52" s="386" t="n">
        <v>46246</v>
      </c>
      <c r="C52" s="399" t="str">
        <f>IF($B52="","",TEXT($B52,"YYYY-MM"))</f>
        <v>2026-08</v>
      </c>
      <c r="D52" s="400">
        <f>IF($B52="","",YEAR($B52))</f>
        <v>2026.0</v>
      </c>
      <c r="E52" s="391" t="inlineStr">
        <is>
          <t>FAB 4001 Current</t>
        </is>
      </c>
      <c r="F52" s="391" t="inlineStr">
        <is>
          <t>Expense</t>
        </is>
      </c>
      <c r="G52" s="391" t="inlineStr">
        <is>
          <t>Lifestyle</t>
        </is>
      </c>
      <c r="H52" s="391" t="inlineStr">
        <is>
          <t>Convenience store</t>
        </is>
      </c>
      <c r="I52" s="391" t="inlineStr">
        <is>
          <t>Asas Al Madina General</t>
        </is>
      </c>
      <c r="J52" s="391" t="inlineStr">
        <is>
          <t>Personal</t>
        </is>
      </c>
      <c r="K52" s="391" t="inlineStr">
        <is>
          <t>Variable</t>
        </is>
      </c>
      <c r="L52" s="391" t="inlineStr">
        <is>
          <t>Non-Essential</t>
        </is>
      </c>
      <c r="M52" s="391" t="inlineStr">
        <is>
          <t>Card</t>
        </is>
      </c>
      <c r="N52" s="391" t="inlineStr">
        <is>
          <t>No</t>
        </is>
      </c>
      <c r="O52" s="392" t="n">
        <v>15</v>
      </c>
      <c r="P52" s="391" t="inlineStr">
        <is>
          <t>AED</t>
        </is>
      </c>
      <c r="Q52" s="385">
        <f>IF($B52="","",IF($P52&lt;&gt;"AED",0,IF($F52="Income",$O52,IF($F52="Expense",-$O52,0))))</f>
        <v>-15.0</v>
      </c>
      <c r="R52" s="381" t="n"/>
      <c r="S52" s="304" t="inlineStr">
        <is>
          <t>Yes</t>
        </is>
      </c>
      <c r="T52" s="381" t="n"/>
      <c r="U52" s="381" t="inlineStr">
        <is>
          <t>2026-08-12 21:19</t>
        </is>
      </c>
    </row>
    <row r="53" ht="15" customHeight="1" s="278">
      <c r="A53" s="399" t="str">
        <f>IF($B53="","","T"&amp;TEXT(ROW()-6,"0000"))</f>
        <v>T47.00</v>
      </c>
      <c r="B53" s="386" t="n">
        <v>46247</v>
      </c>
      <c r="C53" s="399" t="str">
        <f>IF($B53="","",TEXT($B53,"YYYY-MM"))</f>
        <v>2026-08</v>
      </c>
      <c r="D53" s="400">
        <f>IF($B53="","",YEAR($B53))</f>
        <v>2026.0</v>
      </c>
      <c r="E53" s="391" t="inlineStr">
        <is>
          <t>FAB 4001 Current</t>
        </is>
      </c>
      <c r="F53" s="391" t="inlineStr">
        <is>
          <t>Expense</t>
        </is>
      </c>
      <c r="G53" s="391" t="inlineStr">
        <is>
          <t>Food &amp; Dining</t>
        </is>
      </c>
      <c r="H53" s="391" t="inlineStr">
        <is>
          <t>Bakery</t>
        </is>
      </c>
      <c r="I53" s="391" t="inlineStr">
        <is>
          <t>Nad Al Hamar Bakery</t>
        </is>
      </c>
      <c r="J53" s="391" t="inlineStr">
        <is>
          <t>Household</t>
        </is>
      </c>
      <c r="K53" s="391" t="inlineStr">
        <is>
          <t>Variable</t>
        </is>
      </c>
      <c r="L53" s="391" t="inlineStr">
        <is>
          <t>Non-Essential</t>
        </is>
      </c>
      <c r="M53" s="391" t="inlineStr">
        <is>
          <t>Card</t>
        </is>
      </c>
      <c r="N53" s="391" t="inlineStr">
        <is>
          <t>No</t>
        </is>
      </c>
      <c r="O53" s="392" t="n">
        <v>10</v>
      </c>
      <c r="P53" s="391" t="inlineStr">
        <is>
          <t>AED</t>
        </is>
      </c>
      <c r="Q53" s="385">
        <f>IF($B53="","",IF($P53&lt;&gt;"AED",0,IF($F53="Income",$O53,IF($F53="Expense",-$O53,0))))</f>
        <v>-10.0</v>
      </c>
      <c r="R53" s="381" t="n"/>
      <c r="S53" s="304" t="inlineStr">
        <is>
          <t>Yes</t>
        </is>
      </c>
      <c r="T53" s="381" t="n"/>
      <c r="U53" s="381" t="inlineStr">
        <is>
          <t>2026-08-13 20:01</t>
        </is>
      </c>
    </row>
    <row r="54" ht="15" customHeight="1" s="278">
      <c r="A54" s="399" t="str">
        <f>IF($B54="","","T"&amp;TEXT(ROW()-6,"0000"))</f>
        <v>T48.00</v>
      </c>
      <c r="B54" s="386" t="n">
        <v>46247</v>
      </c>
      <c r="C54" s="399" t="str">
        <f>IF($B54="","",TEXT($B54,"YYYY-MM"))</f>
        <v>2026-08</v>
      </c>
      <c r="D54" s="400">
        <f>IF($B54="","",YEAR($B54))</f>
        <v>2026.0</v>
      </c>
      <c r="E54" s="391" t="inlineStr">
        <is>
          <t>FAB 4001 Current</t>
        </is>
      </c>
      <c r="F54" s="391" t="inlineStr">
        <is>
          <t>Expense</t>
        </is>
      </c>
      <c r="G54" s="391" t="inlineStr">
        <is>
          <t>Lifestyle</t>
        </is>
      </c>
      <c r="H54" s="391" t="inlineStr">
        <is>
          <t>Convenience store</t>
        </is>
      </c>
      <c r="I54" s="391" t="inlineStr">
        <is>
          <t>Asas Al Madina General</t>
        </is>
      </c>
      <c r="J54" s="391" t="inlineStr">
        <is>
          <t>Personal</t>
        </is>
      </c>
      <c r="K54" s="391" t="inlineStr">
        <is>
          <t>Variable</t>
        </is>
      </c>
      <c r="L54" s="391" t="inlineStr">
        <is>
          <t>Non-Essential</t>
        </is>
      </c>
      <c r="M54" s="391" t="inlineStr">
        <is>
          <t>Card</t>
        </is>
      </c>
      <c r="N54" s="391" t="inlineStr">
        <is>
          <t>No</t>
        </is>
      </c>
      <c r="O54" s="392" t="n">
        <v>14</v>
      </c>
      <c r="P54" s="391" t="inlineStr">
        <is>
          <t>AED</t>
        </is>
      </c>
      <c r="Q54" s="385">
        <f>IF($B54="","",IF($P54&lt;&gt;"AED",0,IF($F54="Income",$O54,IF($F54="Expense",-$O54,0))))</f>
        <v>-14.0</v>
      </c>
      <c r="R54" s="381" t="n"/>
      <c r="S54" s="304" t="inlineStr">
        <is>
          <t>Yes</t>
        </is>
      </c>
      <c r="T54" s="381" t="n"/>
      <c r="U54" s="381" t="inlineStr">
        <is>
          <t>2026-08-13 20:59</t>
        </is>
      </c>
    </row>
    <row r="55" ht="15" customHeight="1" s="278">
      <c r="A55" s="399" t="str">
        <f>IF($B55="","","T"&amp;TEXT(ROW()-6,"0000"))</f>
        <v>T49.00</v>
      </c>
      <c r="B55" s="386" t="n">
        <v>46248</v>
      </c>
      <c r="C55" s="399" t="str">
        <f>IF($B55="","",TEXT($B55,"YYYY-MM"))</f>
        <v>2026-08</v>
      </c>
      <c r="D55" s="400">
        <f>IF($B55="","",YEAR($B55))</f>
        <v>2026.0</v>
      </c>
      <c r="E55" s="391" t="inlineStr">
        <is>
          <t>FAB 4001 Current</t>
        </is>
      </c>
      <c r="F55" s="391" t="inlineStr">
        <is>
          <t>Expense</t>
        </is>
      </c>
      <c r="G55" s="391" t="inlineStr">
        <is>
          <t>Lifestyle</t>
        </is>
      </c>
      <c r="H55" s="391" t="inlineStr">
        <is>
          <t>Convenience store</t>
        </is>
      </c>
      <c r="I55" s="391" t="inlineStr">
        <is>
          <t>Emarat Nad Al Hamar</t>
        </is>
      </c>
      <c r="J55" s="391" t="inlineStr">
        <is>
          <t>Personal</t>
        </is>
      </c>
      <c r="K55" s="391" t="inlineStr">
        <is>
          <t>Variable</t>
        </is>
      </c>
      <c r="L55" s="391" t="inlineStr">
        <is>
          <t>Non-Essential</t>
        </is>
      </c>
      <c r="M55" s="391" t="inlineStr">
        <is>
          <t>Card</t>
        </is>
      </c>
      <c r="N55" s="391" t="inlineStr">
        <is>
          <t>No</t>
        </is>
      </c>
      <c r="O55" s="392" t="n">
        <v>13.5</v>
      </c>
      <c r="P55" s="391" t="inlineStr">
        <is>
          <t>AED</t>
        </is>
      </c>
      <c r="Q55" s="385">
        <f>IF($B55="","",IF($P55&lt;&gt;"AED",0,IF($F55="Income",$O55,IF($F55="Expense",-$O55,0))))</f>
        <v>-13.5</v>
      </c>
      <c r="R55" s="381" t="n"/>
      <c r="S55" s="304" t="inlineStr">
        <is>
          <t>Yes</t>
        </is>
      </c>
      <c r="T55" s="381" t="n"/>
      <c r="U55" s="381" t="inlineStr">
        <is>
          <t>2026-08-14 18:08</t>
        </is>
      </c>
    </row>
    <row r="56" ht="15" customHeight="1" s="278">
      <c r="A56" s="399" t="str">
        <f>IF($B56="","","T"&amp;TEXT(ROW()-6,"0000"))</f>
        <v>T50.00</v>
      </c>
      <c r="B56" s="386" t="n">
        <v>46248</v>
      </c>
      <c r="C56" s="399" t="str">
        <f>IF($B56="","",TEXT($B56,"YYYY-MM"))</f>
        <v>2026-08</v>
      </c>
      <c r="D56" s="400">
        <f>IF($B56="","",YEAR($B56))</f>
        <v>2026.0</v>
      </c>
      <c r="E56" s="391" t="inlineStr">
        <is>
          <t>FAB 4001 Current</t>
        </is>
      </c>
      <c r="F56" s="391" t="inlineStr">
        <is>
          <t>Expense</t>
        </is>
      </c>
      <c r="G56" s="391" t="inlineStr">
        <is>
          <t>Transport</t>
        </is>
      </c>
      <c r="H56" s="391" t="inlineStr">
        <is>
          <t>Fuel</t>
        </is>
      </c>
      <c r="I56" s="391" t="inlineStr">
        <is>
          <t>Emarat 6192 Nad Al Hamar</t>
        </is>
      </c>
      <c r="J56" s="391" t="inlineStr">
        <is>
          <t>Household</t>
        </is>
      </c>
      <c r="K56" s="391" t="inlineStr">
        <is>
          <t>Variable</t>
        </is>
      </c>
      <c r="L56" s="391" t="inlineStr">
        <is>
          <t>Essential</t>
        </is>
      </c>
      <c r="M56" s="391" t="inlineStr">
        <is>
          <t>Card</t>
        </is>
      </c>
      <c r="N56" s="391" t="inlineStr">
        <is>
          <t>No</t>
        </is>
      </c>
      <c r="O56" s="392" t="n">
        <v>50</v>
      </c>
      <c r="P56" s="391" t="inlineStr">
        <is>
          <t>AED</t>
        </is>
      </c>
      <c r="Q56" s="385">
        <f>IF($B56="","",IF($P56&lt;&gt;"AED",0,IF($F56="Income",$O56,IF($F56="Expense",-$O56,0))))</f>
        <v>-50.0</v>
      </c>
      <c r="R56" s="381" t="n"/>
      <c r="S56" s="304" t="inlineStr">
        <is>
          <t>Yes</t>
        </is>
      </c>
      <c r="T56" s="381" t="n"/>
      <c r="U56" s="381" t="inlineStr">
        <is>
          <t>2026-08-14 18:11</t>
        </is>
      </c>
    </row>
    <row r="57" ht="15" customHeight="1" s="278">
      <c r="A57" s="399" t="str">
        <f>IF($B57="","","T"&amp;TEXT(ROW()-6,"0000"))</f>
        <v>T51.00</v>
      </c>
      <c r="B57" s="386" t="n">
        <v>46249</v>
      </c>
      <c r="C57" s="399" t="str">
        <f>IF($B57="","",TEXT($B57,"YYYY-MM"))</f>
        <v>2026-08</v>
      </c>
      <c r="D57" s="400">
        <f>IF($B57="","",YEAR($B57))</f>
        <v>2026.0</v>
      </c>
      <c r="E57" s="391" t="inlineStr">
        <is>
          <t>FAB 4001 Current</t>
        </is>
      </c>
      <c r="F57" s="391" t="inlineStr">
        <is>
          <t>Expense</t>
        </is>
      </c>
      <c r="G57" s="391" t="inlineStr">
        <is>
          <t>Lifestyle</t>
        </is>
      </c>
      <c r="H57" s="391" t="inlineStr">
        <is>
          <t>Small purchase</t>
        </is>
      </c>
      <c r="I57" s="391" t="inlineStr">
        <is>
          <t>Jackson Trading Co LLC</t>
        </is>
      </c>
      <c r="J57" s="391" t="inlineStr">
        <is>
          <t>Personal</t>
        </is>
      </c>
      <c r="K57" s="391" t="inlineStr">
        <is>
          <t>Variable</t>
        </is>
      </c>
      <c r="L57" s="391" t="inlineStr">
        <is>
          <t>Non-Essential</t>
        </is>
      </c>
      <c r="M57" s="391" t="inlineStr">
        <is>
          <t>Card</t>
        </is>
      </c>
      <c r="N57" s="391" t="inlineStr">
        <is>
          <t>No</t>
        </is>
      </c>
      <c r="O57" s="392" t="n">
        <v>2</v>
      </c>
      <c r="P57" s="391" t="inlineStr">
        <is>
          <t>AED</t>
        </is>
      </c>
      <c r="Q57" s="385">
        <f>IF($B57="","",IF($P57&lt;&gt;"AED",0,IF($F57="Income",$O57,IF($F57="Expense",-$O57,0))))</f>
        <v>-2.0</v>
      </c>
      <c r="R57" s="381" t="n"/>
      <c r="S57" s="304" t="inlineStr">
        <is>
          <t>Yes</t>
        </is>
      </c>
      <c r="T57" s="381" t="n"/>
      <c r="U57" s="381" t="inlineStr">
        <is>
          <t>2026-08-15 02:31</t>
        </is>
      </c>
    </row>
    <row r="58" ht="15" customHeight="1" s="278">
      <c r="A58" s="399" t="str">
        <f>IF($B58="","","T"&amp;TEXT(ROW()-6,"0000"))</f>
        <v>T52.00</v>
      </c>
      <c r="B58" s="386" t="n">
        <v>46249</v>
      </c>
      <c r="C58" s="399" t="str">
        <f>IF($B58="","",TEXT($B58,"YYYY-MM"))</f>
        <v>2026-08</v>
      </c>
      <c r="D58" s="400">
        <f>IF($B58="","",YEAR($B58))</f>
        <v>2026.0</v>
      </c>
      <c r="E58" s="391" t="inlineStr">
        <is>
          <t>FAB 4001 Current</t>
        </is>
      </c>
      <c r="F58" s="391" t="inlineStr">
        <is>
          <t>Expense</t>
        </is>
      </c>
      <c r="G58" s="391" t="inlineStr">
        <is>
          <t>Lifestyle</t>
        </is>
      </c>
      <c r="H58" s="391" t="inlineStr">
        <is>
          <t>Small purchase</t>
        </is>
      </c>
      <c r="I58" s="391" t="inlineStr">
        <is>
          <t>Jackson Trading Co LLC</t>
        </is>
      </c>
      <c r="J58" s="391" t="inlineStr">
        <is>
          <t>Personal</t>
        </is>
      </c>
      <c r="K58" s="391" t="inlineStr">
        <is>
          <t>Variable</t>
        </is>
      </c>
      <c r="L58" s="391" t="inlineStr">
        <is>
          <t>Non-Essential</t>
        </is>
      </c>
      <c r="M58" s="391" t="inlineStr">
        <is>
          <t>Card</t>
        </is>
      </c>
      <c r="N58" s="391" t="inlineStr">
        <is>
          <t>No</t>
        </is>
      </c>
      <c r="O58" s="392" t="n">
        <v>3</v>
      </c>
      <c r="P58" s="391" t="inlineStr">
        <is>
          <t>AED</t>
        </is>
      </c>
      <c r="Q58" s="385">
        <f>IF($B58="","",IF($P58&lt;&gt;"AED",0,IF($F58="Income",$O58,IF($F58="Expense",-$O58,0))))</f>
        <v>-3.0</v>
      </c>
      <c r="R58" s="381" t="n"/>
      <c r="S58" s="304" t="inlineStr">
        <is>
          <t>Yes</t>
        </is>
      </c>
      <c r="T58" s="381" t="n"/>
      <c r="U58" s="381" t="inlineStr">
        <is>
          <t>2026-08-15 02:33</t>
        </is>
      </c>
    </row>
    <row r="59" ht="15" customHeight="1" s="278">
      <c r="A59" s="399" t="str">
        <f>IF($B59="","","T"&amp;TEXT(ROW()-6,"0000"))</f>
        <v>T53.00</v>
      </c>
      <c r="B59" s="386" t="n">
        <v>46249</v>
      </c>
      <c r="C59" s="399" t="str">
        <f>IF($B59="","",TEXT($B59,"YYYY-MM"))</f>
        <v>2026-08</v>
      </c>
      <c r="D59" s="400">
        <f>IF($B59="","",YEAR($B59))</f>
        <v>2026.0</v>
      </c>
      <c r="E59" s="391" t="inlineStr">
        <is>
          <t>FAB 4001 Current</t>
        </is>
      </c>
      <c r="F59" s="391" t="inlineStr">
        <is>
          <t>Income</t>
        </is>
      </c>
      <c r="G59" s="391" t="inlineStr">
        <is>
          <t>Internal Transfer</t>
        </is>
      </c>
      <c r="H59" s="391" t="inlineStr">
        <is>
          <t>Vault transfer in</t>
        </is>
      </c>
      <c r="I59" s="391" t="inlineStr">
        <is>
          <t>From FAB 4002</t>
        </is>
      </c>
      <c r="J59" s="391" t="inlineStr">
        <is>
          <t>Internal</t>
        </is>
      </c>
      <c r="K59" s="391" t="inlineStr">
        <is>
          <t>Variable</t>
        </is>
      </c>
      <c r="L59" s="391" t="inlineStr">
        <is>
          <t>Essential</t>
        </is>
      </c>
      <c r="M59" s="391" t="inlineStr">
        <is>
          <t>Transfer</t>
        </is>
      </c>
      <c r="N59" s="391" t="inlineStr">
        <is>
          <t>No</t>
        </is>
      </c>
      <c r="O59" s="392" t="n">
        <v>100</v>
      </c>
      <c r="P59" s="391" t="inlineStr">
        <is>
          <t>AED</t>
        </is>
      </c>
      <c r="Q59" s="385">
        <f>IF($B59="","",IF($P59&lt;&gt;"AED",0,IF($F59="Income",$O59,IF($F59="Expense",-$O59,0))))</f>
        <v>100.0</v>
      </c>
      <c r="R59" s="381" t="n"/>
      <c r="S59" s="304" t="inlineStr">
        <is>
          <t>Yes</t>
        </is>
      </c>
      <c r="T59" s="381" t="n"/>
      <c r="U59" s="381" t="inlineStr">
        <is>
          <t>2026-08-15 09:40</t>
        </is>
      </c>
    </row>
    <row r="60" ht="15" customHeight="1" s="278">
      <c r="A60" s="399" t="str">
        <f>IF($B60="","","T"&amp;TEXT(ROW()-6,"0000"))</f>
        <v>T54.00</v>
      </c>
      <c r="B60" s="386" t="n">
        <v>46249</v>
      </c>
      <c r="C60" s="399" t="str">
        <f>IF($B60="","",TEXT($B60,"YYYY-MM"))</f>
        <v>2026-08</v>
      </c>
      <c r="D60" s="400">
        <f>IF($B60="","",YEAR($B60))</f>
        <v>2026.0</v>
      </c>
      <c r="E60" s="391" t="inlineStr">
        <is>
          <t>FAB 4001 Current</t>
        </is>
      </c>
      <c r="F60" s="391" t="inlineStr">
        <is>
          <t>Expense</t>
        </is>
      </c>
      <c r="G60" s="391" t="inlineStr">
        <is>
          <t>Food &amp; Dining</t>
        </is>
      </c>
      <c r="H60" s="391" t="inlineStr">
        <is>
          <t>Restaurant</t>
        </is>
      </c>
      <c r="I60" s="391" t="inlineStr">
        <is>
          <t>Pak Almadina Restaurant</t>
        </is>
      </c>
      <c r="J60" s="391" t="inlineStr">
        <is>
          <t>Household</t>
        </is>
      </c>
      <c r="K60" s="391" t="inlineStr">
        <is>
          <t>Variable</t>
        </is>
      </c>
      <c r="L60" s="391" t="inlineStr">
        <is>
          <t>Non-Essential</t>
        </is>
      </c>
      <c r="M60" s="391" t="inlineStr">
        <is>
          <t>Card</t>
        </is>
      </c>
      <c r="N60" s="391" t="inlineStr">
        <is>
          <t>No</t>
        </is>
      </c>
      <c r="O60" s="392" t="n">
        <v>60.5</v>
      </c>
      <c r="P60" s="391" t="inlineStr">
        <is>
          <t>AED</t>
        </is>
      </c>
      <c r="Q60" s="385">
        <f>IF($B60="","",IF($P60&lt;&gt;"AED",0,IF($F60="Income",$O60,IF($F60="Expense",-$O60,0))))</f>
        <v>-60.5</v>
      </c>
      <c r="R60" s="381" t="n"/>
      <c r="S60" s="304" t="inlineStr">
        <is>
          <t>Yes</t>
        </is>
      </c>
      <c r="T60" s="381" t="n"/>
      <c r="U60" s="381" t="inlineStr">
        <is>
          <t>2026-08-15 09:59</t>
        </is>
      </c>
    </row>
    <row r="61" ht="15" customHeight="1" s="278">
      <c r="A61" s="399" t="str">
        <f>IF($B61="","","T"&amp;TEXT(ROW()-6,"0000"))</f>
        <v>T55.00</v>
      </c>
      <c r="B61" s="386" t="n">
        <v>46249</v>
      </c>
      <c r="C61" s="399" t="str">
        <f>IF($B61="","",TEXT($B61,"YYYY-MM"))</f>
        <v>2026-08</v>
      </c>
      <c r="D61" s="400">
        <f>IF($B61="","",YEAR($B61))</f>
        <v>2026.0</v>
      </c>
      <c r="E61" s="391" t="inlineStr">
        <is>
          <t>FAB 4001 Current</t>
        </is>
      </c>
      <c r="F61" s="391" t="inlineStr">
        <is>
          <t>Expense</t>
        </is>
      </c>
      <c r="G61" s="391" t="inlineStr">
        <is>
          <t>Other</t>
        </is>
      </c>
      <c r="H61" s="391" t="inlineStr">
        <is>
          <t>Subscription</t>
        </is>
      </c>
      <c r="I61" s="391" t="inlineStr">
        <is>
          <t>Canva (Sydney AU)</t>
        </is>
      </c>
      <c r="J61" s="391" t="inlineStr">
        <is>
          <t>Personal</t>
        </is>
      </c>
      <c r="K61" s="391" t="inlineStr">
        <is>
          <t>Variable</t>
        </is>
      </c>
      <c r="L61" s="391" t="inlineStr">
        <is>
          <t>Non-Essential</t>
        </is>
      </c>
      <c r="M61" s="391" t="inlineStr">
        <is>
          <t>Card</t>
        </is>
      </c>
      <c r="N61" s="391" t="inlineStr">
        <is>
          <t>No</t>
        </is>
      </c>
      <c r="O61" s="392" t="n">
        <v>70</v>
      </c>
      <c r="P61" s="391" t="inlineStr">
        <is>
          <t>AED</t>
        </is>
      </c>
      <c r="Q61" s="385">
        <f>IF($B61="","",IF($P61&lt;&gt;"AED",0,IF($F61="Income",$O61,IF($F61="Expense",-$O61,0))))</f>
        <v>-70.0</v>
      </c>
      <c r="R61" s="381" t="n"/>
      <c r="S61" s="304" t="inlineStr">
        <is>
          <t>Yes</t>
        </is>
      </c>
      <c r="T61" s="381" t="n"/>
      <c r="U61" s="381" t="inlineStr">
        <is>
          <t>2026-08-15 10:15</t>
        </is>
      </c>
    </row>
    <row r="62" ht="15" customHeight="1" s="278">
      <c r="A62" s="399" t="str">
        <f>IF($B62="","","T"&amp;TEXT(ROW()-6,"0000"))</f>
        <v>T56.00</v>
      </c>
      <c r="B62" s="386" t="n">
        <v>46249</v>
      </c>
      <c r="C62" s="399" t="str">
        <f>IF($B62="","",TEXT($B62,"YYYY-MM"))</f>
        <v>2026-08</v>
      </c>
      <c r="D62" s="400">
        <f>IF($B62="","",YEAR($B62))</f>
        <v>2026.0</v>
      </c>
      <c r="E62" s="391" t="inlineStr">
        <is>
          <t>FAB 4001 Current</t>
        </is>
      </c>
      <c r="F62" s="391" t="inlineStr">
        <is>
          <t>Income</t>
        </is>
      </c>
      <c r="G62" s="391" t="inlineStr">
        <is>
          <t>Internal Transfer</t>
        </is>
      </c>
      <c r="H62" s="391" t="inlineStr">
        <is>
          <t>Vault transfer in</t>
        </is>
      </c>
      <c r="I62" s="391" t="inlineStr">
        <is>
          <t>From FAB 4002</t>
        </is>
      </c>
      <c r="J62" s="391" t="inlineStr">
        <is>
          <t>Internal</t>
        </is>
      </c>
      <c r="K62" s="391" t="inlineStr">
        <is>
          <t>Variable</t>
        </is>
      </c>
      <c r="L62" s="391" t="inlineStr">
        <is>
          <t>Essential</t>
        </is>
      </c>
      <c r="M62" s="391" t="inlineStr">
        <is>
          <t>Transfer</t>
        </is>
      </c>
      <c r="N62" s="391" t="inlineStr">
        <is>
          <t>No</t>
        </is>
      </c>
      <c r="O62" s="392" t="n">
        <v>200</v>
      </c>
      <c r="P62" s="391" t="inlineStr">
        <is>
          <t>AED</t>
        </is>
      </c>
      <c r="Q62" s="385">
        <f>IF($B62="","",IF($P62&lt;&gt;"AED",0,IF($F62="Income",$O62,IF($F62="Expense",-$O62,0))))</f>
        <v>200.0</v>
      </c>
      <c r="R62" s="381" t="n"/>
      <c r="S62" s="304" t="inlineStr">
        <is>
          <t>Yes</t>
        </is>
      </c>
      <c r="T62" s="381" t="n"/>
      <c r="U62" s="381" t="inlineStr">
        <is>
          <t>2026-08-15 10:58</t>
        </is>
      </c>
    </row>
    <row r="63" ht="15" customHeight="1" s="278">
      <c r="A63" s="399" t="str">
        <f>IF($B63="","","T"&amp;TEXT(ROW()-6,"0000"))</f>
        <v>T57.00</v>
      </c>
      <c r="B63" s="386" t="n">
        <v>46249</v>
      </c>
      <c r="C63" s="399" t="str">
        <f>IF($B63="","",TEXT($B63,"YYYY-MM"))</f>
        <v>2026-08</v>
      </c>
      <c r="D63" s="400">
        <f>IF($B63="","",YEAR($B63))</f>
        <v>2026.0</v>
      </c>
      <c r="E63" s="391" t="inlineStr">
        <is>
          <t>FAB 4001 Current</t>
        </is>
      </c>
      <c r="F63" s="391" t="inlineStr">
        <is>
          <t>Expense</t>
        </is>
      </c>
      <c r="G63" s="391" t="inlineStr">
        <is>
          <t>Transport</t>
        </is>
      </c>
      <c r="H63" s="391" t="inlineStr">
        <is>
          <t>Fuel</t>
        </is>
      </c>
      <c r="I63" s="391" t="inlineStr">
        <is>
          <t>Emarat 1691 Mutina S</t>
        </is>
      </c>
      <c r="J63" s="391" t="inlineStr">
        <is>
          <t>Household</t>
        </is>
      </c>
      <c r="K63" s="391" t="inlineStr">
        <is>
          <t>Variable</t>
        </is>
      </c>
      <c r="L63" s="391" t="inlineStr">
        <is>
          <t>Essential</t>
        </is>
      </c>
      <c r="M63" s="391" t="inlineStr">
        <is>
          <t>Card</t>
        </is>
      </c>
      <c r="N63" s="391" t="inlineStr">
        <is>
          <t>No</t>
        </is>
      </c>
      <c r="O63" s="392" t="n">
        <v>120.02</v>
      </c>
      <c r="P63" s="391" t="inlineStr">
        <is>
          <t>AED</t>
        </is>
      </c>
      <c r="Q63" s="385">
        <f>IF($B63="","",IF($P63&lt;&gt;"AED",0,IF($F63="Income",$O63,IF($F63="Expense",-$O63,0))))</f>
        <v>-120.02</v>
      </c>
      <c r="R63" s="381" t="n"/>
      <c r="S63" s="304" t="inlineStr">
        <is>
          <t>Yes</t>
        </is>
      </c>
      <c r="T63" s="381" t="n"/>
      <c r="U63" s="381" t="inlineStr">
        <is>
          <t>2026-08-15 10:59</t>
        </is>
      </c>
    </row>
    <row r="64" ht="15" customHeight="1" s="278">
      <c r="A64" s="399" t="str">
        <f>IF($B64="","","T"&amp;TEXT(ROW()-6,"0000"))</f>
        <v>T58.00</v>
      </c>
      <c r="B64" s="386" t="n">
        <v>46249</v>
      </c>
      <c r="C64" s="399" t="str">
        <f>IF($B64="","",TEXT($B64,"YYYY-MM"))</f>
        <v>2026-08</v>
      </c>
      <c r="D64" s="400">
        <f>IF($B64="","",YEAR($B64))</f>
        <v>2026.0</v>
      </c>
      <c r="E64" s="391" t="inlineStr">
        <is>
          <t>FAB 4001 Current</t>
        </is>
      </c>
      <c r="F64" s="391" t="inlineStr">
        <is>
          <t>Expense</t>
        </is>
      </c>
      <c r="G64" s="391" t="inlineStr">
        <is>
          <t>Groceries</t>
        </is>
      </c>
      <c r="H64" s="391" t="inlineStr">
        <is>
          <t>Grocery</t>
        </is>
      </c>
      <c r="I64" s="391" t="inlineStr">
        <is>
          <t>Al Rafah Grocery (Sharjah)</t>
        </is>
      </c>
      <c r="J64" s="391" t="inlineStr">
        <is>
          <t>Household</t>
        </is>
      </c>
      <c r="K64" s="391" t="inlineStr">
        <is>
          <t>Variable</t>
        </is>
      </c>
      <c r="L64" s="391" t="inlineStr">
        <is>
          <t>Essential</t>
        </is>
      </c>
      <c r="M64" s="391" t="inlineStr">
        <is>
          <t>Card</t>
        </is>
      </c>
      <c r="N64" s="391" t="inlineStr">
        <is>
          <t>No</t>
        </is>
      </c>
      <c r="O64" s="392" t="n">
        <v>5.5</v>
      </c>
      <c r="P64" s="391" t="inlineStr">
        <is>
          <t>AED</t>
        </is>
      </c>
      <c r="Q64" s="385">
        <f>IF($B64="","",IF($P64&lt;&gt;"AED",0,IF($F64="Income",$O64,IF($F64="Expense",-$O64,0))))</f>
        <v>-5.5</v>
      </c>
      <c r="R64" s="381" t="n"/>
      <c r="S64" s="304" t="inlineStr">
        <is>
          <t>Yes</t>
        </is>
      </c>
      <c r="T64" s="381" t="n"/>
      <c r="U64" s="381" t="inlineStr">
        <is>
          <t>2026-08-15 11:51</t>
        </is>
      </c>
    </row>
    <row r="65" ht="15" customHeight="1" s="278">
      <c r="A65" s="399" t="str">
        <f>IF($B65="","","T"&amp;TEXT(ROW()-6,"0000"))</f>
        <v>T59.00</v>
      </c>
      <c r="B65" s="386" t="n">
        <v>46250</v>
      </c>
      <c r="C65" s="399" t="str">
        <f>IF($B65="","",TEXT($B65,"YYYY-MM"))</f>
        <v>2026-08</v>
      </c>
      <c r="D65" s="400">
        <f>IF($B65="","",YEAR($B65))</f>
        <v>2026.0</v>
      </c>
      <c r="E65" s="391" t="inlineStr">
        <is>
          <t>FAB 4001 Current</t>
        </is>
      </c>
      <c r="F65" s="391" t="inlineStr">
        <is>
          <t>Expense</t>
        </is>
      </c>
      <c r="G65" s="391" t="inlineStr">
        <is>
          <t>Lifestyle</t>
        </is>
      </c>
      <c r="H65" s="391" t="inlineStr">
        <is>
          <t>Convenience store</t>
        </is>
      </c>
      <c r="I65" s="391" t="inlineStr">
        <is>
          <t>Asas Al Madina General</t>
        </is>
      </c>
      <c r="J65" s="391" t="inlineStr">
        <is>
          <t>Personal</t>
        </is>
      </c>
      <c r="K65" s="391" t="inlineStr">
        <is>
          <t>Variable</t>
        </is>
      </c>
      <c r="L65" s="391" t="inlineStr">
        <is>
          <t>Non-Essential</t>
        </is>
      </c>
      <c r="M65" s="391" t="inlineStr">
        <is>
          <t>Card</t>
        </is>
      </c>
      <c r="N65" s="391" t="inlineStr">
        <is>
          <t>No</t>
        </is>
      </c>
      <c r="O65" s="392" t="n">
        <v>14</v>
      </c>
      <c r="P65" s="391" t="inlineStr">
        <is>
          <t>AED</t>
        </is>
      </c>
      <c r="Q65" s="385">
        <f>IF($B65="","",IF($P65&lt;&gt;"AED",0,IF($F65="Income",$O65,IF($F65="Expense",-$O65,0))))</f>
        <v>-14.0</v>
      </c>
      <c r="R65" s="381" t="n"/>
      <c r="S65" s="304" t="inlineStr">
        <is>
          <t>Yes</t>
        </is>
      </c>
      <c r="T65" s="381" t="n"/>
      <c r="U65" s="381" t="inlineStr">
        <is>
          <t>2026-08-16 09:51</t>
        </is>
      </c>
    </row>
    <row r="66" ht="15" customHeight="1" s="278">
      <c r="A66" s="399" t="str">
        <f>IF($B66="","","T"&amp;TEXT(ROW()-6,"0000"))</f>
        <v>T60.00</v>
      </c>
      <c r="B66" s="386" t="n">
        <v>46250</v>
      </c>
      <c r="C66" s="399" t="str">
        <f>IF($B66="","",TEXT($B66,"YYYY-MM"))</f>
        <v>2026-08</v>
      </c>
      <c r="D66" s="400">
        <f>IF($B66="","",YEAR($B66))</f>
        <v>2026.0</v>
      </c>
      <c r="E66" s="391" t="inlineStr">
        <is>
          <t>FAB 4001 Current</t>
        </is>
      </c>
      <c r="F66" s="391" t="inlineStr">
        <is>
          <t>Expense</t>
        </is>
      </c>
      <c r="G66" s="391" t="inlineStr">
        <is>
          <t>Lifestyle</t>
        </is>
      </c>
      <c r="H66" s="391" t="inlineStr">
        <is>
          <t>Convenience store</t>
        </is>
      </c>
      <c r="I66" s="391" t="inlineStr">
        <is>
          <t>Asas Al Madina General</t>
        </is>
      </c>
      <c r="J66" s="391" t="inlineStr">
        <is>
          <t>Personal</t>
        </is>
      </c>
      <c r="K66" s="391" t="inlineStr">
        <is>
          <t>Variable</t>
        </is>
      </c>
      <c r="L66" s="391" t="inlineStr">
        <is>
          <t>Non-Essential</t>
        </is>
      </c>
      <c r="M66" s="391" t="inlineStr">
        <is>
          <t>Card</t>
        </is>
      </c>
      <c r="N66" s="391" t="inlineStr">
        <is>
          <t>No</t>
        </is>
      </c>
      <c r="O66" s="392" t="n">
        <v>7.3</v>
      </c>
      <c r="P66" s="391" t="inlineStr">
        <is>
          <t>AED</t>
        </is>
      </c>
      <c r="Q66" s="385">
        <f>IF($B66="","",IF($P66&lt;&gt;"AED",0,IF($F66="Income",$O66,IF($F66="Expense",-$O66,0))))</f>
        <v>-7.3</v>
      </c>
      <c r="R66" s="381" t="n"/>
      <c r="S66" s="304" t="inlineStr">
        <is>
          <t>Yes</t>
        </is>
      </c>
      <c r="T66" s="381" t="n"/>
      <c r="U66" s="381" t="inlineStr">
        <is>
          <t>2026-08-16 11:07</t>
        </is>
      </c>
    </row>
    <row r="67" ht="15" customHeight="1" s="278">
      <c r="A67" s="399" t="str">
        <f>IF($B67="","","T"&amp;TEXT(ROW()-6,"0000"))</f>
        <v>T61.00</v>
      </c>
      <c r="B67" s="386" t="n">
        <v>46250</v>
      </c>
      <c r="C67" s="399" t="str">
        <f>IF($B67="","",TEXT($B67,"YYYY-MM"))</f>
        <v>2026-08</v>
      </c>
      <c r="D67" s="400">
        <f>IF($B67="","",YEAR($B67))</f>
        <v>2026.0</v>
      </c>
      <c r="E67" s="391" t="inlineStr">
        <is>
          <t>FAB 4001 Current</t>
        </is>
      </c>
      <c r="F67" s="391" t="inlineStr">
        <is>
          <t>Expense</t>
        </is>
      </c>
      <c r="G67" s="391" t="inlineStr">
        <is>
          <t>Food &amp; Dining</t>
        </is>
      </c>
      <c r="H67" s="391" t="inlineStr">
        <is>
          <t>Restaurant</t>
        </is>
      </c>
      <c r="I67" s="391" t="inlineStr">
        <is>
          <t>Sahil Zam Zam Mandi</t>
        </is>
      </c>
      <c r="J67" s="391" t="inlineStr">
        <is>
          <t>Household</t>
        </is>
      </c>
      <c r="K67" s="391" t="inlineStr">
        <is>
          <t>Variable</t>
        </is>
      </c>
      <c r="L67" s="391" t="inlineStr">
        <is>
          <t>Non-Essential</t>
        </is>
      </c>
      <c r="M67" s="391" t="inlineStr">
        <is>
          <t>Card</t>
        </is>
      </c>
      <c r="N67" s="391" t="inlineStr">
        <is>
          <t>No</t>
        </is>
      </c>
      <c r="O67" s="392" t="n">
        <v>52</v>
      </c>
      <c r="P67" s="391" t="inlineStr">
        <is>
          <t>AED</t>
        </is>
      </c>
      <c r="Q67" s="385">
        <f>IF($B67="","",IF($P67&lt;&gt;"AED",0,IF($F67="Income",$O67,IF($F67="Expense",-$O67,0))))</f>
        <v>-52.0</v>
      </c>
      <c r="R67" s="381" t="n"/>
      <c r="S67" s="304" t="inlineStr">
        <is>
          <t>Yes</t>
        </is>
      </c>
      <c r="T67" s="381" t="n"/>
      <c r="U67" s="381" t="inlineStr">
        <is>
          <t>2026-08-16 16:36</t>
        </is>
      </c>
    </row>
    <row r="68" ht="15" customHeight="1" s="278">
      <c r="A68" s="399" t="str">
        <f>IF($B68="","","T"&amp;TEXT(ROW()-6,"0000"))</f>
        <v>T62.00</v>
      </c>
      <c r="B68" s="386" t="n">
        <v>46250</v>
      </c>
      <c r="C68" s="399" t="str">
        <f>IF($B68="","",TEXT($B68,"YYYY-MM"))</f>
        <v>2026-08</v>
      </c>
      <c r="D68" s="400">
        <f>IF($B68="","",YEAR($B68))</f>
        <v>2026.0</v>
      </c>
      <c r="E68" s="391" t="inlineStr">
        <is>
          <t>FAB 4001 Current</t>
        </is>
      </c>
      <c r="F68" s="391" t="inlineStr">
        <is>
          <t>Expense</t>
        </is>
      </c>
      <c r="G68" s="391" t="inlineStr">
        <is>
          <t>Lifestyle</t>
        </is>
      </c>
      <c r="H68" s="391" t="inlineStr">
        <is>
          <t>Ice cream</t>
        </is>
      </c>
      <c r="I68" s="391" t="inlineStr">
        <is>
          <t>Galadari Ice Cream Co</t>
        </is>
      </c>
      <c r="J68" s="391" t="inlineStr">
        <is>
          <t>Personal</t>
        </is>
      </c>
      <c r="K68" s="391" t="inlineStr">
        <is>
          <t>Variable</t>
        </is>
      </c>
      <c r="L68" s="391" t="inlineStr">
        <is>
          <t>Non-Essential</t>
        </is>
      </c>
      <c r="M68" s="391" t="inlineStr">
        <is>
          <t>Card</t>
        </is>
      </c>
      <c r="N68" s="391" t="inlineStr">
        <is>
          <t>No</t>
        </is>
      </c>
      <c r="O68" s="392" t="n">
        <v>20.01</v>
      </c>
      <c r="P68" s="391" t="inlineStr">
        <is>
          <t>AED</t>
        </is>
      </c>
      <c r="Q68" s="385">
        <f>IF($B68="","",IF($P68&lt;&gt;"AED",0,IF($F68="Income",$O68,IF($F68="Expense",-$O68,0))))</f>
        <v>-20.01</v>
      </c>
      <c r="R68" s="381" t="n"/>
      <c r="S68" s="304" t="inlineStr">
        <is>
          <t>Yes</t>
        </is>
      </c>
      <c r="T68" s="381" t="n"/>
      <c r="U68" s="381" t="inlineStr">
        <is>
          <t>2026-08-16 16:50</t>
        </is>
      </c>
    </row>
    <row r="69" ht="15" customHeight="1" s="278">
      <c r="A69" s="399" t="str">
        <f>IF($B69="","","T"&amp;TEXT(ROW()-6,"0000"))</f>
        <v>T63.00</v>
      </c>
      <c r="B69" s="386" t="n">
        <v>46250</v>
      </c>
      <c r="C69" s="399" t="str">
        <f>IF($B69="","",TEXT($B69,"YYYY-MM"))</f>
        <v>2026-08</v>
      </c>
      <c r="D69" s="400">
        <f>IF($B69="","",YEAR($B69))</f>
        <v>2026.0</v>
      </c>
      <c r="E69" s="391" t="inlineStr">
        <is>
          <t>FAB 4001 Current</t>
        </is>
      </c>
      <c r="F69" s="391" t="inlineStr">
        <is>
          <t>Income</t>
        </is>
      </c>
      <c r="G69" s="391" t="inlineStr">
        <is>
          <t>Internal Transfer</t>
        </is>
      </c>
      <c r="H69" s="391" t="inlineStr">
        <is>
          <t>Vault transfer in</t>
        </is>
      </c>
      <c r="I69" s="391" t="inlineStr">
        <is>
          <t>From FAB 4002</t>
        </is>
      </c>
      <c r="J69" s="391" t="inlineStr">
        <is>
          <t>Internal</t>
        </is>
      </c>
      <c r="K69" s="391" t="inlineStr">
        <is>
          <t>Variable</t>
        </is>
      </c>
      <c r="L69" s="391" t="inlineStr">
        <is>
          <t>Essential</t>
        </is>
      </c>
      <c r="M69" s="391" t="inlineStr">
        <is>
          <t>Transfer</t>
        </is>
      </c>
      <c r="N69" s="391" t="inlineStr">
        <is>
          <t>No</t>
        </is>
      </c>
      <c r="O69" s="392" t="n">
        <v>100</v>
      </c>
      <c r="P69" s="391" t="inlineStr">
        <is>
          <t>AED</t>
        </is>
      </c>
      <c r="Q69" s="385">
        <f>IF($B69="","",IF($P69&lt;&gt;"AED",0,IF($F69="Income",$O69,IF($F69="Expense",-$O69,0))))</f>
        <v>100.0</v>
      </c>
      <c r="R69" s="381" t="n"/>
      <c r="S69" s="304" t="inlineStr">
        <is>
          <t>Yes</t>
        </is>
      </c>
      <c r="T69" s="381" t="n"/>
      <c r="U69" s="381" t="inlineStr">
        <is>
          <t>2026-08-16 16:51</t>
        </is>
      </c>
    </row>
    <row r="70" ht="15" customHeight="1" s="278">
      <c r="A70" s="399" t="str">
        <f>IF($B70="","","T"&amp;TEXT(ROW()-6,"0000"))</f>
        <v>T64.00</v>
      </c>
      <c r="B70" s="386" t="n">
        <v>46250</v>
      </c>
      <c r="C70" s="399" t="str">
        <f>IF($B70="","",TEXT($B70,"YYYY-MM"))</f>
        <v>2026-08</v>
      </c>
      <c r="D70" s="400">
        <f>IF($B70="","",YEAR($B70))</f>
        <v>2026.0</v>
      </c>
      <c r="E70" s="391" t="inlineStr">
        <is>
          <t>FAB 4001 Current</t>
        </is>
      </c>
      <c r="F70" s="391" t="inlineStr">
        <is>
          <t>Expense</t>
        </is>
      </c>
      <c r="G70" s="391" t="inlineStr">
        <is>
          <t>Lifestyle</t>
        </is>
      </c>
      <c r="H70" s="391" t="inlineStr">
        <is>
          <t>Convenience store</t>
        </is>
      </c>
      <c r="I70" s="391" t="inlineStr">
        <is>
          <t>Asas Al Madina General</t>
        </is>
      </c>
      <c r="J70" s="391" t="inlineStr">
        <is>
          <t>Personal</t>
        </is>
      </c>
      <c r="K70" s="391" t="inlineStr">
        <is>
          <t>Variable</t>
        </is>
      </c>
      <c r="L70" s="391" t="inlineStr">
        <is>
          <t>Non-Essential</t>
        </is>
      </c>
      <c r="M70" s="391" t="inlineStr">
        <is>
          <t>Card</t>
        </is>
      </c>
      <c r="N70" s="391" t="inlineStr">
        <is>
          <t>No</t>
        </is>
      </c>
      <c r="O70" s="392" t="n">
        <v>20.5</v>
      </c>
      <c r="P70" s="391" t="inlineStr">
        <is>
          <t>AED</t>
        </is>
      </c>
      <c r="Q70" s="385">
        <f>IF($B70="","",IF($P70&lt;&gt;"AED",0,IF($F70="Income",$O70,IF($F70="Expense",-$O70,0))))</f>
        <v>-20.5</v>
      </c>
      <c r="R70" s="381" t="n"/>
      <c r="S70" s="304" t="inlineStr">
        <is>
          <t>Yes</t>
        </is>
      </c>
      <c r="T70" s="381" t="n"/>
      <c r="U70" s="381" t="inlineStr">
        <is>
          <t>2026-08-16 22:15</t>
        </is>
      </c>
    </row>
    <row r="71" ht="15" customHeight="1" s="278">
      <c r="A71" s="399" t="str">
        <f>IF($B71="","","T"&amp;TEXT(ROW()-6,"0000"))</f>
        <v>T65.00</v>
      </c>
      <c r="B71" s="386" t="n">
        <v>46251</v>
      </c>
      <c r="C71" s="399" t="str">
        <f>IF($B71="","",TEXT($B71,"YYYY-MM"))</f>
        <v>2026-08</v>
      </c>
      <c r="D71" s="400">
        <f>IF($B71="","",YEAR($B71))</f>
        <v>2026.0</v>
      </c>
      <c r="E71" s="391" t="inlineStr">
        <is>
          <t>FAB 4001 Current</t>
        </is>
      </c>
      <c r="F71" s="391" t="inlineStr">
        <is>
          <t>Expense</t>
        </is>
      </c>
      <c r="G71" s="391" t="inlineStr">
        <is>
          <t>Lifestyle</t>
        </is>
      </c>
      <c r="H71" s="391" t="inlineStr">
        <is>
          <t>Convenience store</t>
        </is>
      </c>
      <c r="I71" s="391" t="inlineStr">
        <is>
          <t>Asas Al Madina General</t>
        </is>
      </c>
      <c r="J71" s="391" t="inlineStr">
        <is>
          <t>Personal</t>
        </is>
      </c>
      <c r="K71" s="391" t="inlineStr">
        <is>
          <t>Variable</t>
        </is>
      </c>
      <c r="L71" s="391" t="inlineStr">
        <is>
          <t>Non-Essential</t>
        </is>
      </c>
      <c r="M71" s="391" t="inlineStr">
        <is>
          <t>Card</t>
        </is>
      </c>
      <c r="N71" s="391" t="inlineStr">
        <is>
          <t>No</t>
        </is>
      </c>
      <c r="O71" s="392" t="n">
        <v>14</v>
      </c>
      <c r="P71" s="391" t="inlineStr">
        <is>
          <t>AED</t>
        </is>
      </c>
      <c r="Q71" s="385">
        <f>IF($B71="","",IF($P71&lt;&gt;"AED",0,IF($F71="Income",$O71,IF($F71="Expense",-$O71,0))))</f>
        <v>-14.0</v>
      </c>
      <c r="R71" s="381" t="n"/>
      <c r="S71" s="304" t="inlineStr">
        <is>
          <t>Yes</t>
        </is>
      </c>
      <c r="T71" s="381" t="n"/>
      <c r="U71" s="381" t="inlineStr">
        <is>
          <t>2026-08-17 15:08</t>
        </is>
      </c>
    </row>
    <row r="72" ht="15" customHeight="1" s="278">
      <c r="A72" s="399" t="str">
        <f>IF($B72="","","T"&amp;TEXT(ROW()-6,"0000"))</f>
        <v>T66.00</v>
      </c>
      <c r="B72" s="386" t="n">
        <v>46251</v>
      </c>
      <c r="C72" s="399" t="str">
        <f>IF($B72="","",TEXT($B72,"YYYY-MM"))</f>
        <v>2026-08</v>
      </c>
      <c r="D72" s="400">
        <f>IF($B72="","",YEAR($B72))</f>
        <v>2026.0</v>
      </c>
      <c r="E72" s="391" t="inlineStr">
        <is>
          <t>FAB 4001 Current</t>
        </is>
      </c>
      <c r="F72" s="402" t="inlineStr">
        <is>
          <t>Income</t>
        </is>
      </c>
      <c r="G72" s="402" t="inlineStr">
        <is>
          <t>Refund / Reimbursement</t>
        </is>
      </c>
      <c r="H72" s="402" t="inlineStr">
        <is>
          <t>Canva refund</t>
        </is>
      </c>
      <c r="I72" s="402" t="inlineStr">
        <is>
          <t>Canva (Sydney AU) — refund</t>
        </is>
      </c>
      <c r="J72" s="402" t="inlineStr">
        <is>
          <t>Personal</t>
        </is>
      </c>
      <c r="K72" s="391" t="inlineStr">
        <is>
          <t>Variable</t>
        </is>
      </c>
      <c r="L72" s="391" t="inlineStr">
        <is>
          <t>Essential</t>
        </is>
      </c>
      <c r="M72" s="391" t="inlineStr">
        <is>
          <t>Unknown</t>
        </is>
      </c>
      <c r="N72" s="391" t="inlineStr">
        <is>
          <t>No</t>
        </is>
      </c>
      <c r="O72" s="392" t="n">
        <v>70</v>
      </c>
      <c r="P72" s="391" t="inlineStr">
        <is>
          <t>AED</t>
        </is>
      </c>
      <c r="Q72" s="385">
        <f>IF($B72="","",IF($P72&lt;&gt;"AED",0,IF($F72="Income",$O72,IF($F72="Expense",-$O72,0))))</f>
        <v>70.0</v>
      </c>
      <c r="R72" s="381" t="n"/>
      <c r="S72" s="403" t="inlineStr">
        <is>
          <t>Yes</t>
        </is>
      </c>
      <c r="T72" s="404" t="inlineStr">
        <is>
          <t>Amount matches the 15 Aug Canva charge exactly (70.00). No explicit refund SMS seen, but the exact match is strong evidence — flagged as inferred, not directly confirmed.</t>
        </is>
      </c>
      <c r="U72" s="381" t="inlineStr">
        <is>
          <t>2026-08-17 ~16:00</t>
        </is>
      </c>
    </row>
    <row r="73" ht="15" customHeight="1" s="278">
      <c r="A73" s="399" t="str">
        <f>IF($B73="","","T"&amp;TEXT(ROW()-6,"0000"))</f>
        <v>T67.00</v>
      </c>
      <c r="B73" s="386" t="n">
        <v>46251</v>
      </c>
      <c r="C73" s="399" t="str">
        <f>IF($B73="","",TEXT($B73,"YYYY-MM"))</f>
        <v>2026-08</v>
      </c>
      <c r="D73" s="400">
        <f>IF($B73="","",YEAR($B73))</f>
        <v>2026.0</v>
      </c>
      <c r="E73" s="391" t="inlineStr">
        <is>
          <t>FAB 4001 Current</t>
        </is>
      </c>
      <c r="F73" s="391" t="inlineStr">
        <is>
          <t>Expense</t>
        </is>
      </c>
      <c r="G73" s="391" t="inlineStr">
        <is>
          <t>Food &amp; Dining</t>
        </is>
      </c>
      <c r="H73" s="391" t="inlineStr">
        <is>
          <t>Restaurant</t>
        </is>
      </c>
      <c r="I73" s="391" t="inlineStr">
        <is>
          <t>Spicy Falcon Restaurant</t>
        </is>
      </c>
      <c r="J73" s="391" t="inlineStr">
        <is>
          <t>Household</t>
        </is>
      </c>
      <c r="K73" s="391" t="inlineStr">
        <is>
          <t>Variable</t>
        </is>
      </c>
      <c r="L73" s="391" t="inlineStr">
        <is>
          <t>Non-Essential</t>
        </is>
      </c>
      <c r="M73" s="391" t="inlineStr">
        <is>
          <t>Card</t>
        </is>
      </c>
      <c r="N73" s="391" t="inlineStr">
        <is>
          <t>No</t>
        </is>
      </c>
      <c r="O73" s="392" t="n">
        <v>22</v>
      </c>
      <c r="P73" s="391" t="inlineStr">
        <is>
          <t>AED</t>
        </is>
      </c>
      <c r="Q73" s="385">
        <f>IF($B73="","",IF($P73&lt;&gt;"AED",0,IF($F73="Income",$O73,IF($F73="Expense",-$O73,0))))</f>
        <v>-22.0</v>
      </c>
      <c r="R73" s="381" t="n"/>
      <c r="S73" s="304" t="inlineStr">
        <is>
          <t>Yes</t>
        </is>
      </c>
      <c r="T73" s="381" t="n"/>
      <c r="U73" s="381" t="inlineStr">
        <is>
          <t>2026-08-17 18:01</t>
        </is>
      </c>
    </row>
    <row r="74" ht="15" customHeight="1" s="278">
      <c r="A74" s="399" t="str">
        <f>IF($B74="","","T"&amp;TEXT(ROW()-6,"0000"))</f>
        <v>T68.00</v>
      </c>
      <c r="B74" s="386" t="n">
        <v>46252</v>
      </c>
      <c r="C74" s="399" t="str">
        <f>IF($B74="","",TEXT($B74,"YYYY-MM"))</f>
        <v>2026-08</v>
      </c>
      <c r="D74" s="400">
        <f>IF($B74="","",YEAR($B74))</f>
        <v>2026.0</v>
      </c>
      <c r="E74" s="391" t="inlineStr">
        <is>
          <t>FAB 4001 Current</t>
        </is>
      </c>
      <c r="F74" s="391" t="inlineStr">
        <is>
          <t>Expense</t>
        </is>
      </c>
      <c r="G74" s="391" t="inlineStr">
        <is>
          <t>Other</t>
        </is>
      </c>
      <c r="H74" s="391" t="inlineStr">
        <is>
          <t>Duty free</t>
        </is>
      </c>
      <c r="I74" s="391" t="inlineStr">
        <is>
          <t>Dubai Duty Free</t>
        </is>
      </c>
      <c r="J74" s="391" t="inlineStr">
        <is>
          <t>Personal</t>
        </is>
      </c>
      <c r="K74" s="391" t="inlineStr">
        <is>
          <t>Variable</t>
        </is>
      </c>
      <c r="L74" s="391" t="inlineStr">
        <is>
          <t>Non-Essential</t>
        </is>
      </c>
      <c r="M74" s="391" t="inlineStr">
        <is>
          <t>Card</t>
        </is>
      </c>
      <c r="N74" s="391" t="inlineStr">
        <is>
          <t>No</t>
        </is>
      </c>
      <c r="O74" s="392" t="n">
        <v>13</v>
      </c>
      <c r="P74" s="391" t="inlineStr">
        <is>
          <t>AED</t>
        </is>
      </c>
      <c r="Q74" s="385">
        <f>IF($B74="","",IF($P74&lt;&gt;"AED",0,IF($F74="Income",$O74,IF($F74="Expense",-$O74,0))))</f>
        <v>-13.0</v>
      </c>
      <c r="R74" s="381" t="n"/>
      <c r="S74" s="304" t="inlineStr">
        <is>
          <t>Yes</t>
        </is>
      </c>
      <c r="T74" s="381" t="n"/>
      <c r="U74" s="381" t="inlineStr">
        <is>
          <t>2026-08-18 06:45</t>
        </is>
      </c>
    </row>
    <row r="75" ht="15" customHeight="1" s="278">
      <c r="A75" s="399" t="str">
        <f>IF($B75="","","T"&amp;TEXT(ROW()-6,"0000"))</f>
        <v>T69.00</v>
      </c>
      <c r="B75" s="386" t="n">
        <v>46252</v>
      </c>
      <c r="C75" s="399" t="str">
        <f>IF($B75="","",TEXT($B75,"YYYY-MM"))</f>
        <v>2026-08</v>
      </c>
      <c r="D75" s="400">
        <f>IF($B75="","",YEAR($B75))</f>
        <v>2026.0</v>
      </c>
      <c r="E75" s="391" t="inlineStr">
        <is>
          <t>FAB 4001 Current</t>
        </is>
      </c>
      <c r="F75" s="391" t="inlineStr">
        <is>
          <t>Expense</t>
        </is>
      </c>
      <c r="G75" s="391" t="inlineStr">
        <is>
          <t>Lifestyle</t>
        </is>
      </c>
      <c r="H75" s="391" t="inlineStr">
        <is>
          <t>Small purchase</t>
        </is>
      </c>
      <c r="I75" s="391" t="inlineStr">
        <is>
          <t>Jackson Trading Co</t>
        </is>
      </c>
      <c r="J75" s="391" t="inlineStr">
        <is>
          <t>Personal</t>
        </is>
      </c>
      <c r="K75" s="391" t="inlineStr">
        <is>
          <t>Variable</t>
        </is>
      </c>
      <c r="L75" s="391" t="inlineStr">
        <is>
          <t>Non-Essential</t>
        </is>
      </c>
      <c r="M75" s="391" t="inlineStr">
        <is>
          <t>Card</t>
        </is>
      </c>
      <c r="N75" s="391" t="inlineStr">
        <is>
          <t>No</t>
        </is>
      </c>
      <c r="O75" s="392" t="n">
        <v>3</v>
      </c>
      <c r="P75" s="391" t="inlineStr">
        <is>
          <t>AED</t>
        </is>
      </c>
      <c r="Q75" s="385">
        <f>IF($B75="","",IF($P75&lt;&gt;"AED",0,IF($F75="Income",$O75,IF($F75="Expense",-$O75,0))))</f>
        <v>-3.0</v>
      </c>
      <c r="R75" s="381" t="n"/>
      <c r="S75" s="304" t="inlineStr">
        <is>
          <t>Yes</t>
        </is>
      </c>
      <c r="T75" s="381" t="n"/>
      <c r="U75" s="381" t="inlineStr">
        <is>
          <t>2026-08-18 07:27</t>
        </is>
      </c>
    </row>
    <row r="76" ht="15" customHeight="1" s="278">
      <c r="A76" s="399" t="str">
        <f>IF($B76="","","T"&amp;TEXT(ROW()-6,"0000"))</f>
        <v>T70.00</v>
      </c>
      <c r="B76" s="386" t="n">
        <v>46252</v>
      </c>
      <c r="C76" s="399" t="str">
        <f>IF($B76="","",TEXT($B76,"YYYY-MM"))</f>
        <v>2026-08</v>
      </c>
      <c r="D76" s="400">
        <f>IF($B76="","",YEAR($B76))</f>
        <v>2026.0</v>
      </c>
      <c r="E76" s="391" t="inlineStr">
        <is>
          <t>FAB 4001 Current</t>
        </is>
      </c>
      <c r="F76" s="391" t="inlineStr">
        <is>
          <t>Expense</t>
        </is>
      </c>
      <c r="G76" s="391" t="inlineStr">
        <is>
          <t>Lifestyle</t>
        </is>
      </c>
      <c r="H76" s="391" t="inlineStr">
        <is>
          <t>Small purchase</t>
        </is>
      </c>
      <c r="I76" s="391" t="inlineStr">
        <is>
          <t>Jackson Trading Co</t>
        </is>
      </c>
      <c r="J76" s="391" t="inlineStr">
        <is>
          <t>Personal</t>
        </is>
      </c>
      <c r="K76" s="391" t="inlineStr">
        <is>
          <t>Variable</t>
        </is>
      </c>
      <c r="L76" s="391" t="inlineStr">
        <is>
          <t>Non-Essential</t>
        </is>
      </c>
      <c r="M76" s="391" t="inlineStr">
        <is>
          <t>Card</t>
        </is>
      </c>
      <c r="N76" s="391" t="inlineStr">
        <is>
          <t>No</t>
        </is>
      </c>
      <c r="O76" s="392" t="n">
        <v>2</v>
      </c>
      <c r="P76" s="391" t="inlineStr">
        <is>
          <t>AED</t>
        </is>
      </c>
      <c r="Q76" s="385">
        <f>IF($B76="","",IF($P76&lt;&gt;"AED",0,IF($F76="Income",$O76,IF($F76="Expense",-$O76,0))))</f>
        <v>-2.0</v>
      </c>
      <c r="R76" s="381" t="n"/>
      <c r="S76" s="304" t="inlineStr">
        <is>
          <t>Yes</t>
        </is>
      </c>
      <c r="T76" s="381" t="n"/>
      <c r="U76" s="381" t="inlineStr">
        <is>
          <t>2026-08-18 07:28</t>
        </is>
      </c>
    </row>
    <row r="77" ht="15" customHeight="1" s="278">
      <c r="A77" s="399" t="str">
        <f>IF($B77="","","T"&amp;TEXT(ROW()-6,"0000"))</f>
        <v>T71.00</v>
      </c>
      <c r="B77" s="386" t="n">
        <v>46252</v>
      </c>
      <c r="C77" s="399" t="str">
        <f>IF($B77="","",TEXT($B77,"YYYY-MM"))</f>
        <v>2026-08</v>
      </c>
      <c r="D77" s="400">
        <f>IF($B77="","",YEAR($B77))</f>
        <v>2026.0</v>
      </c>
      <c r="E77" s="391" t="inlineStr">
        <is>
          <t>FAB 4001 Current</t>
        </is>
      </c>
      <c r="F77" s="391" t="inlineStr">
        <is>
          <t>Transfer Out</t>
        </is>
      </c>
      <c r="G77" s="402" t="inlineStr">
        <is>
          <t>Food &amp; Dining</t>
        </is>
      </c>
      <c r="H77" s="402" t="inlineStr">
        <is>
          <t>Food/lifestyle at work</t>
        </is>
      </c>
      <c r="I77" s="402" t="inlineStr">
        <is>
          <t>External remittance to XXXX7801 — food/lifestyle</t>
        </is>
      </c>
      <c r="J77" s="402" t="inlineStr">
        <is>
          <t>Personal</t>
        </is>
      </c>
      <c r="K77" s="391" t="inlineStr">
        <is>
          <t>Variable</t>
        </is>
      </c>
      <c r="L77" s="402" t="inlineStr">
        <is>
          <t>Non-Essential</t>
        </is>
      </c>
      <c r="M77" s="391" t="inlineStr">
        <is>
          <t>Transfer</t>
        </is>
      </c>
      <c r="N77" s="391" t="inlineStr">
        <is>
          <t>No</t>
        </is>
      </c>
      <c r="O77" s="392" t="n">
        <v>50.49</v>
      </c>
      <c r="P77" s="391" t="inlineStr">
        <is>
          <t>AED</t>
        </is>
      </c>
      <c r="Q77" s="385">
        <f>IF($B77="","",IF($P77&lt;&gt;"AED",0,IF($F77="Income",$O77,IF($F77="Expense",-$O77,0))))</f>
        <v>0.0</v>
      </c>
      <c r="R77" s="381" t="n"/>
      <c r="S77" s="304" t="inlineStr">
        <is>
          <t>Yes</t>
        </is>
      </c>
      <c r="T77" s="375" t="inlineStr">
        <is>
          <t>CONFIRMED by owner — personal food/lifestyle spending at work.</t>
        </is>
      </c>
      <c r="U77" s="381" t="inlineStr">
        <is>
          <t>2026-08-18 07:50</t>
        </is>
      </c>
    </row>
    <row r="78" ht="15" customHeight="1" s="278">
      <c r="A78" s="399" t="str">
        <f>IF($B78="","","T"&amp;TEXT(ROW()-6,"0000"))</f>
        <v>T72.00</v>
      </c>
      <c r="B78" s="386" t="n">
        <v>46252</v>
      </c>
      <c r="C78" s="399" t="str">
        <f>IF($B78="","",TEXT($B78,"YYYY-MM"))</f>
        <v>2026-08</v>
      </c>
      <c r="D78" s="400">
        <f>IF($B78="","",YEAR($B78))</f>
        <v>2026.0</v>
      </c>
      <c r="E78" s="391" t="inlineStr">
        <is>
          <t>FAB 4001 Current</t>
        </is>
      </c>
      <c r="F78" s="391" t="inlineStr">
        <is>
          <t>Expense</t>
        </is>
      </c>
      <c r="G78" s="391" t="inlineStr">
        <is>
          <t>Food &amp; Dining</t>
        </is>
      </c>
      <c r="H78" s="391" t="inlineStr">
        <is>
          <t>Restaurant</t>
        </is>
      </c>
      <c r="I78" s="391" t="inlineStr">
        <is>
          <t>Malek Altikka Restaurant</t>
        </is>
      </c>
      <c r="J78" s="391" t="inlineStr">
        <is>
          <t>Household</t>
        </is>
      </c>
      <c r="K78" s="391" t="inlineStr">
        <is>
          <t>Variable</t>
        </is>
      </c>
      <c r="L78" s="391" t="inlineStr">
        <is>
          <t>Non-Essential</t>
        </is>
      </c>
      <c r="M78" s="391" t="inlineStr">
        <is>
          <t>Card</t>
        </is>
      </c>
      <c r="N78" s="391" t="inlineStr">
        <is>
          <t>No</t>
        </is>
      </c>
      <c r="O78" s="392" t="n">
        <v>30</v>
      </c>
      <c r="P78" s="391" t="inlineStr">
        <is>
          <t>AED</t>
        </is>
      </c>
      <c r="Q78" s="385">
        <f>IF($B78="","",IF($P78&lt;&gt;"AED",0,IF($F78="Income",$O78,IF($F78="Expense",-$O78,0))))</f>
        <v>-30.0</v>
      </c>
      <c r="R78" s="381" t="n"/>
      <c r="S78" s="304" t="inlineStr">
        <is>
          <t>Yes</t>
        </is>
      </c>
      <c r="T78" s="381" t="n"/>
      <c r="U78" s="381" t="inlineStr">
        <is>
          <t>2026-08-18 21:34</t>
        </is>
      </c>
    </row>
    <row r="79" ht="15" customHeight="1" s="278">
      <c r="A79" s="399" t="str">
        <f>IF($B79="","","T"&amp;TEXT(ROW()-6,"0000"))</f>
        <v>T73.00</v>
      </c>
      <c r="B79" s="386" t="n">
        <v>46253</v>
      </c>
      <c r="C79" s="399" t="str">
        <f>IF($B79="","",TEXT($B79,"YYYY-MM"))</f>
        <v>2026-08</v>
      </c>
      <c r="D79" s="400">
        <f>IF($B79="","",YEAR($B79))</f>
        <v>2026.0</v>
      </c>
      <c r="E79" s="391" t="inlineStr">
        <is>
          <t>FAB 4001 Current</t>
        </is>
      </c>
      <c r="F79" s="391" t="inlineStr">
        <is>
          <t>Expense</t>
        </is>
      </c>
      <c r="G79" s="391" t="inlineStr">
        <is>
          <t>Transport</t>
        </is>
      </c>
      <c r="H79" s="391" t="inlineStr">
        <is>
          <t>Fuel</t>
        </is>
      </c>
      <c r="I79" s="391" t="inlineStr">
        <is>
          <t>ENOC Site 39</t>
        </is>
      </c>
      <c r="J79" s="391" t="inlineStr">
        <is>
          <t>Household</t>
        </is>
      </c>
      <c r="K79" s="391" t="inlineStr">
        <is>
          <t>Variable</t>
        </is>
      </c>
      <c r="L79" s="391" t="inlineStr">
        <is>
          <t>Essential</t>
        </is>
      </c>
      <c r="M79" s="391" t="inlineStr">
        <is>
          <t>Card</t>
        </is>
      </c>
      <c r="N79" s="391" t="inlineStr">
        <is>
          <t>No</t>
        </is>
      </c>
      <c r="O79" s="392" t="n">
        <v>13.5</v>
      </c>
      <c r="P79" s="391" t="inlineStr">
        <is>
          <t>AED</t>
        </is>
      </c>
      <c r="Q79" s="385">
        <f>IF($B79="","",IF($P79&lt;&gt;"AED",0,IF($F79="Income",$O79,IF($F79="Expense",-$O79,0))))</f>
        <v>-13.5</v>
      </c>
      <c r="R79" s="381" t="n"/>
      <c r="S79" s="304" t="inlineStr">
        <is>
          <t>Yes</t>
        </is>
      </c>
      <c r="T79" s="381" t="n"/>
      <c r="U79" s="381" t="inlineStr">
        <is>
          <t>2026-08-19 06:27</t>
        </is>
      </c>
    </row>
    <row r="80" ht="15" customHeight="1" s="278">
      <c r="A80" s="399" t="str">
        <f>IF($B80="","","T"&amp;TEXT(ROW()-6,"0000"))</f>
        <v>T74.00</v>
      </c>
      <c r="B80" s="386" t="n">
        <v>46253</v>
      </c>
      <c r="C80" s="399" t="str">
        <f>IF($B80="","",TEXT($B80,"YYYY-MM"))</f>
        <v>2026-08</v>
      </c>
      <c r="D80" s="400">
        <f>IF($B80="","",YEAR($B80))</f>
        <v>2026.0</v>
      </c>
      <c r="E80" s="391" t="inlineStr">
        <is>
          <t>FAB 4001 Current</t>
        </is>
      </c>
      <c r="F80" s="391" t="inlineStr">
        <is>
          <t>Income</t>
        </is>
      </c>
      <c r="G80" s="391" t="inlineStr">
        <is>
          <t>Internal Transfer</t>
        </is>
      </c>
      <c r="H80" s="391" t="inlineStr">
        <is>
          <t>Vault transfer in</t>
        </is>
      </c>
      <c r="I80" s="391" t="inlineStr">
        <is>
          <t>From FAB 4002</t>
        </is>
      </c>
      <c r="J80" s="391" t="inlineStr">
        <is>
          <t>Internal</t>
        </is>
      </c>
      <c r="K80" s="391" t="inlineStr">
        <is>
          <t>Variable</t>
        </is>
      </c>
      <c r="L80" s="391" t="inlineStr">
        <is>
          <t>Essential</t>
        </is>
      </c>
      <c r="M80" s="391" t="inlineStr">
        <is>
          <t>Transfer</t>
        </is>
      </c>
      <c r="N80" s="391" t="inlineStr">
        <is>
          <t>No</t>
        </is>
      </c>
      <c r="O80" s="392" t="n">
        <v>60</v>
      </c>
      <c r="P80" s="391" t="inlineStr">
        <is>
          <t>AED</t>
        </is>
      </c>
      <c r="Q80" s="385">
        <f>IF($B80="","",IF($P80&lt;&gt;"AED",0,IF($F80="Income",$O80,IF($F80="Expense",-$O80,0))))</f>
        <v>60.0</v>
      </c>
      <c r="R80" s="381" t="n"/>
      <c r="S80" s="304" t="inlineStr">
        <is>
          <t>Yes</t>
        </is>
      </c>
      <c r="T80" s="381" t="n"/>
      <c r="U80" s="381" t="inlineStr">
        <is>
          <t>2026-08-19 19:24</t>
        </is>
      </c>
    </row>
    <row r="81" ht="15" customHeight="1" s="278">
      <c r="A81" s="399" t="str">
        <f>IF($B81="","","T"&amp;TEXT(ROW()-6,"0000"))</f>
        <v>T75.00</v>
      </c>
      <c r="B81" s="386" t="n">
        <v>46253</v>
      </c>
      <c r="C81" s="399" t="str">
        <f>IF($B81="","",TEXT($B81,"YYYY-MM"))</f>
        <v>2026-08</v>
      </c>
      <c r="D81" s="400">
        <f>IF($B81="","",YEAR($B81))</f>
        <v>2026.0</v>
      </c>
      <c r="E81" s="391" t="inlineStr">
        <is>
          <t>FAB 4001 Current</t>
        </is>
      </c>
      <c r="F81" s="391" t="inlineStr">
        <is>
          <t>Expense</t>
        </is>
      </c>
      <c r="G81" s="391" t="inlineStr">
        <is>
          <t>Transport</t>
        </is>
      </c>
      <c r="H81" s="391" t="inlineStr">
        <is>
          <t>Nol card top-up</t>
        </is>
      </c>
      <c r="I81" s="391" t="inlineStr">
        <is>
          <t>RTA Dubai Metro</t>
        </is>
      </c>
      <c r="J81" s="391" t="inlineStr">
        <is>
          <t>Household</t>
        </is>
      </c>
      <c r="K81" s="391" t="inlineStr">
        <is>
          <t>Variable</t>
        </is>
      </c>
      <c r="L81" s="391" t="inlineStr">
        <is>
          <t>Essential</t>
        </is>
      </c>
      <c r="M81" s="391" t="inlineStr">
        <is>
          <t>Card</t>
        </is>
      </c>
      <c r="N81" s="391" t="inlineStr">
        <is>
          <t>No</t>
        </is>
      </c>
      <c r="O81" s="392" t="n">
        <v>20</v>
      </c>
      <c r="P81" s="391" t="inlineStr">
        <is>
          <t>AED</t>
        </is>
      </c>
      <c r="Q81" s="385">
        <f>IF($B81="","",IF($P81&lt;&gt;"AED",0,IF($F81="Income",$O81,IF($F81="Expense",-$O81,0))))</f>
        <v>-20.0</v>
      </c>
      <c r="R81" s="381" t="n"/>
      <c r="S81" s="304" t="inlineStr">
        <is>
          <t>Yes</t>
        </is>
      </c>
      <c r="T81" s="381" t="n"/>
      <c r="U81" s="381" t="inlineStr">
        <is>
          <t>2026-08-19 19:24</t>
        </is>
      </c>
    </row>
    <row r="82" ht="15" customHeight="1" s="278">
      <c r="A82" s="399" t="str">
        <f>IF($B82="","","T"&amp;TEXT(ROW()-6,"0000"))</f>
        <v>T76.00</v>
      </c>
      <c r="B82" s="386" t="n">
        <v>46253</v>
      </c>
      <c r="C82" s="399" t="str">
        <f>IF($B82="","",TEXT($B82,"YYYY-MM"))</f>
        <v>2026-08</v>
      </c>
      <c r="D82" s="400">
        <f>IF($B82="","",YEAR($B82))</f>
        <v>2026.0</v>
      </c>
      <c r="E82" s="391" t="inlineStr">
        <is>
          <t>FAB 4001 Current</t>
        </is>
      </c>
      <c r="F82" s="391" t="inlineStr">
        <is>
          <t>Expense</t>
        </is>
      </c>
      <c r="G82" s="391" t="inlineStr">
        <is>
          <t>Lifestyle</t>
        </is>
      </c>
      <c r="H82" s="391" t="inlineStr">
        <is>
          <t>Convenience store</t>
        </is>
      </c>
      <c r="I82" s="391" t="inlineStr">
        <is>
          <t>Asas Al Madina General</t>
        </is>
      </c>
      <c r="J82" s="391" t="inlineStr">
        <is>
          <t>Personal</t>
        </is>
      </c>
      <c r="K82" s="391" t="inlineStr">
        <is>
          <t>Variable</t>
        </is>
      </c>
      <c r="L82" s="391" t="inlineStr">
        <is>
          <t>Non-Essential</t>
        </is>
      </c>
      <c r="M82" s="391" t="inlineStr">
        <is>
          <t>Card</t>
        </is>
      </c>
      <c r="N82" s="391" t="inlineStr">
        <is>
          <t>No</t>
        </is>
      </c>
      <c r="O82" s="392" t="n">
        <v>4</v>
      </c>
      <c r="P82" s="391" t="inlineStr">
        <is>
          <t>AED</t>
        </is>
      </c>
      <c r="Q82" s="385">
        <f>IF($B82="","",IF($P82&lt;&gt;"AED",0,IF($F82="Income",$O82,IF($F82="Expense",-$O82,0))))</f>
        <v>-4.0</v>
      </c>
      <c r="R82" s="381" t="n"/>
      <c r="S82" s="304" t="inlineStr">
        <is>
          <t>Yes</t>
        </is>
      </c>
      <c r="T82" s="381" t="n"/>
      <c r="U82" s="381" t="inlineStr">
        <is>
          <t>2026-08-19 23:15</t>
        </is>
      </c>
    </row>
    <row r="83" ht="15" customHeight="1" s="278">
      <c r="A83" s="399" t="str">
        <f>IF($B83="","","T"&amp;TEXT(ROW()-6,"0000"))</f>
        <v>T77.00</v>
      </c>
      <c r="B83" s="386" t="n">
        <v>46254</v>
      </c>
      <c r="C83" s="399" t="str">
        <f>IF($B83="","",TEXT($B83,"YYYY-MM"))</f>
        <v>2026-08</v>
      </c>
      <c r="D83" s="400">
        <f>IF($B83="","",YEAR($B83))</f>
        <v>2026.0</v>
      </c>
      <c r="E83" s="391" t="inlineStr">
        <is>
          <t>FAB 4001 Current</t>
        </is>
      </c>
      <c r="F83" s="391" t="inlineStr">
        <is>
          <t>Expense</t>
        </is>
      </c>
      <c r="G83" s="391" t="inlineStr">
        <is>
          <t>Lifestyle</t>
        </is>
      </c>
      <c r="H83" s="391" t="inlineStr">
        <is>
          <t>Convenience store</t>
        </is>
      </c>
      <c r="I83" s="391" t="inlineStr">
        <is>
          <t>Asas Al Madina General</t>
        </is>
      </c>
      <c r="J83" s="391" t="inlineStr">
        <is>
          <t>Personal</t>
        </is>
      </c>
      <c r="K83" s="391" t="inlineStr">
        <is>
          <t>Variable</t>
        </is>
      </c>
      <c r="L83" s="391" t="inlineStr">
        <is>
          <t>Non-Essential</t>
        </is>
      </c>
      <c r="M83" s="391" t="inlineStr">
        <is>
          <t>Card</t>
        </is>
      </c>
      <c r="N83" s="391" t="inlineStr">
        <is>
          <t>No</t>
        </is>
      </c>
      <c r="O83" s="392" t="n">
        <v>14</v>
      </c>
      <c r="P83" s="391" t="inlineStr">
        <is>
          <t>AED</t>
        </is>
      </c>
      <c r="Q83" s="385">
        <f>IF($B83="","",IF($P83&lt;&gt;"AED",0,IF($F83="Income",$O83,IF($F83="Expense",-$O83,0))))</f>
        <v>-14.0</v>
      </c>
      <c r="R83" s="381" t="n"/>
      <c r="S83" s="304" t="inlineStr">
        <is>
          <t>Yes</t>
        </is>
      </c>
      <c r="T83" s="381" t="n"/>
      <c r="U83" s="381" t="inlineStr">
        <is>
          <t>2026-08-20 17:54</t>
        </is>
      </c>
    </row>
    <row r="84" ht="15" customHeight="1" s="278">
      <c r="A84" s="399" t="str">
        <f>IF($B84="","","T"&amp;TEXT(ROW()-6,"0000"))</f>
        <v>T78.00</v>
      </c>
      <c r="B84" s="386" t="n">
        <v>46254</v>
      </c>
      <c r="C84" s="399" t="str">
        <f>IF($B84="","",TEXT($B84,"YYYY-MM"))</f>
        <v>2026-08</v>
      </c>
      <c r="D84" s="400">
        <f>IF($B84="","",YEAR($B84))</f>
        <v>2026.0</v>
      </c>
      <c r="E84" s="391" t="inlineStr">
        <is>
          <t>FAB 4001 Current</t>
        </is>
      </c>
      <c r="F84" s="391" t="inlineStr">
        <is>
          <t>Expense</t>
        </is>
      </c>
      <c r="G84" s="391" t="inlineStr">
        <is>
          <t>Food &amp; Dining</t>
        </is>
      </c>
      <c r="H84" s="391" t="inlineStr">
        <is>
          <t>Restaurant</t>
        </is>
      </c>
      <c r="I84" s="391" t="inlineStr">
        <is>
          <t>Eat and Drink Restaurant</t>
        </is>
      </c>
      <c r="J84" s="391" t="inlineStr">
        <is>
          <t>Household</t>
        </is>
      </c>
      <c r="K84" s="391" t="inlineStr">
        <is>
          <t>Variable</t>
        </is>
      </c>
      <c r="L84" s="391" t="inlineStr">
        <is>
          <t>Non-Essential</t>
        </is>
      </c>
      <c r="M84" s="391" t="inlineStr">
        <is>
          <t>Card</t>
        </is>
      </c>
      <c r="N84" s="391" t="inlineStr">
        <is>
          <t>No</t>
        </is>
      </c>
      <c r="O84" s="392" t="n">
        <v>12</v>
      </c>
      <c r="P84" s="391" t="inlineStr">
        <is>
          <t>AED</t>
        </is>
      </c>
      <c r="Q84" s="385">
        <f>IF($B84="","",IF($P84&lt;&gt;"AED",0,IF($F84="Income",$O84,IF($F84="Expense",-$O84,0))))</f>
        <v>-12.0</v>
      </c>
      <c r="R84" s="381" t="n"/>
      <c r="S84" s="304" t="inlineStr">
        <is>
          <t>Yes</t>
        </is>
      </c>
      <c r="T84" s="381" t="n"/>
      <c r="U84" s="381" t="inlineStr">
        <is>
          <t>2026-08-20 18:26</t>
        </is>
      </c>
    </row>
    <row r="85" ht="15" customHeight="1" s="278">
      <c r="A85" s="399" t="str">
        <f>IF($B85="","","T"&amp;TEXT(ROW()-6,"0000"))</f>
        <v>T79.00</v>
      </c>
      <c r="B85" s="386" t="n">
        <v>46255</v>
      </c>
      <c r="C85" s="399" t="str">
        <f>IF($B85="","",TEXT($B85,"YYYY-MM"))</f>
        <v>2026-08</v>
      </c>
      <c r="D85" s="400">
        <f>IF($B85="","",YEAR($B85))</f>
        <v>2026.0</v>
      </c>
      <c r="E85" s="391" t="inlineStr">
        <is>
          <t>FAB 4001 Current</t>
        </is>
      </c>
      <c r="F85" s="391" t="inlineStr">
        <is>
          <t>Expense</t>
        </is>
      </c>
      <c r="G85" s="391" t="inlineStr">
        <is>
          <t>Groceries</t>
        </is>
      </c>
      <c r="H85" s="391" t="inlineStr">
        <is>
          <t>Grocery</t>
        </is>
      </c>
      <c r="I85" s="391" t="inlineStr">
        <is>
          <t>S R N Supermarket</t>
        </is>
      </c>
      <c r="J85" s="391" t="inlineStr">
        <is>
          <t>Household</t>
        </is>
      </c>
      <c r="K85" s="391" t="inlineStr">
        <is>
          <t>Variable</t>
        </is>
      </c>
      <c r="L85" s="391" t="inlineStr">
        <is>
          <t>Essential</t>
        </is>
      </c>
      <c r="M85" s="391" t="inlineStr">
        <is>
          <t>Card</t>
        </is>
      </c>
      <c r="N85" s="391" t="inlineStr">
        <is>
          <t>No</t>
        </is>
      </c>
      <c r="O85" s="392" t="n">
        <v>2.99</v>
      </c>
      <c r="P85" s="391" t="inlineStr">
        <is>
          <t>AED</t>
        </is>
      </c>
      <c r="Q85" s="385">
        <f>IF($B85="","",IF($P85&lt;&gt;"AED",0,IF($F85="Income",$O85,IF($F85="Expense",-$O85,0))))</f>
        <v>-2.99</v>
      </c>
      <c r="R85" s="381" t="n"/>
      <c r="S85" s="304" t="inlineStr">
        <is>
          <t>Yes</t>
        </is>
      </c>
      <c r="T85" s="381" t="n"/>
      <c r="U85" s="381" t="inlineStr">
        <is>
          <t>2026-08-21 08:57</t>
        </is>
      </c>
    </row>
    <row r="86" ht="15" customHeight="1" s="278">
      <c r="A86" s="399" t="str">
        <f>IF($B86="","","T"&amp;TEXT(ROW()-6,"0000"))</f>
        <v>T80.00</v>
      </c>
      <c r="B86" s="386" t="n">
        <v>46255</v>
      </c>
      <c r="C86" s="399" t="str">
        <f>IF($B86="","",TEXT($B86,"YYYY-MM"))</f>
        <v>2026-08</v>
      </c>
      <c r="D86" s="400">
        <f>IF($B86="","",YEAR($B86))</f>
        <v>2026.0</v>
      </c>
      <c r="E86" s="391" t="inlineStr">
        <is>
          <t>FAB 4001 Current</t>
        </is>
      </c>
      <c r="F86" s="391" t="inlineStr">
        <is>
          <t>Expense</t>
        </is>
      </c>
      <c r="G86" s="402" t="inlineStr">
        <is>
          <t>Groceries</t>
        </is>
      </c>
      <c r="H86" s="402" t="inlineStr">
        <is>
          <t>Grocery</t>
        </is>
      </c>
      <c r="I86" s="402" t="inlineStr">
        <is>
          <t>S R N Supermarket (2nd purchase)</t>
        </is>
      </c>
      <c r="J86" s="391" t="inlineStr">
        <is>
          <t>Household</t>
        </is>
      </c>
      <c r="K86" s="391" t="inlineStr">
        <is>
          <t>Variable</t>
        </is>
      </c>
      <c r="L86" s="391" t="inlineStr">
        <is>
          <t>Essential</t>
        </is>
      </c>
      <c r="M86" s="391" t="inlineStr">
        <is>
          <t>Unknown</t>
        </is>
      </c>
      <c r="N86" s="391" t="inlineStr">
        <is>
          <t>No</t>
        </is>
      </c>
      <c r="O86" s="392" t="n">
        <v>2.99</v>
      </c>
      <c r="P86" s="391" t="inlineStr">
        <is>
          <t>AED</t>
        </is>
      </c>
      <c r="Q86" s="385">
        <f>IF($B86="","",IF($P86&lt;&gt;"AED",0,IF($F86="Income",$O86,IF($F86="Expense",-$O86,0))))</f>
        <v>-2.99</v>
      </c>
      <c r="R86" s="381" t="n"/>
      <c r="S86" s="304" t="inlineStr">
        <is>
          <t>Yes</t>
        </is>
      </c>
      <c r="T86" s="404" t="inlineStr">
        <is>
          <t>CONFIRMED via SMS — second purchase, same store, 09:31, 34 min after the first.</t>
        </is>
      </c>
      <c r="U86" s="405" t="inlineStr">
        <is>
          <t>2026-08-21 09:31</t>
        </is>
      </c>
    </row>
    <row r="87" ht="15" customHeight="1" s="278">
      <c r="A87" s="399" t="str">
        <f>IF($B87="","","T"&amp;TEXT(ROW()-6,"0000"))</f>
        <v>T81.00</v>
      </c>
      <c r="B87" s="386" t="n">
        <v>46255</v>
      </c>
      <c r="C87" s="399" t="str">
        <f>IF($B87="","",TEXT($B87,"YYYY-MM"))</f>
        <v>2026-08</v>
      </c>
      <c r="D87" s="400">
        <f>IF($B87="","",YEAR($B87))</f>
        <v>2026.0</v>
      </c>
      <c r="E87" s="391" t="inlineStr">
        <is>
          <t>FAB 4001 Current</t>
        </is>
      </c>
      <c r="F87" s="391" t="inlineStr">
        <is>
          <t>Expense</t>
        </is>
      </c>
      <c r="G87" s="391" t="inlineStr">
        <is>
          <t>Lifestyle</t>
        </is>
      </c>
      <c r="H87" s="391" t="inlineStr">
        <is>
          <t>Convenience store</t>
        </is>
      </c>
      <c r="I87" s="391" t="inlineStr">
        <is>
          <t>Asas Al Madina General</t>
        </is>
      </c>
      <c r="J87" s="391" t="inlineStr">
        <is>
          <t>Personal</t>
        </is>
      </c>
      <c r="K87" s="391" t="inlineStr">
        <is>
          <t>Variable</t>
        </is>
      </c>
      <c r="L87" s="391" t="inlineStr">
        <is>
          <t>Non-Essential</t>
        </is>
      </c>
      <c r="M87" s="391" t="inlineStr">
        <is>
          <t>Card</t>
        </is>
      </c>
      <c r="N87" s="391" t="inlineStr">
        <is>
          <t>No</t>
        </is>
      </c>
      <c r="O87" s="392" t="n">
        <v>13.5</v>
      </c>
      <c r="P87" s="391" t="inlineStr">
        <is>
          <t>AED</t>
        </is>
      </c>
      <c r="Q87" s="385">
        <f>IF($B87="","",IF($P87&lt;&gt;"AED",0,IF($F87="Income",$O87,IF($F87="Expense",-$O87,0))))</f>
        <v>-13.5</v>
      </c>
      <c r="R87" s="381" t="n"/>
      <c r="S87" s="304" t="inlineStr">
        <is>
          <t>Yes</t>
        </is>
      </c>
      <c r="T87" s="381" t="n"/>
      <c r="U87" s="381" t="inlineStr">
        <is>
          <t>2026-08-21 12:11</t>
        </is>
      </c>
    </row>
    <row r="88" ht="15" customHeight="1" s="278">
      <c r="A88" s="399" t="str">
        <f>IF($B88="","","T"&amp;TEXT(ROW()-6,"0000"))</f>
        <v>T82.00</v>
      </c>
      <c r="B88" s="386" t="n">
        <v>46256</v>
      </c>
      <c r="C88" s="399" t="str">
        <f>IF($B88="","",TEXT($B88,"YYYY-MM"))</f>
        <v>2026-08</v>
      </c>
      <c r="D88" s="400">
        <f>IF($B88="","",YEAR($B88))</f>
        <v>2026.0</v>
      </c>
      <c r="E88" s="391" t="inlineStr">
        <is>
          <t>FAB 4001 Current</t>
        </is>
      </c>
      <c r="F88" s="402" t="inlineStr">
        <is>
          <t>Income</t>
        </is>
      </c>
      <c r="G88" s="402" t="inlineStr">
        <is>
          <t>Internal Transfer</t>
        </is>
      </c>
      <c r="H88" s="402" t="inlineStr">
        <is>
          <t>Vault transfer in</t>
        </is>
      </c>
      <c r="I88" s="402" t="inlineStr">
        <is>
          <t>From FAB 4002</t>
        </is>
      </c>
      <c r="J88" s="402" t="inlineStr">
        <is>
          <t>Internal</t>
        </is>
      </c>
      <c r="K88" s="391" t="inlineStr">
        <is>
          <t>Variable</t>
        </is>
      </c>
      <c r="L88" s="391" t="inlineStr">
        <is>
          <t>Essential</t>
        </is>
      </c>
      <c r="M88" s="391" t="inlineStr">
        <is>
          <t>Unknown</t>
        </is>
      </c>
      <c r="N88" s="391" t="inlineStr">
        <is>
          <t>No</t>
        </is>
      </c>
      <c r="O88" s="372" t="n">
        <v>100</v>
      </c>
      <c r="P88" s="391" t="inlineStr">
        <is>
          <t>AED</t>
        </is>
      </c>
      <c r="Q88" s="385">
        <f>IF($B88="","",IF($P88&lt;&gt;"AED",0,IF($F88="Income",$O88,IF($F88="Expense",-$O88,0))))</f>
        <v>100.0</v>
      </c>
      <c r="R88" s="381" t="n"/>
      <c r="S88" s="304" t="inlineStr">
        <is>
          <t>Yes</t>
        </is>
      </c>
      <c r="T88" s="404" t="inlineStr">
        <is>
          <t>CONFIRMED via SMS, 21:31</t>
        </is>
      </c>
      <c r="U88" s="405" t="inlineStr">
        <is>
          <t>2026-08-21 21:31</t>
        </is>
      </c>
    </row>
    <row r="89" ht="15" customHeight="1" s="278">
      <c r="A89" s="399" t="str">
        <f>IF($B89="","","T"&amp;TEXT(ROW()-6,"0000"))</f>
        <v>T83.00</v>
      </c>
      <c r="B89" s="386" t="n">
        <v>46256</v>
      </c>
      <c r="C89" s="399" t="str">
        <f>IF($B89="","",TEXT($B89,"YYYY-MM"))</f>
        <v>2026-08</v>
      </c>
      <c r="D89" s="400">
        <f>IF($B89="","",YEAR($B89))</f>
        <v>2026.0</v>
      </c>
      <c r="E89" s="391" t="inlineStr">
        <is>
          <t>FAB 4001 Current</t>
        </is>
      </c>
      <c r="F89" s="391" t="inlineStr">
        <is>
          <t>Expense</t>
        </is>
      </c>
      <c r="G89" s="391" t="inlineStr">
        <is>
          <t>Lifestyle</t>
        </is>
      </c>
      <c r="H89" s="391" t="inlineStr">
        <is>
          <t>Convenience store</t>
        </is>
      </c>
      <c r="I89" s="391" t="inlineStr">
        <is>
          <t>Asas Al Madina General</t>
        </is>
      </c>
      <c r="J89" s="391" t="inlineStr">
        <is>
          <t>Personal</t>
        </is>
      </c>
      <c r="K89" s="391" t="inlineStr">
        <is>
          <t>Variable</t>
        </is>
      </c>
      <c r="L89" s="391" t="inlineStr">
        <is>
          <t>Non-Essential</t>
        </is>
      </c>
      <c r="M89" s="391" t="inlineStr">
        <is>
          <t>Card</t>
        </is>
      </c>
      <c r="N89" s="391" t="inlineStr">
        <is>
          <t>No</t>
        </is>
      </c>
      <c r="O89" s="392" t="n">
        <v>14</v>
      </c>
      <c r="P89" s="391" t="inlineStr">
        <is>
          <t>AED</t>
        </is>
      </c>
      <c r="Q89" s="385">
        <f>IF($B89="","",IF($P89&lt;&gt;"AED",0,IF($F89="Income",$O89,IF($F89="Expense",-$O89,0))))</f>
        <v>-14.0</v>
      </c>
      <c r="R89" s="381" t="n"/>
      <c r="S89" s="304" t="inlineStr">
        <is>
          <t>Yes</t>
        </is>
      </c>
      <c r="T89" s="381" t="n"/>
      <c r="U89" s="381" t="inlineStr">
        <is>
          <t>2026-08-22 11:53</t>
        </is>
      </c>
    </row>
    <row r="90" ht="15" customHeight="1" s="278">
      <c r="A90" s="399" t="str">
        <f>IF($B90="","","T"&amp;TEXT(ROW()-6,"0000"))</f>
        <v>T84.00</v>
      </c>
      <c r="B90" s="386" t="n">
        <v>46256</v>
      </c>
      <c r="C90" s="399" t="str">
        <f>IF($B90="","",TEXT($B90,"YYYY-MM"))</f>
        <v>2026-08</v>
      </c>
      <c r="D90" s="400">
        <f>IF($B90="","",YEAR($B90))</f>
        <v>2026.0</v>
      </c>
      <c r="E90" s="391" t="inlineStr">
        <is>
          <t>FAB 4001 Current</t>
        </is>
      </c>
      <c r="F90" s="391" t="inlineStr">
        <is>
          <t>Income</t>
        </is>
      </c>
      <c r="G90" s="391" t="inlineStr">
        <is>
          <t>Internal Transfer</t>
        </is>
      </c>
      <c r="H90" s="391" t="inlineStr">
        <is>
          <t>Vault transfer in</t>
        </is>
      </c>
      <c r="I90" s="391" t="inlineStr">
        <is>
          <t>From FAB 4002</t>
        </is>
      </c>
      <c r="J90" s="391" t="inlineStr">
        <is>
          <t>Internal</t>
        </is>
      </c>
      <c r="K90" s="391" t="inlineStr">
        <is>
          <t>Variable</t>
        </is>
      </c>
      <c r="L90" s="391" t="inlineStr">
        <is>
          <t>Essential</t>
        </is>
      </c>
      <c r="M90" s="391" t="inlineStr">
        <is>
          <t>Transfer</t>
        </is>
      </c>
      <c r="N90" s="391" t="inlineStr">
        <is>
          <t>No</t>
        </is>
      </c>
      <c r="O90" s="392" t="n">
        <v>200</v>
      </c>
      <c r="P90" s="391" t="inlineStr">
        <is>
          <t>AED</t>
        </is>
      </c>
      <c r="Q90" s="385">
        <f>IF($B90="","",IF($P90&lt;&gt;"AED",0,IF($F90="Income",$O90,IF($F90="Expense",-$O90,0))))</f>
        <v>200.0</v>
      </c>
      <c r="R90" s="381" t="n"/>
      <c r="S90" s="304" t="inlineStr">
        <is>
          <t>Yes</t>
        </is>
      </c>
      <c r="T90" s="381" t="n"/>
      <c r="U90" s="381" t="inlineStr">
        <is>
          <t>2026-08-22 15:25</t>
        </is>
      </c>
    </row>
    <row r="91" ht="15" customHeight="1" s="278">
      <c r="A91" s="399" t="str">
        <f>IF($B91="","","T"&amp;TEXT(ROW()-6,"0000"))</f>
        <v>T85.00</v>
      </c>
      <c r="B91" s="386" t="n">
        <v>46256</v>
      </c>
      <c r="C91" s="399" t="str">
        <f>IF($B91="","",TEXT($B91,"YYYY-MM"))</f>
        <v>2026-08</v>
      </c>
      <c r="D91" s="400">
        <f>IF($B91="","",YEAR($B91))</f>
        <v>2026.0</v>
      </c>
      <c r="E91" s="391" t="inlineStr">
        <is>
          <t>FAB 4001 Current</t>
        </is>
      </c>
      <c r="F91" s="391" t="inlineStr">
        <is>
          <t>Expense</t>
        </is>
      </c>
      <c r="G91" s="391" t="inlineStr">
        <is>
          <t>Food &amp; Dining</t>
        </is>
      </c>
      <c r="H91" s="391" t="inlineStr">
        <is>
          <t>Restaurant</t>
        </is>
      </c>
      <c r="I91" s="391" t="inlineStr">
        <is>
          <t>25 Hours F and B</t>
        </is>
      </c>
      <c r="J91" s="391" t="inlineStr">
        <is>
          <t>Household</t>
        </is>
      </c>
      <c r="K91" s="391" t="inlineStr">
        <is>
          <t>Variable</t>
        </is>
      </c>
      <c r="L91" s="391" t="inlineStr">
        <is>
          <t>Non-Essential</t>
        </is>
      </c>
      <c r="M91" s="391" t="inlineStr">
        <is>
          <t>Card</t>
        </is>
      </c>
      <c r="N91" s="391" t="inlineStr">
        <is>
          <t>No</t>
        </is>
      </c>
      <c r="O91" s="392" t="n">
        <v>63.75</v>
      </c>
      <c r="P91" s="391" t="inlineStr">
        <is>
          <t>AED</t>
        </is>
      </c>
      <c r="Q91" s="385">
        <f>IF($B91="","",IF($P91&lt;&gt;"AED",0,IF($F91="Income",$O91,IF($F91="Expense",-$O91,0))))</f>
        <v>-63.75</v>
      </c>
      <c r="R91" s="381" t="n"/>
      <c r="S91" s="304" t="inlineStr">
        <is>
          <t>Yes</t>
        </is>
      </c>
      <c r="T91" s="381" t="n"/>
      <c r="U91" s="381" t="inlineStr">
        <is>
          <t>2026-08-22 15:31</t>
        </is>
      </c>
    </row>
    <row r="92" ht="15" customHeight="1" s="278">
      <c r="A92" s="399" t="str">
        <f>IF($B92="","","T"&amp;TEXT(ROW()-6,"0000"))</f>
        <v>T86.00</v>
      </c>
      <c r="B92" s="386" t="n">
        <v>46256</v>
      </c>
      <c r="C92" s="399" t="str">
        <f>IF($B92="","",TEXT($B92,"YYYY-MM"))</f>
        <v>2026-08</v>
      </c>
      <c r="D92" s="400">
        <f>IF($B92="","",YEAR($B92))</f>
        <v>2026.0</v>
      </c>
      <c r="E92" s="391" t="inlineStr">
        <is>
          <t>FAB 4001 Current</t>
        </is>
      </c>
      <c r="F92" s="391" t="inlineStr">
        <is>
          <t>Expense</t>
        </is>
      </c>
      <c r="G92" s="391" t="inlineStr">
        <is>
          <t>Food &amp; Dining</t>
        </is>
      </c>
      <c r="H92" s="391" t="inlineStr">
        <is>
          <t>Restaurant</t>
        </is>
      </c>
      <c r="I92" s="391" t="inlineStr">
        <is>
          <t>25 Hours F and B</t>
        </is>
      </c>
      <c r="J92" s="391" t="inlineStr">
        <is>
          <t>Household</t>
        </is>
      </c>
      <c r="K92" s="391" t="inlineStr">
        <is>
          <t>Variable</t>
        </is>
      </c>
      <c r="L92" s="391" t="inlineStr">
        <is>
          <t>Non-Essential</t>
        </is>
      </c>
      <c r="M92" s="391" t="inlineStr">
        <is>
          <t>Card</t>
        </is>
      </c>
      <c r="N92" s="391" t="inlineStr">
        <is>
          <t>No</t>
        </is>
      </c>
      <c r="O92" s="392" t="n">
        <v>100</v>
      </c>
      <c r="P92" s="391" t="inlineStr">
        <is>
          <t>AED</t>
        </is>
      </c>
      <c r="Q92" s="385">
        <f>IF($B92="","",IF($P92&lt;&gt;"AED",0,IF($F92="Income",$O92,IF($F92="Expense",-$O92,0))))</f>
        <v>-100.0</v>
      </c>
      <c r="R92" s="381" t="n"/>
      <c r="S92" s="304" t="inlineStr">
        <is>
          <t>Yes</t>
        </is>
      </c>
      <c r="T92" s="381" t="n"/>
      <c r="U92" s="381" t="inlineStr">
        <is>
          <t>2026-08-22 15:40</t>
        </is>
      </c>
    </row>
    <row r="93" ht="15" customHeight="1" s="278">
      <c r="A93" s="399" t="str">
        <f>IF($B93="","","T"&amp;TEXT(ROW()-6,"0000"))</f>
        <v>T87.00</v>
      </c>
      <c r="B93" s="386" t="n">
        <v>46256</v>
      </c>
      <c r="C93" s="399" t="str">
        <f>IF($B93="","",TEXT($B93,"YYYY-MM"))</f>
        <v>2026-08</v>
      </c>
      <c r="D93" s="400">
        <f>IF($B93="","",YEAR($B93))</f>
        <v>2026.0</v>
      </c>
      <c r="E93" s="391" t="inlineStr">
        <is>
          <t>FAB 4001 Current</t>
        </is>
      </c>
      <c r="F93" s="391" t="inlineStr">
        <is>
          <t>Income</t>
        </is>
      </c>
      <c r="G93" s="391" t="inlineStr">
        <is>
          <t>Internal Transfer</t>
        </is>
      </c>
      <c r="H93" s="391" t="inlineStr">
        <is>
          <t>Vault transfer in</t>
        </is>
      </c>
      <c r="I93" s="391" t="inlineStr">
        <is>
          <t>From FAB 4002</t>
        </is>
      </c>
      <c r="J93" s="391" t="inlineStr">
        <is>
          <t>Internal</t>
        </is>
      </c>
      <c r="K93" s="391" t="inlineStr">
        <is>
          <t>Variable</t>
        </is>
      </c>
      <c r="L93" s="391" t="inlineStr">
        <is>
          <t>Essential</t>
        </is>
      </c>
      <c r="M93" s="391" t="inlineStr">
        <is>
          <t>Transfer</t>
        </is>
      </c>
      <c r="N93" s="391" t="inlineStr">
        <is>
          <t>No</t>
        </is>
      </c>
      <c r="O93" s="392" t="n">
        <v>500</v>
      </c>
      <c r="P93" s="391" t="inlineStr">
        <is>
          <t>AED</t>
        </is>
      </c>
      <c r="Q93" s="385">
        <f>IF($B93="","",IF($P93&lt;&gt;"AED",0,IF($F93="Income",$O93,IF($F93="Expense",-$O93,0))))</f>
        <v>500.0</v>
      </c>
      <c r="R93" s="381" t="n"/>
      <c r="S93" s="304" t="inlineStr">
        <is>
          <t>Yes</t>
        </is>
      </c>
      <c r="T93" s="381" t="n"/>
      <c r="U93" s="381" t="inlineStr">
        <is>
          <t>2026-08-22 17:18</t>
        </is>
      </c>
    </row>
    <row r="94" ht="15" customHeight="1" s="278">
      <c r="A94" s="399" t="str">
        <f>IF($B94="","","T"&amp;TEXT(ROW()-6,"0000"))</f>
        <v>T88.00</v>
      </c>
      <c r="B94" s="386" t="n">
        <v>46256</v>
      </c>
      <c r="C94" s="399" t="str">
        <f>IF($B94="","",TEXT($B94,"YYYY-MM"))</f>
        <v>2026-08</v>
      </c>
      <c r="D94" s="400">
        <f>IF($B94="","",YEAR($B94))</f>
        <v>2026.0</v>
      </c>
      <c r="E94" s="391" t="inlineStr">
        <is>
          <t>FAB 4001 Current</t>
        </is>
      </c>
      <c r="F94" s="391" t="inlineStr">
        <is>
          <t>Expense</t>
        </is>
      </c>
      <c r="G94" s="391" t="inlineStr">
        <is>
          <t>Food &amp; Dining</t>
        </is>
      </c>
      <c r="H94" s="391" t="inlineStr">
        <is>
          <t>Hotel dining</t>
        </is>
      </c>
      <c r="I94" s="391" t="inlineStr">
        <is>
          <t>Sofitel Dubai Downtown</t>
        </is>
      </c>
      <c r="J94" s="391" t="inlineStr">
        <is>
          <t>Personal</t>
        </is>
      </c>
      <c r="K94" s="391" t="inlineStr">
        <is>
          <t>Variable</t>
        </is>
      </c>
      <c r="L94" s="391" t="inlineStr">
        <is>
          <t>Non-Essential</t>
        </is>
      </c>
      <c r="M94" s="391" t="inlineStr">
        <is>
          <t>Card</t>
        </is>
      </c>
      <c r="N94" s="391" t="inlineStr">
        <is>
          <t>No</t>
        </is>
      </c>
      <c r="O94" s="392" t="n">
        <v>10</v>
      </c>
      <c r="P94" s="391" t="inlineStr">
        <is>
          <t>AED</t>
        </is>
      </c>
      <c r="Q94" s="385">
        <f>IF($B94="","",IF($P94&lt;&gt;"AED",0,IF($F94="Income",$O94,IF($F94="Expense",-$O94,0))))</f>
        <v>-10.0</v>
      </c>
      <c r="R94" s="381" t="n"/>
      <c r="S94" s="304" t="inlineStr">
        <is>
          <t>Yes</t>
        </is>
      </c>
      <c r="T94" s="381" t="n"/>
      <c r="U94" s="381" t="inlineStr">
        <is>
          <t>2026-08-22 17:40</t>
        </is>
      </c>
    </row>
    <row r="95" ht="15" customHeight="1" s="278">
      <c r="A95" s="399" t="str">
        <f>IF($B95="","","T"&amp;TEXT(ROW()-6,"0000"))</f>
        <v>T89.00</v>
      </c>
      <c r="B95" s="386" t="n">
        <v>46256</v>
      </c>
      <c r="C95" s="399" t="str">
        <f>IF($B95="","",TEXT($B95,"YYYY-MM"))</f>
        <v>2026-08</v>
      </c>
      <c r="D95" s="400">
        <f>IF($B95="","",YEAR($B95))</f>
        <v>2026.0</v>
      </c>
      <c r="E95" s="391" t="inlineStr">
        <is>
          <t>FAB 4001 Current</t>
        </is>
      </c>
      <c r="F95" s="391" t="inlineStr">
        <is>
          <t>Expense</t>
        </is>
      </c>
      <c r="G95" s="391" t="inlineStr">
        <is>
          <t>Food &amp; Dining</t>
        </is>
      </c>
      <c r="H95" s="391" t="inlineStr">
        <is>
          <t>Restaurant</t>
        </is>
      </c>
      <c r="I95" s="391" t="inlineStr">
        <is>
          <t>Curry Chatti (Sharjah)</t>
        </is>
      </c>
      <c r="J95" s="391" t="inlineStr">
        <is>
          <t>Household</t>
        </is>
      </c>
      <c r="K95" s="391" t="inlineStr">
        <is>
          <t>Variable</t>
        </is>
      </c>
      <c r="L95" s="391" t="inlineStr">
        <is>
          <t>Non-Essential</t>
        </is>
      </c>
      <c r="M95" s="391" t="inlineStr">
        <is>
          <t>Card</t>
        </is>
      </c>
      <c r="N95" s="391" t="inlineStr">
        <is>
          <t>No</t>
        </is>
      </c>
      <c r="O95" s="392" t="n">
        <v>4</v>
      </c>
      <c r="P95" s="391" t="inlineStr">
        <is>
          <t>AED</t>
        </is>
      </c>
      <c r="Q95" s="385">
        <f>IF($B95="","",IF($P95&lt;&gt;"AED",0,IF($F95="Income",$O95,IF($F95="Expense",-$O95,0))))</f>
        <v>-4.0</v>
      </c>
      <c r="R95" s="381" t="n"/>
      <c r="S95" s="304" t="inlineStr">
        <is>
          <t>Yes</t>
        </is>
      </c>
      <c r="T95" s="381" t="n"/>
      <c r="U95" s="381" t="inlineStr">
        <is>
          <t>2026-08-22 19:04</t>
        </is>
      </c>
    </row>
    <row r="96" ht="15" customHeight="1" s="278">
      <c r="A96" s="399" t="str">
        <f>IF($B96="","","T"&amp;TEXT(ROW()-6,"0000"))</f>
        <v>T90.00</v>
      </c>
      <c r="B96" s="386" t="n">
        <v>46257</v>
      </c>
      <c r="C96" s="399" t="str">
        <f>IF($B96="","",TEXT($B96,"YYYY-MM"))</f>
        <v>2026-08</v>
      </c>
      <c r="D96" s="400">
        <f>IF($B96="","",YEAR($B96))</f>
        <v>2026.0</v>
      </c>
      <c r="E96" s="391" t="inlineStr">
        <is>
          <t>FAB 4001 Current</t>
        </is>
      </c>
      <c r="F96" s="391" t="inlineStr">
        <is>
          <t>Expense</t>
        </is>
      </c>
      <c r="G96" s="391" t="inlineStr">
        <is>
          <t>Lifestyle</t>
        </is>
      </c>
      <c r="H96" s="391" t="inlineStr">
        <is>
          <t>Convenience store</t>
        </is>
      </c>
      <c r="I96" s="391" t="inlineStr">
        <is>
          <t>Asas Al Madina General</t>
        </is>
      </c>
      <c r="J96" s="391" t="inlineStr">
        <is>
          <t>Personal</t>
        </is>
      </c>
      <c r="K96" s="391" t="inlineStr">
        <is>
          <t>Variable</t>
        </is>
      </c>
      <c r="L96" s="391" t="inlineStr">
        <is>
          <t>Non-Essential</t>
        </is>
      </c>
      <c r="M96" s="391" t="inlineStr">
        <is>
          <t>Card</t>
        </is>
      </c>
      <c r="N96" s="391" t="inlineStr">
        <is>
          <t>No</t>
        </is>
      </c>
      <c r="O96" s="392" t="n">
        <v>39</v>
      </c>
      <c r="P96" s="391" t="inlineStr">
        <is>
          <t>AED</t>
        </is>
      </c>
      <c r="Q96" s="385">
        <f>IF($B96="","",IF($P96&lt;&gt;"AED",0,IF($F96="Income",$O96,IF($F96="Expense",-$O96,0))))</f>
        <v>-39.0</v>
      </c>
      <c r="R96" s="381" t="n"/>
      <c r="S96" s="304" t="inlineStr">
        <is>
          <t>Yes</t>
        </is>
      </c>
      <c r="T96" s="381" t="n"/>
      <c r="U96" s="381" t="inlineStr">
        <is>
          <t>2026-08-23 00:12</t>
        </is>
      </c>
    </row>
    <row r="97" ht="15" customHeight="1" s="278">
      <c r="A97" s="399" t="str">
        <f>IF($B97="","","T"&amp;TEXT(ROW()-6,"0000"))</f>
        <v>T91.00</v>
      </c>
      <c r="B97" s="386" t="n">
        <v>46257</v>
      </c>
      <c r="C97" s="399" t="str">
        <f>IF($B97="","",TEXT($B97,"YYYY-MM"))</f>
        <v>2026-08</v>
      </c>
      <c r="D97" s="400">
        <f>IF($B97="","",YEAR($B97))</f>
        <v>2026.0</v>
      </c>
      <c r="E97" s="391" t="inlineStr">
        <is>
          <t>FAB 4001 Current</t>
        </is>
      </c>
      <c r="F97" s="391" t="inlineStr">
        <is>
          <t>Expense</t>
        </is>
      </c>
      <c r="G97" s="391" t="inlineStr">
        <is>
          <t>Lifestyle</t>
        </is>
      </c>
      <c r="H97" s="391" t="inlineStr">
        <is>
          <t>Convenience store</t>
        </is>
      </c>
      <c r="I97" s="391" t="inlineStr">
        <is>
          <t>Asas Al Madina General</t>
        </is>
      </c>
      <c r="J97" s="391" t="inlineStr">
        <is>
          <t>Personal</t>
        </is>
      </c>
      <c r="K97" s="391" t="inlineStr">
        <is>
          <t>Variable</t>
        </is>
      </c>
      <c r="L97" s="391" t="inlineStr">
        <is>
          <t>Non-Essential</t>
        </is>
      </c>
      <c r="M97" s="391" t="inlineStr">
        <is>
          <t>Card</t>
        </is>
      </c>
      <c r="N97" s="391" t="inlineStr">
        <is>
          <t>No</t>
        </is>
      </c>
      <c r="O97" s="392" t="n">
        <v>20</v>
      </c>
      <c r="P97" s="391" t="inlineStr">
        <is>
          <t>AED</t>
        </is>
      </c>
      <c r="Q97" s="385">
        <f>IF($B97="","",IF($P97&lt;&gt;"AED",0,IF($F97="Income",$O97,IF($F97="Expense",-$O97,0))))</f>
        <v>-20.0</v>
      </c>
      <c r="R97" s="381" t="n"/>
      <c r="S97" s="304" t="inlineStr">
        <is>
          <t>Yes</t>
        </is>
      </c>
      <c r="T97" s="381" t="n"/>
      <c r="U97" s="381" t="inlineStr">
        <is>
          <t>2026-08-23 12:08</t>
        </is>
      </c>
    </row>
    <row r="98" ht="15" customHeight="1" s="278">
      <c r="A98" s="399" t="str">
        <f>IF($B98="","","T"&amp;TEXT(ROW()-6,"0000"))</f>
        <v>T92.00</v>
      </c>
      <c r="B98" s="386" t="n">
        <v>46257</v>
      </c>
      <c r="C98" s="399" t="str">
        <f>IF($B98="","",TEXT($B98,"YYYY-MM"))</f>
        <v>2026-08</v>
      </c>
      <c r="D98" s="400">
        <f>IF($B98="","",YEAR($B98))</f>
        <v>2026.0</v>
      </c>
      <c r="E98" s="391" t="inlineStr">
        <is>
          <t>FAB 4001 Current</t>
        </is>
      </c>
      <c r="F98" s="391" t="inlineStr">
        <is>
          <t>Expense</t>
        </is>
      </c>
      <c r="G98" s="391" t="inlineStr">
        <is>
          <t>Food &amp; Dining</t>
        </is>
      </c>
      <c r="H98" s="391" t="inlineStr">
        <is>
          <t>Restaurant</t>
        </is>
      </c>
      <c r="I98" s="391" t="inlineStr">
        <is>
          <t>Cielo Kabab Restaurant</t>
        </is>
      </c>
      <c r="J98" s="391" t="inlineStr">
        <is>
          <t>Household</t>
        </is>
      </c>
      <c r="K98" s="391" t="inlineStr">
        <is>
          <t>Variable</t>
        </is>
      </c>
      <c r="L98" s="391" t="inlineStr">
        <is>
          <t>Non-Essential</t>
        </is>
      </c>
      <c r="M98" s="391" t="inlineStr">
        <is>
          <t>Card</t>
        </is>
      </c>
      <c r="N98" s="391" t="inlineStr">
        <is>
          <t>No</t>
        </is>
      </c>
      <c r="O98" s="392" t="n">
        <v>78</v>
      </c>
      <c r="P98" s="391" t="inlineStr">
        <is>
          <t>AED</t>
        </is>
      </c>
      <c r="Q98" s="385">
        <f>IF($B98="","",IF($P98&lt;&gt;"AED",0,IF($F98="Income",$O98,IF($F98="Expense",-$O98,0))))</f>
        <v>-78.0</v>
      </c>
      <c r="R98" s="381" t="n"/>
      <c r="S98" s="304" t="inlineStr">
        <is>
          <t>Yes</t>
        </is>
      </c>
      <c r="T98" s="381" t="n"/>
      <c r="U98" s="381" t="inlineStr">
        <is>
          <t>2026-08-23 19:03</t>
        </is>
      </c>
    </row>
    <row r="99" ht="15" customHeight="1" s="278">
      <c r="A99" s="399" t="str">
        <f>IF($B99="","","T"&amp;TEXT(ROW()-6,"0000"))</f>
        <v>T93.00</v>
      </c>
      <c r="B99" s="386" t="n">
        <v>46257</v>
      </c>
      <c r="C99" s="399" t="str">
        <f>IF($B99="","",TEXT($B99,"YYYY-MM"))</f>
        <v>2026-08</v>
      </c>
      <c r="D99" s="400">
        <f>IF($B99="","",YEAR($B99))</f>
        <v>2026.0</v>
      </c>
      <c r="E99" s="391" t="inlineStr">
        <is>
          <t>FAB 4001 Current</t>
        </is>
      </c>
      <c r="F99" s="391" t="inlineStr">
        <is>
          <t>Expense</t>
        </is>
      </c>
      <c r="G99" s="391" t="inlineStr">
        <is>
          <t>Groceries</t>
        </is>
      </c>
      <c r="H99" s="391" t="inlineStr">
        <is>
          <t>Grocery</t>
        </is>
      </c>
      <c r="I99" s="391" t="inlineStr">
        <is>
          <t>Nad Al Hamar Star Grocery</t>
        </is>
      </c>
      <c r="J99" s="391" t="inlineStr">
        <is>
          <t>Household</t>
        </is>
      </c>
      <c r="K99" s="391" t="inlineStr">
        <is>
          <t>Variable</t>
        </is>
      </c>
      <c r="L99" s="391" t="inlineStr">
        <is>
          <t>Essential</t>
        </is>
      </c>
      <c r="M99" s="391" t="inlineStr">
        <is>
          <t>Card</t>
        </is>
      </c>
      <c r="N99" s="391" t="inlineStr">
        <is>
          <t>No</t>
        </is>
      </c>
      <c r="O99" s="392" t="n">
        <v>10</v>
      </c>
      <c r="P99" s="391" t="inlineStr">
        <is>
          <t>AED</t>
        </is>
      </c>
      <c r="Q99" s="385">
        <f>IF($B99="","",IF($P99&lt;&gt;"AED",0,IF($F99="Income",$O99,IF($F99="Expense",-$O99,0))))</f>
        <v>-10.0</v>
      </c>
      <c r="R99" s="381" t="n"/>
      <c r="S99" s="304" t="inlineStr">
        <is>
          <t>Yes</t>
        </is>
      </c>
      <c r="T99" s="381" t="n"/>
      <c r="U99" s="381" t="inlineStr">
        <is>
          <t>2026-08-23 19:06</t>
        </is>
      </c>
    </row>
    <row r="100" ht="15" customHeight="1" s="278">
      <c r="A100" s="399" t="str">
        <f>IF($B100="","","T"&amp;TEXT(ROW()-6,"0000"))</f>
        <v>T94.00</v>
      </c>
      <c r="B100" s="386" t="n">
        <v>46257</v>
      </c>
      <c r="C100" s="399" t="str">
        <f>IF($B100="","",TEXT($B100,"YYYY-MM"))</f>
        <v>2026-08</v>
      </c>
      <c r="D100" s="400">
        <f>IF($B100="","",YEAR($B100))</f>
        <v>2026.0</v>
      </c>
      <c r="E100" s="391" t="inlineStr">
        <is>
          <t>FAB 4001 Current</t>
        </is>
      </c>
      <c r="F100" s="391" t="inlineStr">
        <is>
          <t>Transfer Out</t>
        </is>
      </c>
      <c r="G100" s="391" t="inlineStr">
        <is>
          <t>Internal Transfer</t>
        </is>
      </c>
      <c r="H100" s="391" t="inlineStr">
        <is>
          <t>Vault funding</t>
        </is>
      </c>
      <c r="I100" s="391" t="inlineStr">
        <is>
          <t>To FAB 4002</t>
        </is>
      </c>
      <c r="J100" s="391" t="inlineStr">
        <is>
          <t>Internal</t>
        </is>
      </c>
      <c r="K100" s="391" t="inlineStr">
        <is>
          <t>Variable</t>
        </is>
      </c>
      <c r="L100" s="391" t="inlineStr">
        <is>
          <t>Essential</t>
        </is>
      </c>
      <c r="M100" s="391" t="inlineStr">
        <is>
          <t>Transfer</t>
        </is>
      </c>
      <c r="N100" s="391" t="inlineStr">
        <is>
          <t>No</t>
        </is>
      </c>
      <c r="O100" s="392" t="n">
        <v>420</v>
      </c>
      <c r="P100" s="391" t="inlineStr">
        <is>
          <t>AED</t>
        </is>
      </c>
      <c r="Q100" s="385">
        <f>IF($B100="","",IF($P100&lt;&gt;"AED",0,IF($F100="Income",$O100,IF($F100="Expense",-$O100,0))))</f>
        <v>0.0</v>
      </c>
      <c r="R100" s="381" t="n"/>
      <c r="S100" s="304" t="inlineStr">
        <is>
          <t>Yes</t>
        </is>
      </c>
      <c r="T100" s="381" t="n"/>
      <c r="U100" s="381" t="inlineStr">
        <is>
          <t>2026-08-23 21:37</t>
        </is>
      </c>
    </row>
    <row r="101" ht="15" customHeight="1" s="278">
      <c r="A101" s="399" t="str">
        <f>IF($B101="","","T"&amp;TEXT(ROW()-6,"0000"))</f>
        <v>T95.00</v>
      </c>
      <c r="B101" s="386" t="n">
        <v>46258</v>
      </c>
      <c r="C101" s="399" t="str">
        <f>IF($B101="","",TEXT($B101,"YYYY-MM"))</f>
        <v>2026-08</v>
      </c>
      <c r="D101" s="400">
        <f>IF($B101="","",YEAR($B101))</f>
        <v>2026.0</v>
      </c>
      <c r="E101" s="391" t="inlineStr">
        <is>
          <t>FAB 4001 Current</t>
        </is>
      </c>
      <c r="F101" s="391" t="inlineStr">
        <is>
          <t>Expense</t>
        </is>
      </c>
      <c r="G101" s="391" t="inlineStr">
        <is>
          <t>Transport</t>
        </is>
      </c>
      <c r="H101" s="391" t="inlineStr">
        <is>
          <t>Fuel</t>
        </is>
      </c>
      <c r="I101" s="391" t="inlineStr">
        <is>
          <t>ENOC Site 39</t>
        </is>
      </c>
      <c r="J101" s="391" t="inlineStr">
        <is>
          <t>Household</t>
        </is>
      </c>
      <c r="K101" s="391" t="inlineStr">
        <is>
          <t>Variable</t>
        </is>
      </c>
      <c r="L101" s="391" t="inlineStr">
        <is>
          <t>Essential</t>
        </is>
      </c>
      <c r="M101" s="391" t="inlineStr">
        <is>
          <t>Card</t>
        </is>
      </c>
      <c r="N101" s="391" t="inlineStr">
        <is>
          <t>No</t>
        </is>
      </c>
      <c r="O101" s="392" t="n">
        <v>13.5</v>
      </c>
      <c r="P101" s="391" t="inlineStr">
        <is>
          <t>AED</t>
        </is>
      </c>
      <c r="Q101" s="385">
        <f>IF($B101="","",IF($P101&lt;&gt;"AED",0,IF($F101="Income",$O101,IF($F101="Expense",-$O101,0))))</f>
        <v>-13.5</v>
      </c>
      <c r="R101" s="381" t="n"/>
      <c r="S101" s="304" t="inlineStr">
        <is>
          <t>Yes</t>
        </is>
      </c>
      <c r="T101" s="381" t="n"/>
      <c r="U101" s="381" t="inlineStr">
        <is>
          <t>2026-08-24 06:34</t>
        </is>
      </c>
    </row>
    <row r="102" ht="15" customHeight="1" s="278">
      <c r="A102" s="399" t="str">
        <f>IF($B102="","","T"&amp;TEXT(ROW()-6,"0000"))</f>
        <v>T96.00</v>
      </c>
      <c r="B102" s="386" t="n">
        <v>46259</v>
      </c>
      <c r="C102" s="399" t="str">
        <f>IF($B102="","",TEXT($B102,"YYYY-MM"))</f>
        <v>2026-08</v>
      </c>
      <c r="D102" s="400">
        <f>IF($B102="","",YEAR($B102))</f>
        <v>2026.0</v>
      </c>
      <c r="E102" s="391" t="inlineStr">
        <is>
          <t>FAB 4001 Current</t>
        </is>
      </c>
      <c r="F102" s="391" t="inlineStr">
        <is>
          <t>Expense</t>
        </is>
      </c>
      <c r="G102" s="391" t="inlineStr">
        <is>
          <t>Transport</t>
        </is>
      </c>
      <c r="H102" s="391" t="inlineStr">
        <is>
          <t>Fuel</t>
        </is>
      </c>
      <c r="I102" s="391" t="inlineStr">
        <is>
          <t>ENOC Site 39</t>
        </is>
      </c>
      <c r="J102" s="391" t="inlineStr">
        <is>
          <t>Household</t>
        </is>
      </c>
      <c r="K102" s="391" t="inlineStr">
        <is>
          <t>Variable</t>
        </is>
      </c>
      <c r="L102" s="391" t="inlineStr">
        <is>
          <t>Essential</t>
        </is>
      </c>
      <c r="M102" s="391" t="inlineStr">
        <is>
          <t>Card</t>
        </is>
      </c>
      <c r="N102" s="391" t="inlineStr">
        <is>
          <t>No</t>
        </is>
      </c>
      <c r="O102" s="392" t="n">
        <v>13.5</v>
      </c>
      <c r="P102" s="391" t="inlineStr">
        <is>
          <t>AED</t>
        </is>
      </c>
      <c r="Q102" s="385">
        <f>IF($B102="","",IF($P102&lt;&gt;"AED",0,IF($F102="Income",$O102,IF($F102="Expense",-$O102,0))))</f>
        <v>-13.5</v>
      </c>
      <c r="R102" s="381" t="n"/>
      <c r="S102" s="304" t="inlineStr">
        <is>
          <t>Yes</t>
        </is>
      </c>
      <c r="T102" s="381" t="n"/>
      <c r="U102" s="381" t="inlineStr">
        <is>
          <t>2026-08-25 06:36</t>
        </is>
      </c>
    </row>
    <row r="103" ht="15" customHeight="1" s="278">
      <c r="A103" s="399" t="str">
        <f>IF($B103="","","T"&amp;TEXT(ROW()-6,"0000"))</f>
        <v>T97.00</v>
      </c>
      <c r="B103" s="386" t="n">
        <v>46249</v>
      </c>
      <c r="C103" s="399" t="str">
        <f>IF($B103="","",TEXT($B103,"YYYY-MM"))</f>
        <v>2026-08</v>
      </c>
      <c r="D103" s="400">
        <f>IF($B103="","",YEAR($B103))</f>
        <v>2026.0</v>
      </c>
      <c r="E103" s="391" t="inlineStr">
        <is>
          <t>FAB 4002 Home Expenditure</t>
        </is>
      </c>
      <c r="F103" s="391" t="inlineStr">
        <is>
          <t>Transfer Out</t>
        </is>
      </c>
      <c r="G103" s="391" t="inlineStr">
        <is>
          <t>Internal Transfer</t>
        </is>
      </c>
      <c r="H103" s="391" t="inlineStr">
        <is>
          <t>Vault transfer out</t>
        </is>
      </c>
      <c r="I103" s="391" t="inlineStr">
        <is>
          <t>To FAB 4001</t>
        </is>
      </c>
      <c r="J103" s="391" t="inlineStr">
        <is>
          <t>Internal</t>
        </is>
      </c>
      <c r="K103" s="391" t="inlineStr">
        <is>
          <t>Variable</t>
        </is>
      </c>
      <c r="L103" s="391" t="inlineStr">
        <is>
          <t>Essential</t>
        </is>
      </c>
      <c r="M103" s="391" t="inlineStr">
        <is>
          <t>Transfer</t>
        </is>
      </c>
      <c r="N103" s="391" t="inlineStr">
        <is>
          <t>No</t>
        </is>
      </c>
      <c r="O103" s="392" t="n">
        <v>100</v>
      </c>
      <c r="P103" s="391" t="inlineStr">
        <is>
          <t>AED</t>
        </is>
      </c>
      <c r="Q103" s="385">
        <f>IF($B103="","",IF($P103&lt;&gt;"AED",0,IF($F103="Income",$O103,IF($F103="Expense",-$O103,0))))</f>
        <v>0.0</v>
      </c>
      <c r="R103" s="381" t="n"/>
      <c r="S103" s="304" t="inlineStr">
        <is>
          <t>Yes</t>
        </is>
      </c>
      <c r="T103" s="381" t="n"/>
      <c r="U103" s="381" t="inlineStr">
        <is>
          <t>2026-08-15 09:40</t>
        </is>
      </c>
    </row>
    <row r="104" ht="15" customHeight="1" s="278">
      <c r="A104" s="399" t="str">
        <f>IF($B104="","","T"&amp;TEXT(ROW()-6,"0000"))</f>
        <v>T98.00</v>
      </c>
      <c r="B104" s="386" t="n">
        <v>46249</v>
      </c>
      <c r="C104" s="399" t="str">
        <f>IF($B104="","",TEXT($B104,"YYYY-MM"))</f>
        <v>2026-08</v>
      </c>
      <c r="D104" s="400">
        <f>IF($B104="","",YEAR($B104))</f>
        <v>2026.0</v>
      </c>
      <c r="E104" s="391" t="inlineStr">
        <is>
          <t>FAB 4002 Home Expenditure</t>
        </is>
      </c>
      <c r="F104" s="391" t="inlineStr">
        <is>
          <t>Transfer Out</t>
        </is>
      </c>
      <c r="G104" s="391" t="inlineStr">
        <is>
          <t>Internal Transfer</t>
        </is>
      </c>
      <c r="H104" s="391" t="inlineStr">
        <is>
          <t>Vault transfer out</t>
        </is>
      </c>
      <c r="I104" s="391" t="inlineStr">
        <is>
          <t>To FAB 4001</t>
        </is>
      </c>
      <c r="J104" s="391" t="inlineStr">
        <is>
          <t>Internal</t>
        </is>
      </c>
      <c r="K104" s="391" t="inlineStr">
        <is>
          <t>Variable</t>
        </is>
      </c>
      <c r="L104" s="391" t="inlineStr">
        <is>
          <t>Essential</t>
        </is>
      </c>
      <c r="M104" s="391" t="inlineStr">
        <is>
          <t>Transfer</t>
        </is>
      </c>
      <c r="N104" s="391" t="inlineStr">
        <is>
          <t>No</t>
        </is>
      </c>
      <c r="O104" s="392" t="n">
        <v>200</v>
      </c>
      <c r="P104" s="391" t="inlineStr">
        <is>
          <t>AED</t>
        </is>
      </c>
      <c r="Q104" s="385">
        <f>IF($B104="","",IF($P104&lt;&gt;"AED",0,IF($F104="Income",$O104,IF($F104="Expense",-$O104,0))))</f>
        <v>0.0</v>
      </c>
      <c r="R104" s="381" t="n"/>
      <c r="S104" s="304" t="inlineStr">
        <is>
          <t>Yes</t>
        </is>
      </c>
      <c r="T104" s="381" t="n"/>
      <c r="U104" s="381" t="inlineStr">
        <is>
          <t>2026-08-15 10:58</t>
        </is>
      </c>
    </row>
    <row r="105" ht="15" customHeight="1" s="278">
      <c r="A105" s="399" t="str">
        <f>IF($B105="","","T"&amp;TEXT(ROW()-6,"0000"))</f>
        <v>T99.00</v>
      </c>
      <c r="B105" s="386" t="n">
        <v>46250</v>
      </c>
      <c r="C105" s="399" t="str">
        <f>IF($B105="","",TEXT($B105,"YYYY-MM"))</f>
        <v>2026-08</v>
      </c>
      <c r="D105" s="400">
        <f>IF($B105="","",YEAR($B105))</f>
        <v>2026.0</v>
      </c>
      <c r="E105" s="391" t="inlineStr">
        <is>
          <t>FAB 4002 Home Expenditure</t>
        </is>
      </c>
      <c r="F105" s="391" t="inlineStr">
        <is>
          <t>Transfer Out</t>
        </is>
      </c>
      <c r="G105" s="391" t="inlineStr">
        <is>
          <t>Internal Transfer</t>
        </is>
      </c>
      <c r="H105" s="391" t="inlineStr">
        <is>
          <t>Vault transfer out</t>
        </is>
      </c>
      <c r="I105" s="391" t="inlineStr">
        <is>
          <t>To FAB 4001</t>
        </is>
      </c>
      <c r="J105" s="391" t="inlineStr">
        <is>
          <t>Internal</t>
        </is>
      </c>
      <c r="K105" s="391" t="inlineStr">
        <is>
          <t>Variable</t>
        </is>
      </c>
      <c r="L105" s="391" t="inlineStr">
        <is>
          <t>Essential</t>
        </is>
      </c>
      <c r="M105" s="391" t="inlineStr">
        <is>
          <t>Transfer</t>
        </is>
      </c>
      <c r="N105" s="391" t="inlineStr">
        <is>
          <t>No</t>
        </is>
      </c>
      <c r="O105" s="392" t="n">
        <v>100</v>
      </c>
      <c r="P105" s="391" t="inlineStr">
        <is>
          <t>AED</t>
        </is>
      </c>
      <c r="Q105" s="385">
        <f>IF($B105="","",IF($P105&lt;&gt;"AED",0,IF($F105="Income",$O105,IF($F105="Expense",-$O105,0))))</f>
        <v>0.0</v>
      </c>
      <c r="R105" s="381" t="n"/>
      <c r="S105" s="304" t="inlineStr">
        <is>
          <t>Yes</t>
        </is>
      </c>
      <c r="T105" s="381" t="n"/>
      <c r="U105" s="381" t="inlineStr">
        <is>
          <t>2026-08-16 16:51</t>
        </is>
      </c>
    </row>
    <row r="106" ht="15" customHeight="1" s="278">
      <c r="A106" s="399" t="str">
        <f>IF($B106="","","T"&amp;TEXT(ROW()-6,"0000"))</f>
        <v>T100.00</v>
      </c>
      <c r="B106" s="386" t="n">
        <v>46253</v>
      </c>
      <c r="C106" s="399" t="str">
        <f>IF($B106="","",TEXT($B106,"YYYY-MM"))</f>
        <v>2026-08</v>
      </c>
      <c r="D106" s="400">
        <f>IF($B106="","",YEAR($B106))</f>
        <v>2026.0</v>
      </c>
      <c r="E106" s="391" t="inlineStr">
        <is>
          <t>FAB 4002 Home Expenditure</t>
        </is>
      </c>
      <c r="F106" s="391" t="inlineStr">
        <is>
          <t>Transfer Out</t>
        </is>
      </c>
      <c r="G106" s="391" t="inlineStr">
        <is>
          <t>Internal Transfer</t>
        </is>
      </c>
      <c r="H106" s="391" t="inlineStr">
        <is>
          <t>Vault transfer out</t>
        </is>
      </c>
      <c r="I106" s="391" t="inlineStr">
        <is>
          <t>To FAB 4001</t>
        </is>
      </c>
      <c r="J106" s="391" t="inlineStr">
        <is>
          <t>Internal</t>
        </is>
      </c>
      <c r="K106" s="391" t="inlineStr">
        <is>
          <t>Variable</t>
        </is>
      </c>
      <c r="L106" s="391" t="inlineStr">
        <is>
          <t>Essential</t>
        </is>
      </c>
      <c r="M106" s="391" t="inlineStr">
        <is>
          <t>Transfer</t>
        </is>
      </c>
      <c r="N106" s="391" t="inlineStr">
        <is>
          <t>No</t>
        </is>
      </c>
      <c r="O106" s="392" t="n">
        <v>60</v>
      </c>
      <c r="P106" s="391" t="inlineStr">
        <is>
          <t>AED</t>
        </is>
      </c>
      <c r="Q106" s="385">
        <f>IF($B106="","",IF($P106&lt;&gt;"AED",0,IF($F106="Income",$O106,IF($F106="Expense",-$O106,0))))</f>
        <v>0.0</v>
      </c>
      <c r="R106" s="381" t="n"/>
      <c r="S106" s="304" t="inlineStr">
        <is>
          <t>Yes</t>
        </is>
      </c>
      <c r="T106" s="381" t="n"/>
      <c r="U106" s="381" t="inlineStr">
        <is>
          <t>2026-08-19 19:24</t>
        </is>
      </c>
    </row>
    <row r="107" ht="15" customHeight="1" s="278">
      <c r="A107" s="399" t="str">
        <f>IF($B107="","","T"&amp;TEXT(ROW()-6,"0000"))</f>
        <v>T101.00</v>
      </c>
      <c r="B107" s="386" t="n">
        <v>46256</v>
      </c>
      <c r="C107" s="399" t="str">
        <f>IF($B107="","",TEXT($B107,"YYYY-MM"))</f>
        <v>2026-08</v>
      </c>
      <c r="D107" s="400">
        <f>IF($B107="","",YEAR($B107))</f>
        <v>2026.0</v>
      </c>
      <c r="E107" s="391" t="inlineStr">
        <is>
          <t>FAB 4002 Home Expenditure</t>
        </is>
      </c>
      <c r="F107" s="391" t="inlineStr">
        <is>
          <t>Transfer Out</t>
        </is>
      </c>
      <c r="G107" s="391" t="inlineStr">
        <is>
          <t>Internal Transfer</t>
        </is>
      </c>
      <c r="H107" s="391" t="inlineStr">
        <is>
          <t>Vault transfer out</t>
        </is>
      </c>
      <c r="I107" s="391" t="inlineStr">
        <is>
          <t>To FAB 4001</t>
        </is>
      </c>
      <c r="J107" s="391" t="inlineStr">
        <is>
          <t>Internal</t>
        </is>
      </c>
      <c r="K107" s="391" t="inlineStr">
        <is>
          <t>Variable</t>
        </is>
      </c>
      <c r="L107" s="391" t="inlineStr">
        <is>
          <t>Essential</t>
        </is>
      </c>
      <c r="M107" s="391" t="inlineStr">
        <is>
          <t>Transfer</t>
        </is>
      </c>
      <c r="N107" s="391" t="inlineStr">
        <is>
          <t>No</t>
        </is>
      </c>
      <c r="O107" s="392" t="n">
        <v>200</v>
      </c>
      <c r="P107" s="391" t="inlineStr">
        <is>
          <t>AED</t>
        </is>
      </c>
      <c r="Q107" s="385">
        <f>IF($B107="","",IF($P107&lt;&gt;"AED",0,IF($F107="Income",$O107,IF($F107="Expense",-$O107,0))))</f>
        <v>0.0</v>
      </c>
      <c r="R107" s="381" t="n"/>
      <c r="S107" s="304" t="inlineStr">
        <is>
          <t>Yes</t>
        </is>
      </c>
      <c r="T107" s="381" t="n"/>
      <c r="U107" s="381" t="inlineStr">
        <is>
          <t>2026-08-22 15:25</t>
        </is>
      </c>
    </row>
    <row r="108" ht="15" customHeight="1" s="278">
      <c r="A108" s="399" t="str">
        <f>IF($B108="","","T"&amp;TEXT(ROW()-6,"0000"))</f>
        <v>T102.00</v>
      </c>
      <c r="B108" s="386" t="n">
        <v>46256</v>
      </c>
      <c r="C108" s="399" t="str">
        <f>IF($B108="","",TEXT($B108,"YYYY-MM"))</f>
        <v>2026-08</v>
      </c>
      <c r="D108" s="400">
        <f>IF($B108="","",YEAR($B108))</f>
        <v>2026.0</v>
      </c>
      <c r="E108" s="391" t="inlineStr">
        <is>
          <t>FAB 4002 Home Expenditure</t>
        </is>
      </c>
      <c r="F108" s="391" t="inlineStr">
        <is>
          <t>Transfer Out</t>
        </is>
      </c>
      <c r="G108" s="391" t="inlineStr">
        <is>
          <t>Internal Transfer</t>
        </is>
      </c>
      <c r="H108" s="391" t="inlineStr">
        <is>
          <t>Vault transfer out</t>
        </is>
      </c>
      <c r="I108" s="391" t="inlineStr">
        <is>
          <t>To FAB 4001</t>
        </is>
      </c>
      <c r="J108" s="391" t="inlineStr">
        <is>
          <t>Internal</t>
        </is>
      </c>
      <c r="K108" s="391" t="inlineStr">
        <is>
          <t>Variable</t>
        </is>
      </c>
      <c r="L108" s="391" t="inlineStr">
        <is>
          <t>Essential</t>
        </is>
      </c>
      <c r="M108" s="391" t="inlineStr">
        <is>
          <t>Transfer</t>
        </is>
      </c>
      <c r="N108" s="391" t="inlineStr">
        <is>
          <t>No</t>
        </is>
      </c>
      <c r="O108" s="392" t="n">
        <v>500</v>
      </c>
      <c r="P108" s="391" t="inlineStr">
        <is>
          <t>AED</t>
        </is>
      </c>
      <c r="Q108" s="385">
        <f>IF($B108="","",IF($P108&lt;&gt;"AED",0,IF($F108="Income",$O108,IF($F108="Expense",-$O108,0))))</f>
        <v>0.0</v>
      </c>
      <c r="R108" s="381" t="n"/>
      <c r="S108" s="304" t="inlineStr">
        <is>
          <t>Yes</t>
        </is>
      </c>
      <c r="T108" s="381" t="n"/>
      <c r="U108" s="381" t="inlineStr">
        <is>
          <t>2026-08-22 17:18</t>
        </is>
      </c>
    </row>
    <row r="109" ht="15" customHeight="1" s="278">
      <c r="A109" s="399" t="str">
        <f>IF($B109="","","T"&amp;TEXT(ROW()-6,"0000"))</f>
        <v>T103.00</v>
      </c>
      <c r="B109" s="386" t="n">
        <v>46256</v>
      </c>
      <c r="C109" s="399" t="str">
        <f>IF($B109="","",TEXT($B109,"YYYY-MM"))</f>
        <v>2026-08</v>
      </c>
      <c r="D109" s="400">
        <f>IF($B109="","",YEAR($B109))</f>
        <v>2026.0</v>
      </c>
      <c r="E109" s="391" t="inlineStr">
        <is>
          <t>FAB 4002 Home Expenditure</t>
        </is>
      </c>
      <c r="F109" s="391" t="inlineStr">
        <is>
          <t>Expense</t>
        </is>
      </c>
      <c r="G109" s="391" t="inlineStr">
        <is>
          <t>Other</t>
        </is>
      </c>
      <c r="H109" s="391" t="inlineStr">
        <is>
          <t>REQUIRES VERIFICATION</t>
        </is>
      </c>
      <c r="I109" s="402" t="inlineStr">
        <is>
          <t>Unexplained outflow (shrunk from 180)</t>
        </is>
      </c>
      <c r="J109" s="391" t="inlineStr">
        <is>
          <t>Household</t>
        </is>
      </c>
      <c r="K109" s="391" t="inlineStr">
        <is>
          <t>Variable</t>
        </is>
      </c>
      <c r="L109" s="391" t="inlineStr">
        <is>
          <t>Essential</t>
        </is>
      </c>
      <c r="M109" s="391" t="inlineStr">
        <is>
          <t>Unknown</t>
        </is>
      </c>
      <c r="N109" s="391" t="inlineStr">
        <is>
          <t>No</t>
        </is>
      </c>
      <c r="O109" s="372" t="n">
        <v>100</v>
      </c>
      <c r="P109" s="391" t="inlineStr">
        <is>
          <t>AED</t>
        </is>
      </c>
      <c r="Q109" s="385">
        <f>IF($B109="","",IF($P109&lt;&gt;"AED",0,IF($F109="Income",$O109,IF($F109="Expense",-$O109,0))))</f>
        <v>-100.0</v>
      </c>
      <c r="R109" s="381" t="n"/>
      <c r="S109" s="304" t="inlineStr">
        <is>
          <t>Yes</t>
        </is>
      </c>
      <c r="T109" s="406" t="inlineStr">
        <is>
          <t>Was 180 — now 100 after confirming the 80 transfer separately (new row). Genuine remaining gap.</t>
        </is>
      </c>
      <c r="U109" s="381" t="inlineStr">
        <is>
          <t>2026-08-22 ~19-23 Aug</t>
        </is>
      </c>
    </row>
    <row r="110" ht="15" customHeight="1" s="278">
      <c r="A110" s="399" t="str">
        <f>IF($B110="","","T"&amp;TEXT(ROW()-6,"0000"))</f>
        <v>T104.00</v>
      </c>
      <c r="B110" s="386" t="n">
        <v>46257</v>
      </c>
      <c r="C110" s="399" t="str">
        <f>IF($B110="","",TEXT($B110,"YYYY-MM"))</f>
        <v>2026-08</v>
      </c>
      <c r="D110" s="400">
        <f>IF($B110="","",YEAR($B110))</f>
        <v>2026.0</v>
      </c>
      <c r="E110" s="391" t="inlineStr">
        <is>
          <t>FAB 4002 Home Expenditure</t>
        </is>
      </c>
      <c r="F110" s="391" t="inlineStr">
        <is>
          <t>Transfer In</t>
        </is>
      </c>
      <c r="G110" s="391" t="inlineStr">
        <is>
          <t>Internal Transfer</t>
        </is>
      </c>
      <c r="H110" s="391" t="inlineStr">
        <is>
          <t>Vault funding</t>
        </is>
      </c>
      <c r="I110" s="391" t="inlineStr">
        <is>
          <t>From FAB 4001</t>
        </is>
      </c>
      <c r="J110" s="391" t="inlineStr">
        <is>
          <t>Internal</t>
        </is>
      </c>
      <c r="K110" s="391" t="inlineStr">
        <is>
          <t>Variable</t>
        </is>
      </c>
      <c r="L110" s="391" t="inlineStr">
        <is>
          <t>Essential</t>
        </is>
      </c>
      <c r="M110" s="391" t="inlineStr">
        <is>
          <t>Transfer</t>
        </is>
      </c>
      <c r="N110" s="391" t="inlineStr">
        <is>
          <t>No</t>
        </is>
      </c>
      <c r="O110" s="392" t="n">
        <v>420</v>
      </c>
      <c r="P110" s="391" t="inlineStr">
        <is>
          <t>AED</t>
        </is>
      </c>
      <c r="Q110" s="385">
        <f>IF($B110="","",IF($P110&lt;&gt;"AED",0,IF($F110="Income",$O110,IF($F110="Expense",-$O110,0))))</f>
        <v>0.0</v>
      </c>
      <c r="R110" s="381" t="n"/>
      <c r="S110" s="304" t="inlineStr">
        <is>
          <t>Yes</t>
        </is>
      </c>
      <c r="T110" s="381" t="n"/>
      <c r="U110" s="381" t="inlineStr">
        <is>
          <t>2026-08-23 21:37</t>
        </is>
      </c>
    </row>
    <row r="111" ht="15" customHeight="1" s="278">
      <c r="A111" s="399" t="str">
        <f>IF($B111="","","T"&amp;TEXT(ROW()-6,"0000"))</f>
        <v>T105.00</v>
      </c>
      <c r="B111" s="386" t="n">
        <v>46251</v>
      </c>
      <c r="C111" s="399" t="str">
        <f>IF($B111="","",TEXT($B111,"YYYY-MM"))</f>
        <v>2026-08</v>
      </c>
      <c r="D111" s="400">
        <f>IF($B111="","",YEAR($B111))</f>
        <v>2026.0</v>
      </c>
      <c r="E111" s="391" t="inlineStr">
        <is>
          <t>NBD Current</t>
        </is>
      </c>
      <c r="F111" s="391" t="inlineStr">
        <is>
          <t>Expense</t>
        </is>
      </c>
      <c r="G111" s="391" t="inlineStr">
        <is>
          <t>Groceries</t>
        </is>
      </c>
      <c r="H111" s="391" t="inlineStr">
        <is>
          <t>Grocery</t>
        </is>
      </c>
      <c r="I111" s="391" t="inlineStr">
        <is>
          <t>S R N Supermarket</t>
        </is>
      </c>
      <c r="J111" s="391" t="inlineStr">
        <is>
          <t>Household</t>
        </is>
      </c>
      <c r="K111" s="391" t="inlineStr">
        <is>
          <t>Variable</t>
        </is>
      </c>
      <c r="L111" s="391" t="inlineStr">
        <is>
          <t>Essential</t>
        </is>
      </c>
      <c r="M111" s="391" t="inlineStr">
        <is>
          <t>Card</t>
        </is>
      </c>
      <c r="N111" s="391" t="inlineStr">
        <is>
          <t>No</t>
        </is>
      </c>
      <c r="O111" s="392" t="n">
        <v>2</v>
      </c>
      <c r="P111" s="391" t="inlineStr">
        <is>
          <t>AED</t>
        </is>
      </c>
      <c r="Q111" s="385">
        <f>IF($B111="","",IF($P111&lt;&gt;"AED",0,IF($F111="Income",$O111,IF($F111="Expense",-$O111,0))))</f>
        <v>-2.0</v>
      </c>
      <c r="R111" s="381" t="n"/>
      <c r="S111" s="304" t="inlineStr">
        <is>
          <t>Yes</t>
        </is>
      </c>
      <c r="T111" s="381" t="n"/>
      <c r="U111" s="381" t="inlineStr">
        <is>
          <t>2026-08-17 15:14</t>
        </is>
      </c>
    </row>
    <row r="112" ht="15" customHeight="1" s="278">
      <c r="A112" s="399" t="str">
        <f>IF($B112="","","T"&amp;TEXT(ROW()-6,"0000"))</f>
        <v>T106.00</v>
      </c>
      <c r="B112" s="407" t="n">
        <v>46255</v>
      </c>
      <c r="C112" s="399" t="str">
        <f>IF($B112="","",TEXT($B112,"YYYY-MM"))</f>
        <v>2026-08</v>
      </c>
      <c r="D112" s="400">
        <f>IF($B112="","",YEAR($B112))</f>
        <v>2026.0</v>
      </c>
      <c r="E112" s="402" t="inlineStr">
        <is>
          <t>FAB 4001 Current</t>
        </is>
      </c>
      <c r="F112" s="402" t="inlineStr">
        <is>
          <t>Expense</t>
        </is>
      </c>
      <c r="G112" s="402" t="inlineStr">
        <is>
          <t>Food &amp; Dining</t>
        </is>
      </c>
      <c r="H112" s="402" t="inlineStr">
        <is>
          <t>Restaurant</t>
        </is>
      </c>
      <c r="I112" s="402" t="inlineStr">
        <is>
          <t>Spicy Falcon Restaurant</t>
        </is>
      </c>
      <c r="J112" s="402" t="inlineStr">
        <is>
          <t>Household</t>
        </is>
      </c>
      <c r="K112" s="402" t="inlineStr">
        <is>
          <t>Variable</t>
        </is>
      </c>
      <c r="L112" s="402" t="inlineStr">
        <is>
          <t>Non-Essential</t>
        </is>
      </c>
      <c r="M112" s="402" t="inlineStr">
        <is>
          <t>Card</t>
        </is>
      </c>
      <c r="N112" s="402" t="inlineStr">
        <is>
          <t>No</t>
        </is>
      </c>
      <c r="O112" s="372" t="n">
        <v>26.5</v>
      </c>
      <c r="P112" s="402" t="inlineStr">
        <is>
          <t>AED</t>
        </is>
      </c>
      <c r="Q112" s="385">
        <f>IF($B112="","",IF($P112&lt;&gt;"AED",0,IF($F112="Income",$O112,IF($F112="Expense",-$O112,0))))</f>
        <v>-26.5</v>
      </c>
      <c r="R112" s="381" t="n"/>
      <c r="S112" s="403" t="inlineStr">
        <is>
          <t>Yes</t>
        </is>
      </c>
      <c r="T112" s="404" t="inlineStr">
        <is>
          <t>CONFIRMED via SMS</t>
        </is>
      </c>
      <c r="U112" s="408" t="inlineStr">
        <is>
          <t>2026-08-21 22:03</t>
        </is>
      </c>
    </row>
    <row r="113" ht="15" customHeight="1" s="278">
      <c r="A113" s="399" t="str">
        <f>IF($B113="","","T"&amp;TEXT(ROW()-6,"0000"))</f>
        <v>T107.00</v>
      </c>
      <c r="B113" s="407" t="n">
        <v>46256</v>
      </c>
      <c r="C113" s="399" t="str">
        <f>IF($B113="","",TEXT($B113,"YYYY-MM"))</f>
        <v>2026-08</v>
      </c>
      <c r="D113" s="400">
        <f>IF($B113="","",YEAR($B113))</f>
        <v>2026.0</v>
      </c>
      <c r="E113" s="402" t="inlineStr">
        <is>
          <t>FAB 4001 Current</t>
        </is>
      </c>
      <c r="F113" s="402" t="inlineStr">
        <is>
          <t>Expense</t>
        </is>
      </c>
      <c r="G113" s="402" t="inlineStr">
        <is>
          <t>Health</t>
        </is>
      </c>
      <c r="H113" s="402" t="inlineStr">
        <is>
          <t>Grooming</t>
        </is>
      </c>
      <c r="I113" s="402" t="inlineStr">
        <is>
          <t>ISK Gents Saloon</t>
        </is>
      </c>
      <c r="J113" s="402" t="inlineStr">
        <is>
          <t>Personal</t>
        </is>
      </c>
      <c r="K113" s="402" t="inlineStr">
        <is>
          <t>Variable</t>
        </is>
      </c>
      <c r="L113" s="402" t="inlineStr">
        <is>
          <t>Non-Essential</t>
        </is>
      </c>
      <c r="M113" s="402" t="inlineStr">
        <is>
          <t>Card</t>
        </is>
      </c>
      <c r="N113" s="402" t="inlineStr">
        <is>
          <t>No</t>
        </is>
      </c>
      <c r="O113" s="372" t="n">
        <v>65</v>
      </c>
      <c r="P113" s="402" t="inlineStr">
        <is>
          <t>AED</t>
        </is>
      </c>
      <c r="Q113" s="385">
        <f>IF($B113="","",IF($P113&lt;&gt;"AED",0,IF($F113="Income",$O113,IF($F113="Expense",-$O113,0))))</f>
        <v>-65.0</v>
      </c>
      <c r="R113" s="381" t="n"/>
      <c r="S113" s="403" t="inlineStr">
        <is>
          <t>Yes</t>
        </is>
      </c>
      <c r="T113" s="404" t="inlineStr">
        <is>
          <t>CONFIRMED via SMS, 11:46. Was flagged as an unexplained 15 inflow — the real story is this 65 expense plus an 80 transfer (added as a new row).</t>
        </is>
      </c>
      <c r="U113" s="405" t="inlineStr">
        <is>
          <t>2026-08-22 11:46</t>
        </is>
      </c>
    </row>
    <row r="114" ht="15" customHeight="1" s="278">
      <c r="A114" s="399" t="str">
        <f>IF($B114="","","T"&amp;TEXT(ROW()-6,"0000"))</f>
        <v>T108.00</v>
      </c>
      <c r="B114" s="407" t="n">
        <v>46256</v>
      </c>
      <c r="C114" s="399" t="str">
        <f>IF($B114="","",TEXT($B114,"YYYY-MM"))</f>
        <v>2026-08</v>
      </c>
      <c r="D114" s="400">
        <f>IF($B114="","",YEAR($B114))</f>
        <v>2026.0</v>
      </c>
      <c r="E114" s="402" t="inlineStr">
        <is>
          <t>FAB 4001 Current</t>
        </is>
      </c>
      <c r="F114" s="402" t="inlineStr">
        <is>
          <t>Income</t>
        </is>
      </c>
      <c r="G114" s="402" t="inlineStr">
        <is>
          <t>Internal Transfer</t>
        </is>
      </c>
      <c r="H114" s="402" t="inlineStr">
        <is>
          <t>Vault transfer in</t>
        </is>
      </c>
      <c r="I114" s="402" t="inlineStr">
        <is>
          <t>From FAB 4002</t>
        </is>
      </c>
      <c r="J114" s="402" t="inlineStr">
        <is>
          <t>Internal</t>
        </is>
      </c>
      <c r="K114" s="402" t="inlineStr">
        <is>
          <t>Variable</t>
        </is>
      </c>
      <c r="L114" s="402" t="inlineStr">
        <is>
          <t>Essential</t>
        </is>
      </c>
      <c r="M114" s="402" t="inlineStr">
        <is>
          <t>Transfer</t>
        </is>
      </c>
      <c r="N114" s="402" t="inlineStr">
        <is>
          <t>No</t>
        </is>
      </c>
      <c r="O114" s="372" t="n">
        <v>80</v>
      </c>
      <c r="P114" s="402" t="inlineStr">
        <is>
          <t>AED</t>
        </is>
      </c>
      <c r="Q114" s="385">
        <f>IF($B114="","",IF($P114&lt;&gt;"AED",0,IF($F114="Income",$O114,IF($F114="Expense",-$O114,0))))</f>
        <v>80.0</v>
      </c>
      <c r="R114" s="381" t="n"/>
      <c r="S114" s="403" t="inlineStr">
        <is>
          <t>Yes</t>
        </is>
      </c>
      <c r="T114" s="404" t="inlineStr">
        <is>
          <t>CONFIRMED via SMS, 11:51</t>
        </is>
      </c>
      <c r="U114" s="405" t="inlineStr">
        <is>
          <t>2026-08-22 11:51</t>
        </is>
      </c>
    </row>
    <row r="115" ht="15" customHeight="1" s="278">
      <c r="A115" s="399" t="str">
        <f>IF($B115="","","T"&amp;TEXT(ROW()-6,"0000"))</f>
        <v>T109.00</v>
      </c>
      <c r="B115" s="407" t="n">
        <v>46256</v>
      </c>
      <c r="C115" s="399" t="str">
        <f>IF($B115="","",TEXT($B115,"YYYY-MM"))</f>
        <v>2026-08</v>
      </c>
      <c r="D115" s="400">
        <f>IF($B115="","",YEAR($B115))</f>
        <v>2026.0</v>
      </c>
      <c r="E115" s="402" t="inlineStr">
        <is>
          <t>FAB 4002 Home Expenditure</t>
        </is>
      </c>
      <c r="F115" s="402" t="inlineStr">
        <is>
          <t>Transfer Out</t>
        </is>
      </c>
      <c r="G115" s="402" t="inlineStr">
        <is>
          <t>Internal Transfer</t>
        </is>
      </c>
      <c r="H115" s="402" t="inlineStr">
        <is>
          <t>Vault transfer out</t>
        </is>
      </c>
      <c r="I115" s="402" t="inlineStr">
        <is>
          <t>To FAB 4001</t>
        </is>
      </c>
      <c r="J115" s="402" t="inlineStr">
        <is>
          <t>Internal</t>
        </is>
      </c>
      <c r="K115" s="402" t="inlineStr">
        <is>
          <t>Variable</t>
        </is>
      </c>
      <c r="L115" s="402" t="inlineStr">
        <is>
          <t>Essential</t>
        </is>
      </c>
      <c r="M115" s="402" t="inlineStr">
        <is>
          <t>Transfer</t>
        </is>
      </c>
      <c r="N115" s="402" t="inlineStr">
        <is>
          <t>No</t>
        </is>
      </c>
      <c r="O115" s="372" t="n">
        <v>80</v>
      </c>
      <c r="P115" s="402" t="inlineStr">
        <is>
          <t>AED</t>
        </is>
      </c>
      <c r="Q115" s="385">
        <f>IF($B115="","",IF($P115&lt;&gt;"AED",0,IF($F115="Income",$O115,IF($F115="Expense",-$O115,0))))</f>
        <v>0.0</v>
      </c>
      <c r="R115" s="381" t="n"/>
      <c r="S115" s="403" t="inlineStr">
        <is>
          <t>Yes</t>
        </is>
      </c>
      <c r="T115" s="404" t="inlineStr">
        <is>
          <t>CONFIRMED via SMS, 11:51</t>
        </is>
      </c>
      <c r="U115" s="405" t="inlineStr">
        <is>
          <t>2026-08-22 11:51</t>
        </is>
      </c>
    </row>
    <row r="116" ht="15" customHeight="1" s="278">
      <c r="A116" s="399" t="str">
        <f>IF($B116="","","T"&amp;TEXT(ROW()-6,"0000"))</f>
        <v>T110.00</v>
      </c>
      <c r="B116" s="407" t="n">
        <v>46260</v>
      </c>
      <c r="C116" s="399" t="str">
        <f>IF($B116="","",TEXT($B116,"YYYY-MM"))</f>
        <v>2026-08</v>
      </c>
      <c r="D116" s="400">
        <f>IF($B116="","",YEAR($B116))</f>
        <v>2026.0</v>
      </c>
      <c r="E116" s="402" t="inlineStr">
        <is>
          <t>NBD Current</t>
        </is>
      </c>
      <c r="F116" s="402" t="inlineStr">
        <is>
          <t>Income</t>
        </is>
      </c>
      <c r="G116" s="402" t="inlineStr">
        <is>
          <t>Salary</t>
        </is>
      </c>
      <c r="H116" s="402" t="inlineStr">
        <is>
          <t>August payday</t>
        </is>
      </c>
      <c r="I116" s="402" t="inlineStr">
        <is>
          <t>Salary credit</t>
        </is>
      </c>
      <c r="J116" s="402" t="inlineStr">
        <is>
          <t>Household</t>
        </is>
      </c>
      <c r="K116" s="402" t="inlineStr">
        <is>
          <t>Fixed</t>
        </is>
      </c>
      <c r="L116" s="402" t="inlineStr">
        <is>
          <t>Essential</t>
        </is>
      </c>
      <c r="M116" s="402" t="inlineStr">
        <is>
          <t>Bank credit</t>
        </is>
      </c>
      <c r="N116" s="402" t="inlineStr">
        <is>
          <t>No</t>
        </is>
      </c>
      <c r="O116" s="372" t="n">
        <v>2906.7</v>
      </c>
      <c r="P116" s="402" t="inlineStr">
        <is>
          <t>AED</t>
        </is>
      </c>
      <c r="Q116" s="385">
        <f>IF($B116="","",IF($P116&lt;&gt;"AED",0,IF($F116="Income",$O116,IF($F116="Expense",-$O116,0))))</f>
        <v>2906.7</v>
      </c>
      <c r="R116" s="381" t="n"/>
      <c r="S116" s="403" t="inlineStr">
        <is>
          <t>Yes</t>
        </is>
      </c>
      <c r="T116" s="375" t="inlineStr">
        <is>
          <t>CONFIRMED via SMS — landed in NBD, not FAB as in prior months.</t>
        </is>
      </c>
      <c r="U116" s="405" t="inlineStr">
        <is>
          <t>2026-08-26</t>
        </is>
      </c>
    </row>
    <row r="117" ht="15" customHeight="1" s="278">
      <c r="A117" s="399" t="str">
        <f>IF($B117="","","T"&amp;TEXT(ROW()-6,"0000"))</f>
        <v>T111.00</v>
      </c>
      <c r="B117" s="407" t="n">
        <v>46260</v>
      </c>
      <c r="C117" s="399" t="str">
        <f>IF($B117="","",TEXT($B117,"YYYY-MM"))</f>
        <v>2026-08</v>
      </c>
      <c r="D117" s="400">
        <f>IF($B117="","",YEAR($B117))</f>
        <v>2026.0</v>
      </c>
      <c r="E117" s="402" t="inlineStr">
        <is>
          <t>NBD Current</t>
        </is>
      </c>
      <c r="F117" s="402" t="inlineStr">
        <is>
          <t>Expense</t>
        </is>
      </c>
      <c r="G117" s="402" t="inlineStr">
        <is>
          <t>BNPL</t>
        </is>
      </c>
      <c r="H117" s="402" t="inlineStr">
        <is>
          <t>Tabby monthly card fee</t>
        </is>
      </c>
      <c r="I117" s="402" t="inlineStr">
        <is>
          <t>Tabby</t>
        </is>
      </c>
      <c r="J117" s="402" t="inlineStr">
        <is>
          <t>Household</t>
        </is>
      </c>
      <c r="K117" s="402" t="inlineStr">
        <is>
          <t>Fixed</t>
        </is>
      </c>
      <c r="L117" s="402" t="inlineStr">
        <is>
          <t>Essential</t>
        </is>
      </c>
      <c r="M117" s="402" t="inlineStr">
        <is>
          <t>Card</t>
        </is>
      </c>
      <c r="N117" s="402" t="inlineStr">
        <is>
          <t>No</t>
        </is>
      </c>
      <c r="O117" s="372" t="n">
        <v>49</v>
      </c>
      <c r="P117" s="402" t="inlineStr">
        <is>
          <t>AED</t>
        </is>
      </c>
      <c r="Q117" s="385">
        <f>IF($B117="","",IF($P117&lt;&gt;"AED",0,IF($F117="Income",$O117,IF($F117="Expense",-$O117,0))))</f>
        <v>-49.0</v>
      </c>
      <c r="R117" s="381" t="n"/>
      <c r="S117" s="403" t="inlineStr">
        <is>
          <t>Yes</t>
        </is>
      </c>
      <c r="T117" s="375" t="inlineStr">
        <is>
          <t>CONFIRMED by owner — recurring monthly fee, continues until the card is closed after final payment.</t>
        </is>
      </c>
      <c r="U117" s="405" t="inlineStr">
        <is>
          <t>2026-08-26</t>
        </is>
      </c>
    </row>
    <row r="118" ht="15" customHeight="1" s="278">
      <c r="A118" s="399" t="str">
        <f>IF($B118="","","T"&amp;TEXT(ROW()-6,"0000"))</f>
        <v>T112.00</v>
      </c>
      <c r="B118" s="407" t="n">
        <v>46259</v>
      </c>
      <c r="C118" s="399" t="str">
        <f>IF($B118="","",TEXT($B118,"YYYY-MM"))</f>
        <v>2026-08</v>
      </c>
      <c r="D118" s="400">
        <f>IF($B118="","",YEAR($B118))</f>
        <v>2026.0</v>
      </c>
      <c r="E118" s="402" t="inlineStr">
        <is>
          <t>FAB 4001 Current</t>
        </is>
      </c>
      <c r="F118" s="402" t="inlineStr">
        <is>
          <t>Income</t>
        </is>
      </c>
      <c r="G118" s="402" t="inlineStr">
        <is>
          <t>Internal Transfer</t>
        </is>
      </c>
      <c r="H118" s="402" t="inlineStr">
        <is>
          <t>Vault transfer in</t>
        </is>
      </c>
      <c r="I118" s="402" t="inlineStr">
        <is>
          <t>From FAB 4002</t>
        </is>
      </c>
      <c r="J118" s="402" t="inlineStr">
        <is>
          <t>Internal</t>
        </is>
      </c>
      <c r="K118" s="402" t="inlineStr">
        <is>
          <t>Variable</t>
        </is>
      </c>
      <c r="L118" s="402" t="inlineStr">
        <is>
          <t>Essential</t>
        </is>
      </c>
      <c r="M118" s="402" t="inlineStr">
        <is>
          <t>Transfer</t>
        </is>
      </c>
      <c r="N118" s="402" t="inlineStr">
        <is>
          <t>No</t>
        </is>
      </c>
      <c r="O118" s="372" t="n">
        <v>100</v>
      </c>
      <c r="P118" s="402" t="inlineStr">
        <is>
          <t>AED</t>
        </is>
      </c>
      <c r="Q118" s="385">
        <f>IF($B118="","",IF($P118&lt;&gt;"AED",0,IF($F118="Income",$O118,IF($F118="Expense",-$O118,0))))</f>
        <v>100.0</v>
      </c>
      <c r="R118" s="381" t="n"/>
      <c r="S118" s="403" t="inlineStr">
        <is>
          <t>Yes</t>
        </is>
      </c>
      <c r="T118" s="404" t="inlineStr">
        <is>
          <t>CONFIRMED via SMS</t>
        </is>
      </c>
      <c r="U118" s="408" t="inlineStr">
        <is>
          <t>2026-08-25 21:00</t>
        </is>
      </c>
    </row>
    <row r="119" ht="15" customHeight="1" s="278">
      <c r="A119" s="399" t="str">
        <f>IF($B119="","","T"&amp;TEXT(ROW()-6,"0000"))</f>
        <v>T113.00</v>
      </c>
      <c r="B119" s="407" t="n">
        <v>46259</v>
      </c>
      <c r="C119" s="399" t="str">
        <f>IF($B119="","",TEXT($B119,"YYYY-MM"))</f>
        <v>2026-08</v>
      </c>
      <c r="D119" s="400">
        <f>IF($B119="","",YEAR($B119))</f>
        <v>2026.0</v>
      </c>
      <c r="E119" s="402" t="inlineStr">
        <is>
          <t>FAB 4001 Current</t>
        </is>
      </c>
      <c r="F119" s="402" t="inlineStr">
        <is>
          <t>Expense</t>
        </is>
      </c>
      <c r="G119" s="402" t="inlineStr">
        <is>
          <t>Food &amp; Dining</t>
        </is>
      </c>
      <c r="H119" s="402" t="inlineStr">
        <is>
          <t>Cafe</t>
        </is>
      </c>
      <c r="I119" s="402" t="inlineStr">
        <is>
          <t>My Filli Cafe</t>
        </is>
      </c>
      <c r="J119" s="402" t="inlineStr">
        <is>
          <t>Personal</t>
        </is>
      </c>
      <c r="K119" s="402" t="inlineStr">
        <is>
          <t>Variable</t>
        </is>
      </c>
      <c r="L119" s="402" t="inlineStr">
        <is>
          <t>Non-Essential</t>
        </is>
      </c>
      <c r="M119" s="402" t="inlineStr">
        <is>
          <t>Card</t>
        </is>
      </c>
      <c r="N119" s="402" t="inlineStr">
        <is>
          <t>No</t>
        </is>
      </c>
      <c r="O119" s="372" t="n">
        <v>29</v>
      </c>
      <c r="P119" s="402" t="inlineStr">
        <is>
          <t>AED</t>
        </is>
      </c>
      <c r="Q119" s="385">
        <f>IF($B119="","",IF($P119&lt;&gt;"AED",0,IF($F119="Income",$O119,IF($F119="Expense",-$O119,0))))</f>
        <v>-29.0</v>
      </c>
      <c r="R119" s="381" t="n"/>
      <c r="S119" s="403" t="inlineStr">
        <is>
          <t>Yes</t>
        </is>
      </c>
      <c r="T119" s="404" t="inlineStr">
        <is>
          <t>CONFIRMED via SMS</t>
        </is>
      </c>
      <c r="U119" s="408" t="inlineStr">
        <is>
          <t>2026-08-25 21:31</t>
        </is>
      </c>
    </row>
    <row r="120" ht="15" customHeight="1" s="278">
      <c r="A120" s="399" t="str">
        <f>IF($B120="","","T"&amp;TEXT(ROW()-6,"0000"))</f>
        <v>T114.00</v>
      </c>
      <c r="B120" s="407" t="n">
        <v>46259</v>
      </c>
      <c r="C120" s="399" t="str">
        <f>IF($B120="","",TEXT($B120,"YYYY-MM"))</f>
        <v>2026-08</v>
      </c>
      <c r="D120" s="400">
        <f>IF($B120="","",YEAR($B120))</f>
        <v>2026.0</v>
      </c>
      <c r="E120" s="402" t="inlineStr">
        <is>
          <t>FAB 4001 Current</t>
        </is>
      </c>
      <c r="F120" s="402" t="inlineStr">
        <is>
          <t>Expense</t>
        </is>
      </c>
      <c r="G120" s="402" t="inlineStr">
        <is>
          <t>Food &amp; Dining</t>
        </is>
      </c>
      <c r="H120" s="402" t="inlineStr">
        <is>
          <t>Restaurant</t>
        </is>
      </c>
      <c r="I120" s="402" t="inlineStr">
        <is>
          <t>Subway</t>
        </is>
      </c>
      <c r="J120" s="402" t="inlineStr">
        <is>
          <t>Personal</t>
        </is>
      </c>
      <c r="K120" s="402" t="inlineStr">
        <is>
          <t>Variable</t>
        </is>
      </c>
      <c r="L120" s="402" t="inlineStr">
        <is>
          <t>Non-Essential</t>
        </is>
      </c>
      <c r="M120" s="402" t="inlineStr">
        <is>
          <t>Card</t>
        </is>
      </c>
      <c r="N120" s="402" t="inlineStr">
        <is>
          <t>No</t>
        </is>
      </c>
      <c r="O120" s="372" t="n">
        <v>43</v>
      </c>
      <c r="P120" s="402" t="inlineStr">
        <is>
          <t>AED</t>
        </is>
      </c>
      <c r="Q120" s="385">
        <f>IF($B120="","",IF($P120&lt;&gt;"AED",0,IF($F120="Income",$O120,IF($F120="Expense",-$O120,0))))</f>
        <v>-43.0</v>
      </c>
      <c r="R120" s="381" t="n"/>
      <c r="S120" s="403" t="inlineStr">
        <is>
          <t>Yes</t>
        </is>
      </c>
      <c r="T120" s="404" t="inlineStr">
        <is>
          <t>CONFIRMED via SMS</t>
        </is>
      </c>
      <c r="U120" s="408" t="inlineStr">
        <is>
          <t>2026-08-25 21:45</t>
        </is>
      </c>
    </row>
    <row r="121" ht="15" customHeight="1" s="278">
      <c r="A121" s="399" t="str">
        <f>IF($B121="","","T"&amp;TEXT(ROW()-6,"0000"))</f>
        <v>T115.00</v>
      </c>
      <c r="B121" s="407" t="n">
        <v>46259</v>
      </c>
      <c r="C121" s="399" t="str">
        <f>IF($B121="","",TEXT($B121,"YYYY-MM"))</f>
        <v>2026-08</v>
      </c>
      <c r="D121" s="400">
        <f>IF($B121="","",YEAR($B121))</f>
        <v>2026.0</v>
      </c>
      <c r="E121" s="402" t="inlineStr">
        <is>
          <t>FAB 4001 Current</t>
        </is>
      </c>
      <c r="F121" s="402" t="inlineStr">
        <is>
          <t>Expense</t>
        </is>
      </c>
      <c r="G121" s="402" t="inlineStr">
        <is>
          <t>Lifestyle</t>
        </is>
      </c>
      <c r="H121" s="402" t="inlineStr">
        <is>
          <t>Ice cream</t>
        </is>
      </c>
      <c r="I121" s="402" t="inlineStr">
        <is>
          <t>Galadari Ice Cream Co</t>
        </is>
      </c>
      <c r="J121" s="402" t="inlineStr">
        <is>
          <t>Personal</t>
        </is>
      </c>
      <c r="K121" s="402" t="inlineStr">
        <is>
          <t>Variable</t>
        </is>
      </c>
      <c r="L121" s="402" t="inlineStr">
        <is>
          <t>Non-Essential</t>
        </is>
      </c>
      <c r="M121" s="402" t="inlineStr">
        <is>
          <t>Card</t>
        </is>
      </c>
      <c r="N121" s="402" t="inlineStr">
        <is>
          <t>No</t>
        </is>
      </c>
      <c r="O121" s="372" t="n">
        <v>10</v>
      </c>
      <c r="P121" s="402" t="inlineStr">
        <is>
          <t>AED</t>
        </is>
      </c>
      <c r="Q121" s="385">
        <f>IF($B121="","",IF($P121&lt;&gt;"AED",0,IF($F121="Income",$O121,IF($F121="Expense",-$O121,0))))</f>
        <v>-10.0</v>
      </c>
      <c r="R121" s="381" t="n"/>
      <c r="S121" s="403" t="inlineStr">
        <is>
          <t>Yes</t>
        </is>
      </c>
      <c r="T121" s="404" t="inlineStr">
        <is>
          <t>CONFIRMED via SMS</t>
        </is>
      </c>
      <c r="U121" s="408" t="inlineStr">
        <is>
          <t>2026-08-25 22:02</t>
        </is>
      </c>
    </row>
    <row r="122" ht="15" customHeight="1" s="278">
      <c r="A122" s="399" t="str">
        <f>IF($B122="","","T"&amp;TEXT(ROW()-6,"0000"))</f>
        <v>T116.00</v>
      </c>
      <c r="B122" s="407" t="n">
        <v>46259</v>
      </c>
      <c r="C122" s="399" t="str">
        <f>IF($B122="","",TEXT($B122,"YYYY-MM"))</f>
        <v>2026-08</v>
      </c>
      <c r="D122" s="400">
        <f>IF($B122="","",YEAR($B122))</f>
        <v>2026.0</v>
      </c>
      <c r="E122" s="402" t="inlineStr">
        <is>
          <t>FAB 4001 Current</t>
        </is>
      </c>
      <c r="F122" s="402" t="inlineStr">
        <is>
          <t>Expense</t>
        </is>
      </c>
      <c r="G122" s="402" t="inlineStr">
        <is>
          <t>Lifestyle</t>
        </is>
      </c>
      <c r="H122" s="402" t="inlineStr">
        <is>
          <t>Ice cream</t>
        </is>
      </c>
      <c r="I122" s="402" t="inlineStr">
        <is>
          <t>Galadari Ice Cream Co</t>
        </is>
      </c>
      <c r="J122" s="402" t="inlineStr">
        <is>
          <t>Personal</t>
        </is>
      </c>
      <c r="K122" s="402" t="inlineStr">
        <is>
          <t>Variable</t>
        </is>
      </c>
      <c r="L122" s="402" t="inlineStr">
        <is>
          <t>Non-Essential</t>
        </is>
      </c>
      <c r="M122" s="402" t="inlineStr">
        <is>
          <t>Card</t>
        </is>
      </c>
      <c r="N122" s="402" t="inlineStr">
        <is>
          <t>No</t>
        </is>
      </c>
      <c r="O122" s="372" t="n">
        <v>10</v>
      </c>
      <c r="P122" s="402" t="inlineStr">
        <is>
          <t>AED</t>
        </is>
      </c>
      <c r="Q122" s="385">
        <f>IF($B122="","",IF($P122&lt;&gt;"AED",0,IF($F122="Income",$O122,IF($F122="Expense",-$O122,0))))</f>
        <v>-10.0</v>
      </c>
      <c r="R122" s="381" t="n"/>
      <c r="S122" s="403" t="inlineStr">
        <is>
          <t>Yes</t>
        </is>
      </c>
      <c r="T122" s="404" t="inlineStr">
        <is>
          <t>CONFIRMED via SMS</t>
        </is>
      </c>
      <c r="U122" s="408" t="inlineStr">
        <is>
          <t>2026-08-25 22:03</t>
        </is>
      </c>
    </row>
    <row r="123" ht="15" customHeight="1" s="278">
      <c r="A123" s="399" t="str">
        <f>IF($B123="","","T"&amp;TEXT(ROW()-6,"0000"))</f>
        <v>T117.00</v>
      </c>
      <c r="B123" s="407" t="n">
        <v>46259</v>
      </c>
      <c r="C123" s="399" t="str">
        <f>IF($B123="","",TEXT($B123,"YYYY-MM"))</f>
        <v>2026-08</v>
      </c>
      <c r="D123" s="400">
        <f>IF($B123="","",YEAR($B123))</f>
        <v>2026.0</v>
      </c>
      <c r="E123" s="402" t="inlineStr">
        <is>
          <t>FAB 4001 Current</t>
        </is>
      </c>
      <c r="F123" s="402" t="inlineStr">
        <is>
          <t>Income</t>
        </is>
      </c>
      <c r="G123" s="402" t="inlineStr">
        <is>
          <t>Internal Transfer</t>
        </is>
      </c>
      <c r="H123" s="402" t="inlineStr">
        <is>
          <t>Vault transfer in</t>
        </is>
      </c>
      <c r="I123" s="402" t="inlineStr">
        <is>
          <t>From FAB 4002</t>
        </is>
      </c>
      <c r="J123" s="402" t="inlineStr">
        <is>
          <t>Internal</t>
        </is>
      </c>
      <c r="K123" s="402" t="inlineStr">
        <is>
          <t>Variable</t>
        </is>
      </c>
      <c r="L123" s="402" t="inlineStr">
        <is>
          <t>Essential</t>
        </is>
      </c>
      <c r="M123" s="402" t="inlineStr">
        <is>
          <t>Transfer</t>
        </is>
      </c>
      <c r="N123" s="402" t="inlineStr">
        <is>
          <t>No</t>
        </is>
      </c>
      <c r="O123" s="372" t="n">
        <v>50</v>
      </c>
      <c r="P123" s="402" t="inlineStr">
        <is>
          <t>AED</t>
        </is>
      </c>
      <c r="Q123" s="385">
        <f>IF($B123="","",IF($P123&lt;&gt;"AED",0,IF($F123="Income",$O123,IF($F123="Expense",-$O123,0))))</f>
        <v>50.0</v>
      </c>
      <c r="R123" s="381" t="n"/>
      <c r="S123" s="403" t="inlineStr">
        <is>
          <t>Yes</t>
        </is>
      </c>
      <c r="T123" s="404" t="inlineStr">
        <is>
          <t>CONFIRMED via SMS</t>
        </is>
      </c>
      <c r="U123" s="408" t="inlineStr">
        <is>
          <t>2026-08-25 22:46</t>
        </is>
      </c>
    </row>
    <row r="124" ht="15" customHeight="1" s="278">
      <c r="A124" s="399" t="str">
        <f>IF($B124="","","T"&amp;TEXT(ROW()-6,"0000"))</f>
        <v>T118.00</v>
      </c>
      <c r="B124" s="407" t="n">
        <v>46259</v>
      </c>
      <c r="C124" s="399" t="str">
        <f>IF($B124="","",TEXT($B124,"YYYY-MM"))</f>
        <v>2026-08</v>
      </c>
      <c r="D124" s="400">
        <f>IF($B124="","",YEAR($B124))</f>
        <v>2026.0</v>
      </c>
      <c r="E124" s="402" t="inlineStr">
        <is>
          <t>FAB 4001 Current</t>
        </is>
      </c>
      <c r="F124" s="402" t="inlineStr">
        <is>
          <t>Expense</t>
        </is>
      </c>
      <c r="G124" s="402" t="inlineStr">
        <is>
          <t>Groceries</t>
        </is>
      </c>
      <c r="H124" s="402" t="inlineStr">
        <is>
          <t>Grocery</t>
        </is>
      </c>
      <c r="I124" s="402" t="inlineStr">
        <is>
          <t>Real Choice Grocery</t>
        </is>
      </c>
      <c r="J124" s="402" t="inlineStr">
        <is>
          <t>Household</t>
        </is>
      </c>
      <c r="K124" s="402" t="inlineStr">
        <is>
          <t>Variable</t>
        </is>
      </c>
      <c r="L124" s="402" t="inlineStr">
        <is>
          <t>Essential</t>
        </is>
      </c>
      <c r="M124" s="402" t="inlineStr">
        <is>
          <t>Card</t>
        </is>
      </c>
      <c r="N124" s="402" t="inlineStr">
        <is>
          <t>No</t>
        </is>
      </c>
      <c r="O124" s="372" t="n">
        <v>33</v>
      </c>
      <c r="P124" s="402" t="inlineStr">
        <is>
          <t>AED</t>
        </is>
      </c>
      <c r="Q124" s="385">
        <f>IF($B124="","",IF($P124&lt;&gt;"AED",0,IF($F124="Income",$O124,IF($F124="Expense",-$O124,0))))</f>
        <v>-33.0</v>
      </c>
      <c r="R124" s="381" t="n"/>
      <c r="S124" s="403" t="inlineStr">
        <is>
          <t>Yes</t>
        </is>
      </c>
      <c r="T124" s="404" t="inlineStr">
        <is>
          <t>CONFIRMED via SMS</t>
        </is>
      </c>
      <c r="U124" s="408" t="inlineStr">
        <is>
          <t>2026-08-25 22:53</t>
        </is>
      </c>
    </row>
    <row r="125" ht="15" customHeight="1" s="278">
      <c r="A125" s="399" t="str">
        <f>IF($B125="","","T"&amp;TEXT(ROW()-6,"0000"))</f>
        <v>T119.00</v>
      </c>
      <c r="B125" s="407" t="n">
        <v>46259</v>
      </c>
      <c r="C125" s="399" t="str">
        <f>IF($B125="","",TEXT($B125,"YYYY-MM"))</f>
        <v>2026-08</v>
      </c>
      <c r="D125" s="400">
        <f>IF($B125="","",YEAR($B125))</f>
        <v>2026.0</v>
      </c>
      <c r="E125" s="402" t="inlineStr">
        <is>
          <t>FAB 4002 Home Expenditure</t>
        </is>
      </c>
      <c r="F125" s="402" t="inlineStr">
        <is>
          <t>Transfer Out</t>
        </is>
      </c>
      <c r="G125" s="402" t="inlineStr">
        <is>
          <t>Internal Transfer</t>
        </is>
      </c>
      <c r="H125" s="402" t="inlineStr">
        <is>
          <t>Home expenditure</t>
        </is>
      </c>
      <c r="I125" s="402" t="inlineStr">
        <is>
          <t>To FAB 4001</t>
        </is>
      </c>
      <c r="J125" s="402" t="inlineStr">
        <is>
          <t>Internal</t>
        </is>
      </c>
      <c r="K125" s="402" t="inlineStr">
        <is>
          <t>Variable</t>
        </is>
      </c>
      <c r="L125" s="402" t="inlineStr">
        <is>
          <t>Essential</t>
        </is>
      </c>
      <c r="M125" s="402" t="inlineStr">
        <is>
          <t>Transfer</t>
        </is>
      </c>
      <c r="N125" s="402" t="inlineStr">
        <is>
          <t>No</t>
        </is>
      </c>
      <c r="O125" s="372" t="n">
        <v>100</v>
      </c>
      <c r="P125" s="402" t="inlineStr">
        <is>
          <t>AED</t>
        </is>
      </c>
      <c r="Q125" s="385">
        <f>IF($B125="","",IF($P125&lt;&gt;"AED",0,IF($F125="Income",$O125,IF($F125="Expense",-$O125,0))))</f>
        <v>0.0</v>
      </c>
      <c r="R125" s="381" t="n"/>
      <c r="S125" s="403" t="inlineStr">
        <is>
          <t>Yes</t>
        </is>
      </c>
      <c r="T125" s="404" t="inlineStr">
        <is>
          <t>CONFIRMED via SMS</t>
        </is>
      </c>
      <c r="U125" s="408" t="inlineStr">
        <is>
          <t>2026-08-25 21:00</t>
        </is>
      </c>
    </row>
    <row r="126" ht="15" customHeight="1" s="278">
      <c r="A126" s="399" t="str">
        <f>IF($B126="","","T"&amp;TEXT(ROW()-6,"0000"))</f>
        <v>T120.00</v>
      </c>
      <c r="B126" s="407" t="n">
        <v>46259</v>
      </c>
      <c r="C126" s="399" t="str">
        <f>IF($B126="","",TEXT($B126,"YYYY-MM"))</f>
        <v>2026-08</v>
      </c>
      <c r="D126" s="400">
        <f>IF($B126="","",YEAR($B126))</f>
        <v>2026.0</v>
      </c>
      <c r="E126" s="402" t="inlineStr">
        <is>
          <t>FAB 4002 Home Expenditure</t>
        </is>
      </c>
      <c r="F126" s="402" t="inlineStr">
        <is>
          <t>Transfer Out</t>
        </is>
      </c>
      <c r="G126" s="402" t="inlineStr">
        <is>
          <t>Internal Transfer</t>
        </is>
      </c>
      <c r="H126" s="402" t="inlineStr">
        <is>
          <t>Home expenditure</t>
        </is>
      </c>
      <c r="I126" s="402" t="inlineStr">
        <is>
          <t>To FAB 4001</t>
        </is>
      </c>
      <c r="J126" s="402" t="inlineStr">
        <is>
          <t>Internal</t>
        </is>
      </c>
      <c r="K126" s="402" t="inlineStr">
        <is>
          <t>Variable</t>
        </is>
      </c>
      <c r="L126" s="402" t="inlineStr">
        <is>
          <t>Essential</t>
        </is>
      </c>
      <c r="M126" s="402" t="inlineStr">
        <is>
          <t>Transfer</t>
        </is>
      </c>
      <c r="N126" s="402" t="inlineStr">
        <is>
          <t>No</t>
        </is>
      </c>
      <c r="O126" s="372" t="n">
        <v>50</v>
      </c>
      <c r="P126" s="402" t="inlineStr">
        <is>
          <t>AED</t>
        </is>
      </c>
      <c r="Q126" s="385">
        <f>IF($B126="","",IF($P126&lt;&gt;"AED",0,IF($F126="Income",$O126,IF($F126="Expense",-$O126,0))))</f>
        <v>0.0</v>
      </c>
      <c r="R126" s="381" t="n"/>
      <c r="S126" s="403" t="inlineStr">
        <is>
          <t>Yes</t>
        </is>
      </c>
      <c r="T126" s="404" t="inlineStr">
        <is>
          <t>CONFIRMED via SMS</t>
        </is>
      </c>
      <c r="U126" s="408" t="inlineStr">
        <is>
          <t>2026-08-25 22:46</t>
        </is>
      </c>
    </row>
    <row r="127" ht="15" customHeight="1" s="278">
      <c r="A127" s="399" t="str">
        <f>IF($B127="","","T"&amp;TEXT(ROW()-6,"0000"))</f>
        <v>T121.00</v>
      </c>
      <c r="B127" s="407" t="n">
        <v>46260</v>
      </c>
      <c r="C127" s="399" t="str">
        <f>IF($B127="","",TEXT($B127,"YYYY-MM"))</f>
        <v>2026-08</v>
      </c>
      <c r="D127" s="400">
        <f>IF($B127="","",YEAR($B127))</f>
        <v>2026.0</v>
      </c>
      <c r="E127" s="402" t="inlineStr">
        <is>
          <t>NBD Current</t>
        </is>
      </c>
      <c r="F127" s="402" t="inlineStr">
        <is>
          <t>Expense</t>
        </is>
      </c>
      <c r="G127" s="402" t="inlineStr">
        <is>
          <t>BNPL</t>
        </is>
      </c>
      <c r="H127" s="402" t="inlineStr">
        <is>
          <t>Tabby August statement</t>
        </is>
      </c>
      <c r="I127" s="402" t="inlineStr">
        <is>
          <t>Tabby (no-fee minimum, net of 4.85 cashback)</t>
        </is>
      </c>
      <c r="J127" s="402" t="inlineStr">
        <is>
          <t>Household</t>
        </is>
      </c>
      <c r="K127" s="402" t="inlineStr">
        <is>
          <t>Fixed</t>
        </is>
      </c>
      <c r="L127" s="402" t="inlineStr">
        <is>
          <t>Essential</t>
        </is>
      </c>
      <c r="M127" s="402" t="inlineStr">
        <is>
          <t>Card</t>
        </is>
      </c>
      <c r="N127" s="402" t="inlineStr">
        <is>
          <t>No</t>
        </is>
      </c>
      <c r="O127" s="372" t="n">
        <v>1309.65</v>
      </c>
      <c r="P127" s="402" t="inlineStr">
        <is>
          <t>AED</t>
        </is>
      </c>
      <c r="Q127" s="385">
        <f>IF($B127="","",IF($P127&lt;&gt;"AED",0,IF($F127="Income",$O127,IF($F127="Expense",-$O127,0))))</f>
        <v>-1309.65</v>
      </c>
      <c r="R127" s="381" t="n"/>
      <c r="S127" s="403" t="inlineStr">
        <is>
          <t>Yes</t>
        </is>
      </c>
      <c r="T127" s="404" t="inlineStr">
        <is>
          <t>CONFIRMED via SMS</t>
        </is>
      </c>
      <c r="U127" s="408" t="inlineStr">
        <is>
          <t>2026-08-26 AM</t>
        </is>
      </c>
    </row>
    <row r="128" ht="15" customHeight="1" s="278">
      <c r="A128" s="399" t="str">
        <f>IF($B128="","","T"&amp;TEXT(ROW()-6,"0000"))</f>
        <v>T122.00</v>
      </c>
      <c r="B128" s="407" t="n">
        <v>46260</v>
      </c>
      <c r="C128" s="399" t="str">
        <f>IF($B128="","",TEXT($B128,"YYYY-MM"))</f>
        <v>2026-08</v>
      </c>
      <c r="D128" s="400">
        <f>IF($B128="","",YEAR($B128))</f>
        <v>2026.0</v>
      </c>
      <c r="E128" s="402" t="inlineStr">
        <is>
          <t>NBD Current</t>
        </is>
      </c>
      <c r="F128" s="402" t="inlineStr">
        <is>
          <t>Expense</t>
        </is>
      </c>
      <c r="G128" s="402" t="inlineStr">
        <is>
          <t>Utilities</t>
        </is>
      </c>
      <c r="H128" s="402" t="inlineStr">
        <is>
          <t>DEWA</t>
        </is>
      </c>
      <c r="I128" s="402" t="inlineStr">
        <is>
          <t>Digital Dubai</t>
        </is>
      </c>
      <c r="J128" s="402" t="inlineStr">
        <is>
          <t>Household</t>
        </is>
      </c>
      <c r="K128" s="402" t="inlineStr">
        <is>
          <t>Fixed</t>
        </is>
      </c>
      <c r="L128" s="402" t="inlineStr">
        <is>
          <t>Essential</t>
        </is>
      </c>
      <c r="M128" s="402" t="inlineStr">
        <is>
          <t>Card</t>
        </is>
      </c>
      <c r="N128" s="402" t="inlineStr">
        <is>
          <t>No</t>
        </is>
      </c>
      <c r="O128" s="372" t="n">
        <v>813.28</v>
      </c>
      <c r="P128" s="402" t="inlineStr">
        <is>
          <t>AED</t>
        </is>
      </c>
      <c r="Q128" s="385">
        <f>IF($B128="","",IF($P128&lt;&gt;"AED",0,IF($F128="Income",$O128,IF($F128="Expense",-$O128,0))))</f>
        <v>-813.28</v>
      </c>
      <c r="R128" s="381" t="n"/>
      <c r="S128" s="403" t="inlineStr">
        <is>
          <t>Yes</t>
        </is>
      </c>
      <c r="T128" s="404" t="inlineStr">
        <is>
          <t>CONFIRMED via SMS — DEWA August paid on schedule.</t>
        </is>
      </c>
      <c r="U128" s="405" t="inlineStr">
        <is>
          <t>2026-08-26</t>
        </is>
      </c>
    </row>
    <row r="129" ht="15" customHeight="1" s="278">
      <c r="A129" s="399" t="str">
        <f>IF($B129="","","T"&amp;TEXT(ROW()-6,"0000"))</f>
        <v>T123.00</v>
      </c>
      <c r="B129" s="407" t="n">
        <v>46260</v>
      </c>
      <c r="C129" s="399" t="str">
        <f>IF($B129="","",TEXT($B129,"YYYY-MM"))</f>
        <v>2026-08</v>
      </c>
      <c r="D129" s="400">
        <f>IF($B129="","",YEAR($B129))</f>
        <v>2026.0</v>
      </c>
      <c r="E129" s="402" t="inlineStr">
        <is>
          <t>NBD Current</t>
        </is>
      </c>
      <c r="F129" s="402" t="inlineStr">
        <is>
          <t>Expense</t>
        </is>
      </c>
      <c r="G129" s="402" t="inlineStr">
        <is>
          <t>Investments</t>
        </is>
      </c>
      <c r="H129" s="402" t="inlineStr">
        <is>
          <t>Nippon SIP</t>
        </is>
      </c>
      <c r="I129" s="402" t="inlineStr">
        <is>
          <t>ICICI Bank — DirectRemit</t>
        </is>
      </c>
      <c r="J129" s="402" t="inlineStr">
        <is>
          <t>Personal</t>
        </is>
      </c>
      <c r="K129" s="402" t="inlineStr">
        <is>
          <t>Fixed</t>
        </is>
      </c>
      <c r="L129" s="402" t="inlineStr">
        <is>
          <t>Essential</t>
        </is>
      </c>
      <c r="M129" s="402" t="inlineStr">
        <is>
          <t>Bank transfer</t>
        </is>
      </c>
      <c r="N129" s="402" t="inlineStr">
        <is>
          <t>No</t>
        </is>
      </c>
      <c r="O129" s="372" t="n">
        <v>465.6</v>
      </c>
      <c r="P129" s="402" t="inlineStr">
        <is>
          <t>AED</t>
        </is>
      </c>
      <c r="Q129" s="385">
        <f>IF($B129="","",IF($P129&lt;&gt;"AED",0,IF($F129="Income",$O129,IF($F129="Expense",-$O129,0))))</f>
        <v>-465.6</v>
      </c>
      <c r="R129" s="381" t="n"/>
      <c r="S129" s="403" t="inlineStr">
        <is>
          <t>Yes</t>
        </is>
      </c>
      <c r="T129" s="404" t="inlineStr">
        <is>
          <t>CONFIRMED via transfer receipt — INR 12,000 at rate 0.0388. Happened 26 Aug, same day as salary/Tabby, not 10 Sep as previously modeled.</t>
        </is>
      </c>
      <c r="U129" s="405" t="inlineStr">
        <is>
          <t>2026-08-26</t>
        </is>
      </c>
    </row>
    <row r="130" ht="15" customHeight="1" s="278">
      <c r="A130" s="399" t="str">
        <f>IF($B130="","","T"&amp;TEXT(ROW()-6,"0000"))</f>
        <v>T124.00</v>
      </c>
      <c r="B130" s="407" t="n">
        <v>46260</v>
      </c>
      <c r="C130" s="399" t="str">
        <f>IF($B130="","",TEXT($B130,"YYYY-MM"))</f>
        <v>2026-08</v>
      </c>
      <c r="D130" s="400">
        <f>IF($B130="","",YEAR($B130))</f>
        <v>2026.0</v>
      </c>
      <c r="E130" s="402" t="inlineStr">
        <is>
          <t>FAB 4001 Current</t>
        </is>
      </c>
      <c r="F130" s="402" t="inlineStr">
        <is>
          <t>Expense</t>
        </is>
      </c>
      <c r="G130" s="402" t="inlineStr">
        <is>
          <t>Transport</t>
        </is>
      </c>
      <c r="H130" s="402" t="inlineStr">
        <is>
          <t>Fuel</t>
        </is>
      </c>
      <c r="I130" s="402" t="inlineStr">
        <is>
          <t>Emarat — Nad Al Hamar</t>
        </is>
      </c>
      <c r="J130" s="402" t="inlineStr">
        <is>
          <t>Household</t>
        </is>
      </c>
      <c r="K130" s="402" t="inlineStr">
        <is>
          <t>Variable</t>
        </is>
      </c>
      <c r="L130" s="402" t="inlineStr">
        <is>
          <t>Essential</t>
        </is>
      </c>
      <c r="M130" s="402" t="inlineStr">
        <is>
          <t>Card</t>
        </is>
      </c>
      <c r="N130" s="402" t="inlineStr">
        <is>
          <t>No</t>
        </is>
      </c>
      <c r="O130" s="372" t="n">
        <v>13.5</v>
      </c>
      <c r="P130" s="402" t="inlineStr">
        <is>
          <t>AED</t>
        </is>
      </c>
      <c r="Q130" s="385">
        <f>IF($B130="","",IF($P130&lt;&gt;"AED",0,IF($F130="Income",$O130,IF($F130="Expense",-$O130,0))))</f>
        <v>-13.5</v>
      </c>
      <c r="R130" s="381" t="n"/>
      <c r="S130" s="403" t="inlineStr">
        <is>
          <t>Yes</t>
        </is>
      </c>
      <c r="T130" s="404" t="inlineStr">
        <is>
          <t>CONFIRMED via SMS.</t>
        </is>
      </c>
      <c r="U130" s="408" t="inlineStr">
        <is>
          <t>2026-08-26 18:20</t>
        </is>
      </c>
    </row>
    <row r="131" ht="15" customHeight="1" s="278">
      <c r="A131" s="399" t="str">
        <f>IF($B131="","","T"&amp;TEXT(ROW()-6,"0000"))</f>
        <v>T125.00</v>
      </c>
      <c r="B131" s="407" t="n">
        <v>46260</v>
      </c>
      <c r="C131" s="399" t="str">
        <f>IF($B131="","",TEXT($B131,"YYYY-MM"))</f>
        <v>2026-08</v>
      </c>
      <c r="D131" s="400">
        <f>IF($B131="","",YEAR($B131))</f>
        <v>2026.0</v>
      </c>
      <c r="E131" s="402" t="inlineStr">
        <is>
          <t>NBD Current</t>
        </is>
      </c>
      <c r="F131" s="402" t="inlineStr">
        <is>
          <t>Expense</t>
        </is>
      </c>
      <c r="G131" s="402" t="inlineStr">
        <is>
          <t>Food &amp; Dining</t>
        </is>
      </c>
      <c r="H131" s="402" t="inlineStr">
        <is>
          <t>Restaurant</t>
        </is>
      </c>
      <c r="I131" s="402" t="inlineStr">
        <is>
          <t>Cielo Kabab Restaurant</t>
        </is>
      </c>
      <c r="J131" s="402" t="inlineStr">
        <is>
          <t>Personal</t>
        </is>
      </c>
      <c r="K131" s="402" t="inlineStr">
        <is>
          <t>Variable</t>
        </is>
      </c>
      <c r="L131" s="402" t="inlineStr">
        <is>
          <t>Non-Essential</t>
        </is>
      </c>
      <c r="M131" s="402" t="inlineStr">
        <is>
          <t>Card</t>
        </is>
      </c>
      <c r="N131" s="402" t="inlineStr">
        <is>
          <t>No</t>
        </is>
      </c>
      <c r="O131" s="372" t="n">
        <v>20</v>
      </c>
      <c r="P131" s="402" t="inlineStr">
        <is>
          <t>AED</t>
        </is>
      </c>
      <c r="Q131" s="385">
        <f>IF($B131="","",IF($P131&lt;&gt;"AED",0,IF($F131="Income",$O131,IF($F131="Expense",-$O131,0))))</f>
        <v>-20.0</v>
      </c>
      <c r="R131" s="381" t="n"/>
      <c r="S131" s="403" t="inlineStr">
        <is>
          <t>Yes</t>
        </is>
      </c>
      <c r="T131" s="404" t="inlineStr">
        <is>
          <t>CONFIRMED via SMS.</t>
        </is>
      </c>
      <c r="U131" s="408" t="inlineStr">
        <is>
          <t>2026-08-26 15:24</t>
        </is>
      </c>
    </row>
    <row r="132" ht="15" customHeight="1" s="278">
      <c r="A132" s="399" t="str">
        <f>IF($B132="","","T"&amp;TEXT(ROW()-6,"0000"))</f>
        <v>T126.00</v>
      </c>
      <c r="B132" s="407" t="n">
        <v>46260</v>
      </c>
      <c r="C132" s="399" t="str">
        <f>IF($B132="","",TEXT($B132,"YYYY-MM"))</f>
        <v>2026-08</v>
      </c>
      <c r="D132" s="400">
        <f>IF($B132="","",YEAR($B132))</f>
        <v>2026.0</v>
      </c>
      <c r="E132" s="402" t="inlineStr">
        <is>
          <t>NBD Current</t>
        </is>
      </c>
      <c r="F132" s="402" t="inlineStr">
        <is>
          <t>Expense</t>
        </is>
      </c>
      <c r="G132" s="402" t="inlineStr">
        <is>
          <t>Transport</t>
        </is>
      </c>
      <c r="H132" s="402" t="inlineStr">
        <is>
          <t>Fuel</t>
        </is>
      </c>
      <c r="I132" s="402" t="inlineStr">
        <is>
          <t>Emarat 6192 — Nad Al Ham</t>
        </is>
      </c>
      <c r="J132" s="402" t="inlineStr">
        <is>
          <t>Household</t>
        </is>
      </c>
      <c r="K132" s="402" t="inlineStr">
        <is>
          <t>Variable</t>
        </is>
      </c>
      <c r="L132" s="402" t="inlineStr">
        <is>
          <t>Essential</t>
        </is>
      </c>
      <c r="M132" s="402" t="inlineStr">
        <is>
          <t>Card</t>
        </is>
      </c>
      <c r="N132" s="402" t="inlineStr">
        <is>
          <t>No</t>
        </is>
      </c>
      <c r="O132" s="372" t="n">
        <v>75.05</v>
      </c>
      <c r="P132" s="402" t="inlineStr">
        <is>
          <t>AED</t>
        </is>
      </c>
      <c r="Q132" s="385">
        <f>IF($B132="","",IF($P132&lt;&gt;"AED",0,IF($F132="Income",$O132,IF($F132="Expense",-$O132,0))))</f>
        <v>-75.05</v>
      </c>
      <c r="R132" s="381" t="n"/>
      <c r="S132" s="403" t="inlineStr">
        <is>
          <t>Yes</t>
        </is>
      </c>
      <c r="T132" s="404" t="inlineStr">
        <is>
          <t>CONFIRMED via SMS.</t>
        </is>
      </c>
      <c r="U132" s="408" t="inlineStr">
        <is>
          <t>2026-08-26 18:22</t>
        </is>
      </c>
    </row>
    <row r="133" ht="15" customHeight="1" s="278">
      <c r="A133" s="399" t="str">
        <f>IF($B133="","","T"&amp;TEXT(ROW()-6,"0000"))</f>
        <v>T127.00</v>
      </c>
      <c r="B133" s="407" t="n">
        <v>46260</v>
      </c>
      <c r="C133" s="399" t="str">
        <f>IF($B133="","",TEXT($B133,"YYYY-MM"))</f>
        <v>2026-08</v>
      </c>
      <c r="D133" s="400">
        <f>IF($B133="","",YEAR($B133))</f>
        <v>2026.0</v>
      </c>
      <c r="E133" s="402" t="inlineStr">
        <is>
          <t>NBD Current</t>
        </is>
      </c>
      <c r="F133" s="402" t="inlineStr">
        <is>
          <t>Expense</t>
        </is>
      </c>
      <c r="G133" s="402" t="inlineStr">
        <is>
          <t>Subscriptions</t>
        </is>
      </c>
      <c r="H133" s="402" t="inlineStr">
        <is>
          <t>Netflix</t>
        </is>
      </c>
      <c r="I133" s="402" t="inlineStr">
        <is>
          <t>Netflix.com</t>
        </is>
      </c>
      <c r="J133" s="402" t="inlineStr">
        <is>
          <t>Personal</t>
        </is>
      </c>
      <c r="K133" s="402" t="inlineStr">
        <is>
          <t>Fixed</t>
        </is>
      </c>
      <c r="L133" s="402" t="inlineStr">
        <is>
          <t>Non-Essential</t>
        </is>
      </c>
      <c r="M133" s="402" t="inlineStr">
        <is>
          <t>Card</t>
        </is>
      </c>
      <c r="N133" s="402" t="inlineStr">
        <is>
          <t>Yes</t>
        </is>
      </c>
      <c r="O133" s="372" t="n">
        <v>36.09</v>
      </c>
      <c r="P133" s="402" t="inlineStr">
        <is>
          <t>AED</t>
        </is>
      </c>
      <c r="Q133" s="385">
        <f>IF($B133="","",IF($P133&lt;&gt;"AED",0,IF($F133="Income",$O133,IF($F133="Expense",-$O133,0))))</f>
        <v>-36.09</v>
      </c>
      <c r="R133" s="381" t="n"/>
      <c r="S133" s="403" t="inlineStr">
        <is>
          <t>Yes</t>
        </is>
      </c>
      <c r="T133" s="404" t="inlineStr">
        <is>
          <t>CONFIRMED via SMS — actual debit 36.09, SMS displayed approx 35.00 and flagged to check statement.</t>
        </is>
      </c>
      <c r="U133" s="408" t="inlineStr">
        <is>
          <t>2026-08-26 19:47</t>
        </is>
      </c>
    </row>
    <row r="134" ht="15" customHeight="1" s="278">
      <c r="A134" s="399" t="str">
        <f>IF($B134="","","T"&amp;TEXT(ROW()-6,"0000"))</f>
        <v/>
      </c>
      <c r="B134" s="386" t="n"/>
      <c r="C134" s="399" t="str">
        <f>IF($B134="","",TEXT($B134,"YYYY-MM"))</f>
        <v/>
      </c>
      <c r="D134" s="400" t="str">
        <f>IF($B134="","",YEAR($B134))</f>
        <v/>
      </c>
      <c r="E134" s="391" t="n"/>
      <c r="F134" s="391" t="n"/>
      <c r="G134" s="391" t="n"/>
      <c r="H134" s="391" t="n"/>
      <c r="I134" s="391" t="n"/>
      <c r="J134" s="391" t="n"/>
      <c r="K134" s="391" t="n"/>
      <c r="L134" s="391" t="n"/>
      <c r="M134" s="391" t="n"/>
      <c r="N134" s="391" t="n"/>
      <c r="O134" s="392" t="n"/>
      <c r="P134" s="391" t="n"/>
      <c r="Q134" s="385" t="str">
        <f>IF($B134="","",IF($P134&lt;&gt;"AED",0,IF($F134="Income",$O134,IF($F134="Expense",-$O134,0))))</f>
        <v/>
      </c>
      <c r="R134" s="381" t="n"/>
      <c r="S134" s="381" t="n"/>
      <c r="T134" s="381" t="n"/>
      <c r="U134" s="381" t="n"/>
    </row>
    <row r="135" ht="15" customHeight="1" s="278">
      <c r="A135" s="399" t="str">
        <f>IF($B135="","","T"&amp;TEXT(ROW()-6,"0000"))</f>
        <v/>
      </c>
      <c r="B135" s="386" t="n"/>
      <c r="C135" s="399" t="str">
        <f>IF($B135="","",TEXT($B135,"YYYY-MM"))</f>
        <v/>
      </c>
      <c r="D135" s="400" t="str">
        <f>IF($B135="","",YEAR($B135))</f>
        <v/>
      </c>
      <c r="E135" s="391" t="n"/>
      <c r="F135" s="391" t="n"/>
      <c r="G135" s="391" t="n"/>
      <c r="H135" s="391" t="n"/>
      <c r="I135" s="391" t="n"/>
      <c r="J135" s="391" t="n"/>
      <c r="K135" s="391" t="n"/>
      <c r="L135" s="391" t="n"/>
      <c r="M135" s="391" t="n"/>
      <c r="N135" s="391" t="n"/>
      <c r="O135" s="392" t="n"/>
      <c r="P135" s="391" t="n"/>
      <c r="Q135" s="385" t="str">
        <f>IF($B135="","",IF($P135&lt;&gt;"AED",0,IF($F135="Income",$O135,IF($F135="Expense",-$O135,0))))</f>
        <v/>
      </c>
      <c r="R135" s="381" t="n"/>
      <c r="S135" s="381" t="n"/>
      <c r="T135" s="381" t="n"/>
      <c r="U135" s="381" t="n"/>
    </row>
    <row r="136" ht="15" customHeight="1" s="278">
      <c r="A136" s="399" t="str">
        <f>IF($B136="","","T"&amp;TEXT(ROW()-6,"0000"))</f>
        <v/>
      </c>
      <c r="B136" s="386" t="n"/>
      <c r="C136" s="399" t="str">
        <f>IF($B136="","",TEXT($B136,"YYYY-MM"))</f>
        <v/>
      </c>
      <c r="D136" s="400" t="str">
        <f>IF($B136="","",YEAR($B136))</f>
        <v/>
      </c>
      <c r="E136" s="391" t="n"/>
      <c r="F136" s="391" t="n"/>
      <c r="G136" s="391" t="n"/>
      <c r="H136" s="391" t="n"/>
      <c r="I136" s="391" t="n"/>
      <c r="J136" s="391" t="n"/>
      <c r="K136" s="391" t="n"/>
      <c r="L136" s="391" t="n"/>
      <c r="M136" s="391" t="n"/>
      <c r="N136" s="391" t="n"/>
      <c r="O136" s="392" t="n"/>
      <c r="P136" s="391" t="n"/>
      <c r="Q136" s="385" t="str">
        <f>IF($B136="","",IF($P136&lt;&gt;"AED",0,IF($F136="Income",$O136,IF($F136="Expense",-$O136,0))))</f>
        <v/>
      </c>
      <c r="R136" s="381" t="n"/>
      <c r="S136" s="381" t="n"/>
      <c r="T136" s="381" t="n"/>
      <c r="U136" s="381" t="n"/>
    </row>
    <row r="137" ht="15" customHeight="1" s="278">
      <c r="A137" s="399" t="str">
        <f>IF($B137="","","T"&amp;TEXT(ROW()-6,"0000"))</f>
        <v/>
      </c>
      <c r="B137" s="386" t="n"/>
      <c r="C137" s="399" t="str">
        <f>IF($B137="","",TEXT($B137,"YYYY-MM"))</f>
        <v/>
      </c>
      <c r="D137" s="400" t="str">
        <f>IF($B137="","",YEAR($B137))</f>
        <v/>
      </c>
      <c r="E137" s="391" t="n"/>
      <c r="F137" s="391" t="n"/>
      <c r="G137" s="391" t="n"/>
      <c r="H137" s="391" t="n"/>
      <c r="I137" s="391" t="n"/>
      <c r="J137" s="391" t="n"/>
      <c r="K137" s="391" t="n"/>
      <c r="L137" s="391" t="n"/>
      <c r="M137" s="391" t="n"/>
      <c r="N137" s="391" t="n"/>
      <c r="O137" s="392" t="n"/>
      <c r="P137" s="391" t="n"/>
      <c r="Q137" s="385" t="str">
        <f>IF($B137="","",IF($P137&lt;&gt;"AED",0,IF($F137="Income",$O137,IF($F137="Expense",-$O137,0))))</f>
        <v/>
      </c>
      <c r="R137" s="381" t="n"/>
      <c r="S137" s="381" t="n"/>
      <c r="T137" s="381" t="n"/>
      <c r="U137" s="381" t="n"/>
    </row>
    <row r="138" ht="15" customHeight="1" s="278">
      <c r="A138" s="399" t="str">
        <f>IF($B138="","","T"&amp;TEXT(ROW()-6,"0000"))</f>
        <v/>
      </c>
      <c r="B138" s="386" t="n"/>
      <c r="C138" s="399" t="str">
        <f>IF($B138="","",TEXT($B138,"YYYY-MM"))</f>
        <v/>
      </c>
      <c r="D138" s="400" t="str">
        <f>IF($B138="","",YEAR($B138))</f>
        <v/>
      </c>
      <c r="E138" s="391" t="n"/>
      <c r="F138" s="391" t="n"/>
      <c r="G138" s="391" t="n"/>
      <c r="H138" s="391" t="n"/>
      <c r="I138" s="391" t="n"/>
      <c r="J138" s="391" t="n"/>
      <c r="K138" s="391" t="n"/>
      <c r="L138" s="391" t="n"/>
      <c r="M138" s="391" t="n"/>
      <c r="N138" s="391" t="n"/>
      <c r="O138" s="392" t="n"/>
      <c r="P138" s="391" t="n"/>
      <c r="Q138" s="385" t="str">
        <f>IF($B138="","",IF($P138&lt;&gt;"AED",0,IF($F138="Income",$O138,IF($F138="Expense",-$O138,0))))</f>
        <v/>
      </c>
      <c r="R138" s="381" t="n"/>
      <c r="S138" s="381" t="n"/>
      <c r="T138" s="381" t="n"/>
      <c r="U138" s="381" t="n"/>
    </row>
    <row r="139" ht="15" customHeight="1" s="278">
      <c r="A139" s="399" t="str">
        <f>IF($B139="","","T"&amp;TEXT(ROW()-6,"0000"))</f>
        <v/>
      </c>
      <c r="B139" s="386" t="n"/>
      <c r="C139" s="399" t="str">
        <f>IF($B139="","",TEXT($B139,"YYYY-MM"))</f>
        <v/>
      </c>
      <c r="D139" s="400" t="str">
        <f>IF($B139="","",YEAR($B139))</f>
        <v/>
      </c>
      <c r="E139" s="391" t="n"/>
      <c r="F139" s="391" t="n"/>
      <c r="G139" s="391" t="n"/>
      <c r="H139" s="391" t="n"/>
      <c r="I139" s="391" t="n"/>
      <c r="J139" s="391" t="n"/>
      <c r="K139" s="391" t="n"/>
      <c r="L139" s="391" t="n"/>
      <c r="M139" s="391" t="n"/>
      <c r="N139" s="391" t="n"/>
      <c r="O139" s="392" t="n"/>
      <c r="P139" s="391" t="n"/>
      <c r="Q139" s="385" t="str">
        <f>IF($B139="","",IF($P139&lt;&gt;"AED",0,IF($F139="Income",$O139,IF($F139="Expense",-$O139,0))))</f>
        <v/>
      </c>
      <c r="R139" s="381" t="n"/>
      <c r="S139" s="381" t="n"/>
      <c r="T139" s="381" t="n"/>
      <c r="U139" s="381" t="n"/>
    </row>
    <row r="140" ht="15" customHeight="1" s="278">
      <c r="A140" s="399" t="str">
        <f>IF($B140="","","T"&amp;TEXT(ROW()-6,"0000"))</f>
        <v/>
      </c>
      <c r="B140" s="386" t="n"/>
      <c r="C140" s="399" t="str">
        <f>IF($B140="","",TEXT($B140,"YYYY-MM"))</f>
        <v/>
      </c>
      <c r="D140" s="400" t="str">
        <f>IF($B140="","",YEAR($B140))</f>
        <v/>
      </c>
      <c r="E140" s="391" t="n"/>
      <c r="F140" s="391" t="n"/>
      <c r="G140" s="391" t="n"/>
      <c r="H140" s="391" t="n"/>
      <c r="I140" s="391" t="n"/>
      <c r="J140" s="391" t="n"/>
      <c r="K140" s="391" t="n"/>
      <c r="L140" s="391" t="n"/>
      <c r="M140" s="391" t="n"/>
      <c r="N140" s="391" t="n"/>
      <c r="O140" s="392" t="n"/>
      <c r="P140" s="391" t="n"/>
      <c r="Q140" s="385" t="str">
        <f>IF($B140="","",IF($P140&lt;&gt;"AED",0,IF($F140="Income",$O140,IF($F140="Expense",-$O140,0))))</f>
        <v/>
      </c>
      <c r="R140" s="381" t="n"/>
      <c r="S140" s="381" t="n"/>
      <c r="T140" s="381" t="n"/>
      <c r="U140" s="381" t="n"/>
    </row>
    <row r="141" ht="15" customHeight="1" s="278">
      <c r="A141" s="399" t="str">
        <f>IF($B141="","","T"&amp;TEXT(ROW()-6,"0000"))</f>
        <v/>
      </c>
      <c r="B141" s="386" t="n"/>
      <c r="C141" s="399" t="str">
        <f>IF($B141="","",TEXT($B141,"YYYY-MM"))</f>
        <v/>
      </c>
      <c r="D141" s="400" t="str">
        <f>IF($B141="","",YEAR($B141))</f>
        <v/>
      </c>
      <c r="E141" s="391" t="n"/>
      <c r="F141" s="391" t="n"/>
      <c r="G141" s="391" t="n"/>
      <c r="H141" s="391" t="n"/>
      <c r="I141" s="391" t="n"/>
      <c r="J141" s="391" t="n"/>
      <c r="K141" s="391" t="n"/>
      <c r="L141" s="391" t="n"/>
      <c r="M141" s="391" t="n"/>
      <c r="N141" s="391" t="n"/>
      <c r="O141" s="392" t="n"/>
      <c r="P141" s="391" t="n"/>
      <c r="Q141" s="385" t="str">
        <f>IF($B141="","",IF($P141&lt;&gt;"AED",0,IF($F141="Income",$O141,IF($F141="Expense",-$O141,0))))</f>
        <v/>
      </c>
      <c r="R141" s="381" t="n"/>
      <c r="S141" s="381" t="n"/>
      <c r="T141" s="381" t="n"/>
      <c r="U141" s="381" t="n"/>
    </row>
    <row r="142" ht="15" customHeight="1" s="278">
      <c r="A142" s="399" t="str">
        <f>IF($B142="","","T"&amp;TEXT(ROW()-6,"0000"))</f>
        <v/>
      </c>
      <c r="B142" s="386" t="n"/>
      <c r="C142" s="399" t="str">
        <f>IF($B142="","",TEXT($B142,"YYYY-MM"))</f>
        <v/>
      </c>
      <c r="D142" s="400" t="str">
        <f>IF($B142="","",YEAR($B142))</f>
        <v/>
      </c>
      <c r="E142" s="391" t="n"/>
      <c r="F142" s="391" t="n"/>
      <c r="G142" s="391" t="n"/>
      <c r="H142" s="391" t="n"/>
      <c r="I142" s="391" t="n"/>
      <c r="J142" s="391" t="n"/>
      <c r="K142" s="391" t="n"/>
      <c r="L142" s="391" t="n"/>
      <c r="M142" s="391" t="n"/>
      <c r="N142" s="391" t="n"/>
      <c r="O142" s="392" t="n"/>
      <c r="P142" s="391" t="n"/>
      <c r="Q142" s="385" t="str">
        <f>IF($B142="","",IF($P142&lt;&gt;"AED",0,IF($F142="Income",$O142,IF($F142="Expense",-$O142,0))))</f>
        <v/>
      </c>
      <c r="R142" s="381" t="n"/>
      <c r="S142" s="381" t="n"/>
      <c r="T142" s="381" t="n"/>
      <c r="U142" s="381" t="n"/>
    </row>
    <row r="143" ht="15" customHeight="1" s="278">
      <c r="A143" s="399" t="str">
        <f>IF($B143="","","T"&amp;TEXT(ROW()-6,"0000"))</f>
        <v/>
      </c>
      <c r="B143" s="386" t="n"/>
      <c r="C143" s="399" t="str">
        <f>IF($B143="","",TEXT($B143,"YYYY-MM"))</f>
        <v/>
      </c>
      <c r="D143" s="400" t="str">
        <f>IF($B143="","",YEAR($B143))</f>
        <v/>
      </c>
      <c r="E143" s="391" t="n"/>
      <c r="F143" s="391" t="n"/>
      <c r="G143" s="391" t="n"/>
      <c r="H143" s="391" t="n"/>
      <c r="I143" s="391" t="n"/>
      <c r="J143" s="391" t="n"/>
      <c r="K143" s="391" t="n"/>
      <c r="L143" s="391" t="n"/>
      <c r="M143" s="391" t="n"/>
      <c r="N143" s="391" t="n"/>
      <c r="O143" s="392" t="n"/>
      <c r="P143" s="391" t="n"/>
      <c r="Q143" s="385" t="str">
        <f>IF($B143="","",IF($P143&lt;&gt;"AED",0,IF($F143="Income",$O143,IF($F143="Expense",-$O143,0))))</f>
        <v/>
      </c>
      <c r="R143" s="381" t="n"/>
      <c r="S143" s="381" t="n"/>
      <c r="T143" s="381" t="n"/>
      <c r="U143" s="381" t="n"/>
    </row>
    <row r="144" ht="15" customHeight="1" s="278">
      <c r="A144" s="399" t="str">
        <f>IF($B144="","","T"&amp;TEXT(ROW()-6,"0000"))</f>
        <v/>
      </c>
      <c r="B144" s="386" t="n"/>
      <c r="C144" s="399" t="str">
        <f>IF($B144="","",TEXT($B144,"YYYY-MM"))</f>
        <v/>
      </c>
      <c r="D144" s="400" t="str">
        <f>IF($B144="","",YEAR($B144))</f>
        <v/>
      </c>
      <c r="E144" s="391" t="n"/>
      <c r="F144" s="391" t="n"/>
      <c r="G144" s="391" t="n"/>
      <c r="H144" s="391" t="n"/>
      <c r="I144" s="391" t="n"/>
      <c r="J144" s="391" t="n"/>
      <c r="K144" s="391" t="n"/>
      <c r="L144" s="391" t="n"/>
      <c r="M144" s="391" t="n"/>
      <c r="N144" s="391" t="n"/>
      <c r="O144" s="392" t="n"/>
      <c r="P144" s="391" t="n"/>
      <c r="Q144" s="385" t="str">
        <f>IF($B144="","",IF($P144&lt;&gt;"AED",0,IF($F144="Income",$O144,IF($F144="Expense",-$O144,0))))</f>
        <v/>
      </c>
      <c r="R144" s="381" t="n"/>
      <c r="S144" s="381" t="n"/>
      <c r="T144" s="381" t="n"/>
      <c r="U144" s="381" t="n"/>
    </row>
    <row r="145" ht="15" customHeight="1" s="278">
      <c r="A145" s="399" t="str">
        <f>IF($B145="","","T"&amp;TEXT(ROW()-6,"0000"))</f>
        <v/>
      </c>
      <c r="B145" s="386" t="n"/>
      <c r="C145" s="399" t="str">
        <f>IF($B145="","",TEXT($B145,"YYYY-MM"))</f>
        <v/>
      </c>
      <c r="D145" s="400" t="str">
        <f>IF($B145="","",YEAR($B145))</f>
        <v/>
      </c>
      <c r="E145" s="391" t="n"/>
      <c r="F145" s="391" t="n"/>
      <c r="G145" s="391" t="n"/>
      <c r="H145" s="391" t="n"/>
      <c r="I145" s="391" t="n"/>
      <c r="J145" s="391" t="n"/>
      <c r="K145" s="391" t="n"/>
      <c r="L145" s="391" t="n"/>
      <c r="M145" s="391" t="n"/>
      <c r="N145" s="391" t="n"/>
      <c r="O145" s="392" t="n"/>
      <c r="P145" s="391" t="n"/>
      <c r="Q145" s="385" t="str">
        <f>IF($B145="","",IF($P145&lt;&gt;"AED",0,IF($F145="Income",$O145,IF($F145="Expense",-$O145,0))))</f>
        <v/>
      </c>
      <c r="R145" s="381" t="n"/>
      <c r="S145" s="381" t="n"/>
      <c r="T145" s="381" t="n"/>
      <c r="U145" s="381" t="n"/>
    </row>
    <row r="146" ht="15" customHeight="1" s="278">
      <c r="A146" s="399" t="str">
        <f>IF($B146="","","T"&amp;TEXT(ROW()-6,"0000"))</f>
        <v/>
      </c>
      <c r="B146" s="386" t="n"/>
      <c r="C146" s="399" t="str">
        <f>IF($B146="","",TEXT($B146,"YYYY-MM"))</f>
        <v/>
      </c>
      <c r="D146" s="400" t="str">
        <f>IF($B146="","",YEAR($B146))</f>
        <v/>
      </c>
      <c r="E146" s="391" t="n"/>
      <c r="F146" s="391" t="n"/>
      <c r="G146" s="391" t="n"/>
      <c r="H146" s="391" t="n"/>
      <c r="I146" s="391" t="n"/>
      <c r="J146" s="391" t="n"/>
      <c r="K146" s="391" t="n"/>
      <c r="L146" s="391" t="n"/>
      <c r="M146" s="391" t="n"/>
      <c r="N146" s="391" t="n"/>
      <c r="O146" s="392" t="n"/>
      <c r="P146" s="391" t="n"/>
      <c r="Q146" s="385" t="str">
        <f>IF($B146="","",IF($P146&lt;&gt;"AED",0,IF($F146="Income",$O146,IF($F146="Expense",-$O146,0))))</f>
        <v/>
      </c>
      <c r="R146" s="381" t="n"/>
      <c r="S146" s="381" t="n"/>
      <c r="T146" s="381" t="n"/>
      <c r="U146" s="381" t="n"/>
    </row>
    <row r="147" ht="15" customHeight="1" s="278">
      <c r="A147" s="399" t="str">
        <f>IF($B147="","","T"&amp;TEXT(ROW()-6,"0000"))</f>
        <v/>
      </c>
      <c r="B147" s="386" t="n"/>
      <c r="C147" s="399" t="str">
        <f>IF($B147="","",TEXT($B147,"YYYY-MM"))</f>
        <v/>
      </c>
      <c r="D147" s="400" t="str">
        <f>IF($B147="","",YEAR($B147))</f>
        <v/>
      </c>
      <c r="E147" s="391" t="n"/>
      <c r="F147" s="391" t="n"/>
      <c r="G147" s="391" t="n"/>
      <c r="H147" s="391" t="n"/>
      <c r="I147" s="391" t="n"/>
      <c r="J147" s="391" t="n"/>
      <c r="K147" s="391" t="n"/>
      <c r="L147" s="391" t="n"/>
      <c r="M147" s="391" t="n"/>
      <c r="N147" s="391" t="n"/>
      <c r="O147" s="392" t="n"/>
      <c r="P147" s="391" t="n"/>
      <c r="Q147" s="385" t="str">
        <f>IF($B147="","",IF($P147&lt;&gt;"AED",0,IF($F147="Income",$O147,IF($F147="Expense",-$O147,0))))</f>
        <v/>
      </c>
      <c r="R147" s="381" t="n"/>
      <c r="S147" s="381" t="n"/>
      <c r="T147" s="381" t="n"/>
      <c r="U147" s="381" t="n"/>
    </row>
    <row r="148" ht="15" customHeight="1" s="278">
      <c r="A148" s="399" t="str">
        <f>IF($B148="","","T"&amp;TEXT(ROW()-6,"0000"))</f>
        <v/>
      </c>
      <c r="B148" s="386" t="n"/>
      <c r="C148" s="399" t="str">
        <f>IF($B148="","",TEXT($B148,"YYYY-MM"))</f>
        <v/>
      </c>
      <c r="D148" s="400" t="str">
        <f>IF($B148="","",YEAR($B148))</f>
        <v/>
      </c>
      <c r="E148" s="391" t="n"/>
      <c r="F148" s="391" t="n"/>
      <c r="G148" s="391" t="n"/>
      <c r="H148" s="391" t="n"/>
      <c r="I148" s="391" t="n"/>
      <c r="J148" s="391" t="n"/>
      <c r="K148" s="391" t="n"/>
      <c r="L148" s="391" t="n"/>
      <c r="M148" s="391" t="n"/>
      <c r="N148" s="391" t="n"/>
      <c r="O148" s="392" t="n"/>
      <c r="P148" s="391" t="n"/>
      <c r="Q148" s="385" t="str">
        <f>IF($B148="","",IF($P148&lt;&gt;"AED",0,IF($F148="Income",$O148,IF($F148="Expense",-$O148,0))))</f>
        <v/>
      </c>
      <c r="R148" s="381" t="n"/>
      <c r="S148" s="381" t="n"/>
      <c r="T148" s="381" t="n"/>
      <c r="U148" s="381" t="n"/>
    </row>
    <row r="149" ht="15" customHeight="1" s="278">
      <c r="A149" s="399" t="str">
        <f>IF($B149="","","T"&amp;TEXT(ROW()-6,"0000"))</f>
        <v/>
      </c>
      <c r="B149" s="386" t="n"/>
      <c r="C149" s="399" t="str">
        <f>IF($B149="","",TEXT($B149,"YYYY-MM"))</f>
        <v/>
      </c>
      <c r="D149" s="400" t="str">
        <f>IF($B149="","",YEAR($B149))</f>
        <v/>
      </c>
      <c r="E149" s="391" t="n"/>
      <c r="F149" s="391" t="n"/>
      <c r="G149" s="391" t="n"/>
      <c r="H149" s="391" t="n"/>
      <c r="I149" s="391" t="n"/>
      <c r="J149" s="391" t="n"/>
      <c r="K149" s="391" t="n"/>
      <c r="L149" s="391" t="n"/>
      <c r="M149" s="391" t="n"/>
      <c r="N149" s="391" t="n"/>
      <c r="O149" s="392" t="n"/>
      <c r="P149" s="391" t="n"/>
      <c r="Q149" s="385" t="str">
        <f>IF($B149="","",IF($P149&lt;&gt;"AED",0,IF($F149="Income",$O149,IF($F149="Expense",-$O149,0))))</f>
        <v/>
      </c>
      <c r="R149" s="381" t="n"/>
      <c r="S149" s="381" t="n"/>
      <c r="T149" s="381" t="n"/>
      <c r="U149" s="381" t="n"/>
    </row>
    <row r="150" ht="15" customHeight="1" s="278">
      <c r="A150" s="399" t="str">
        <f>IF($B150="","","T"&amp;TEXT(ROW()-6,"0000"))</f>
        <v/>
      </c>
      <c r="B150" s="386" t="n"/>
      <c r="C150" s="399" t="str">
        <f>IF($B150="","",TEXT($B150,"YYYY-MM"))</f>
        <v/>
      </c>
      <c r="D150" s="400" t="str">
        <f>IF($B150="","",YEAR($B150))</f>
        <v/>
      </c>
      <c r="E150" s="391" t="n"/>
      <c r="F150" s="391" t="n"/>
      <c r="G150" s="391" t="n"/>
      <c r="H150" s="391" t="n"/>
      <c r="I150" s="391" t="n"/>
      <c r="J150" s="391" t="n"/>
      <c r="K150" s="391" t="n"/>
      <c r="L150" s="391" t="n"/>
      <c r="M150" s="391" t="n"/>
      <c r="N150" s="391" t="n"/>
      <c r="O150" s="392" t="n"/>
      <c r="P150" s="391" t="n"/>
      <c r="Q150" s="385" t="str">
        <f>IF($B150="","",IF($P150&lt;&gt;"AED",0,IF($F150="Income",$O150,IF($F150="Expense",-$O150,0))))</f>
        <v/>
      </c>
      <c r="R150" s="381" t="n"/>
      <c r="S150" s="381" t="n"/>
      <c r="T150" s="381" t="n"/>
      <c r="U150" s="381" t="n"/>
    </row>
    <row r="151" ht="15" customHeight="1" s="278">
      <c r="A151" s="399" t="str">
        <f>IF($B151="","","T"&amp;TEXT(ROW()-6,"0000"))</f>
        <v/>
      </c>
      <c r="B151" s="386" t="n"/>
      <c r="C151" s="399" t="str">
        <f>IF($B151="","",TEXT($B151,"YYYY-MM"))</f>
        <v/>
      </c>
      <c r="D151" s="400" t="str">
        <f>IF($B151="","",YEAR($B151))</f>
        <v/>
      </c>
      <c r="E151" s="391" t="n"/>
      <c r="F151" s="391" t="n"/>
      <c r="G151" s="391" t="n"/>
      <c r="H151" s="391" t="n"/>
      <c r="I151" s="391" t="n"/>
      <c r="J151" s="391" t="n"/>
      <c r="K151" s="391" t="n"/>
      <c r="L151" s="391" t="n"/>
      <c r="M151" s="391" t="n"/>
      <c r="N151" s="391" t="n"/>
      <c r="O151" s="392" t="n"/>
      <c r="P151" s="391" t="n"/>
      <c r="Q151" s="385" t="str">
        <f>IF($B151="","",IF($P151&lt;&gt;"AED",0,IF($F151="Income",$O151,IF($F151="Expense",-$O151,0))))</f>
        <v/>
      </c>
      <c r="R151" s="381" t="n"/>
      <c r="S151" s="381" t="n"/>
      <c r="T151" s="381" t="n"/>
      <c r="U151" s="381" t="n"/>
    </row>
    <row r="152" ht="15" customHeight="1" s="278">
      <c r="A152" s="399" t="str">
        <f>IF($B152="","","T"&amp;TEXT(ROW()-6,"0000"))</f>
        <v/>
      </c>
      <c r="B152" s="386" t="n"/>
      <c r="C152" s="399" t="str">
        <f>IF($B152="","",TEXT($B152,"YYYY-MM"))</f>
        <v/>
      </c>
      <c r="D152" s="400" t="str">
        <f>IF($B152="","",YEAR($B152))</f>
        <v/>
      </c>
      <c r="E152" s="391" t="n"/>
      <c r="F152" s="391" t="n"/>
      <c r="G152" s="391" t="n"/>
      <c r="H152" s="391" t="n"/>
      <c r="I152" s="391" t="n"/>
      <c r="J152" s="391" t="n"/>
      <c r="K152" s="391" t="n"/>
      <c r="L152" s="391" t="n"/>
      <c r="M152" s="391" t="n"/>
      <c r="N152" s="391" t="n"/>
      <c r="O152" s="392" t="n"/>
      <c r="P152" s="391" t="n"/>
      <c r="Q152" s="385" t="str">
        <f>IF($B152="","",IF($P152&lt;&gt;"AED",0,IF($F152="Income",$O152,IF($F152="Expense",-$O152,0))))</f>
        <v/>
      </c>
      <c r="R152" s="381" t="n"/>
      <c r="S152" s="381" t="n"/>
      <c r="T152" s="381" t="n"/>
      <c r="U152" s="381" t="n"/>
    </row>
    <row r="153" ht="15" customHeight="1" s="278">
      <c r="A153" s="399" t="str">
        <f>IF($B153="","","T"&amp;TEXT(ROW()-6,"0000"))</f>
        <v/>
      </c>
      <c r="B153" s="386" t="n"/>
      <c r="C153" s="399" t="str">
        <f>IF($B153="","",TEXT($B153,"YYYY-MM"))</f>
        <v/>
      </c>
      <c r="D153" s="400" t="str">
        <f>IF($B153="","",YEAR($B153))</f>
        <v/>
      </c>
      <c r="E153" s="391" t="n"/>
      <c r="F153" s="391" t="n"/>
      <c r="G153" s="391" t="n"/>
      <c r="H153" s="391" t="n"/>
      <c r="I153" s="391" t="n"/>
      <c r="J153" s="391" t="n"/>
      <c r="K153" s="391" t="n"/>
      <c r="L153" s="391" t="n"/>
      <c r="M153" s="391" t="n"/>
      <c r="N153" s="391" t="n"/>
      <c r="O153" s="392" t="n"/>
      <c r="P153" s="391" t="n"/>
      <c r="Q153" s="385" t="str">
        <f>IF($B153="","",IF($P153&lt;&gt;"AED",0,IF($F153="Income",$O153,IF($F153="Expense",-$O153,0))))</f>
        <v/>
      </c>
      <c r="R153" s="381" t="n"/>
      <c r="S153" s="381" t="n"/>
      <c r="T153" s="381" t="n"/>
      <c r="U153" s="381" t="n"/>
    </row>
    <row r="154" ht="15" customHeight="1" s="278">
      <c r="A154" s="399" t="str">
        <f>IF($B154="","","T"&amp;TEXT(ROW()-6,"0000"))</f>
        <v/>
      </c>
      <c r="B154" s="386" t="n"/>
      <c r="C154" s="399" t="str">
        <f>IF($B154="","",TEXT($B154,"YYYY-MM"))</f>
        <v/>
      </c>
      <c r="D154" s="400" t="str">
        <f>IF($B154="","",YEAR($B154))</f>
        <v/>
      </c>
      <c r="E154" s="391" t="n"/>
      <c r="F154" s="391" t="n"/>
      <c r="G154" s="391" t="n"/>
      <c r="H154" s="391" t="n"/>
      <c r="I154" s="391" t="n"/>
      <c r="J154" s="391" t="n"/>
      <c r="K154" s="391" t="n"/>
      <c r="L154" s="391" t="n"/>
      <c r="M154" s="391" t="n"/>
      <c r="N154" s="391" t="n"/>
      <c r="O154" s="392" t="n"/>
      <c r="P154" s="391" t="n"/>
      <c r="Q154" s="385" t="str">
        <f>IF($B154="","",IF($P154&lt;&gt;"AED",0,IF($F154="Income",$O154,IF($F154="Expense",-$O154,0))))</f>
        <v/>
      </c>
      <c r="R154" s="381" t="n"/>
      <c r="S154" s="381" t="n"/>
      <c r="T154" s="381" t="n"/>
      <c r="U154" s="381" t="n"/>
    </row>
    <row r="155" ht="15" customHeight="1" s="278">
      <c r="A155" s="399" t="str">
        <f>IF($B155="","","T"&amp;TEXT(ROW()-6,"0000"))</f>
        <v/>
      </c>
      <c r="B155" s="386" t="n"/>
      <c r="C155" s="399" t="str">
        <f>IF($B155="","",TEXT($B155,"YYYY-MM"))</f>
        <v/>
      </c>
      <c r="D155" s="400" t="str">
        <f>IF($B155="","",YEAR($B155))</f>
        <v/>
      </c>
      <c r="E155" s="391" t="n"/>
      <c r="F155" s="391" t="n"/>
      <c r="G155" s="391" t="n"/>
      <c r="H155" s="391" t="n"/>
      <c r="I155" s="391" t="n"/>
      <c r="J155" s="391" t="n"/>
      <c r="K155" s="391" t="n"/>
      <c r="L155" s="391" t="n"/>
      <c r="M155" s="391" t="n"/>
      <c r="N155" s="391" t="n"/>
      <c r="O155" s="392" t="n"/>
      <c r="P155" s="391" t="n"/>
      <c r="Q155" s="385" t="str">
        <f>IF($B155="","",IF($P155&lt;&gt;"AED",0,IF($F155="Income",$O155,IF($F155="Expense",-$O155,0))))</f>
        <v/>
      </c>
      <c r="R155" s="381" t="n"/>
      <c r="S155" s="381" t="n"/>
      <c r="T155" s="381" t="n"/>
      <c r="U155" s="381" t="n"/>
    </row>
    <row r="156" ht="15" customHeight="1" s="278">
      <c r="A156" s="399" t="str">
        <f>IF($B156="","","T"&amp;TEXT(ROW()-6,"0000"))</f>
        <v/>
      </c>
      <c r="B156" s="386" t="n"/>
      <c r="C156" s="399" t="str">
        <f>IF($B156="","",TEXT($B156,"YYYY-MM"))</f>
        <v/>
      </c>
      <c r="D156" s="400" t="str">
        <f>IF($B156="","",YEAR($B156))</f>
        <v/>
      </c>
      <c r="E156" s="391" t="n"/>
      <c r="F156" s="391" t="n"/>
      <c r="G156" s="391" t="n"/>
      <c r="H156" s="391" t="n"/>
      <c r="I156" s="391" t="n"/>
      <c r="J156" s="391" t="n"/>
      <c r="K156" s="391" t="n"/>
      <c r="L156" s="391" t="n"/>
      <c r="M156" s="391" t="n"/>
      <c r="N156" s="391" t="n"/>
      <c r="O156" s="392" t="n"/>
      <c r="P156" s="391" t="n"/>
      <c r="Q156" s="385" t="str">
        <f>IF($B156="","",IF($P156&lt;&gt;"AED",0,IF($F156="Income",$O156,IF($F156="Expense",-$O156,0))))</f>
        <v/>
      </c>
      <c r="R156" s="381" t="n"/>
      <c r="S156" s="381" t="n"/>
      <c r="T156" s="381" t="n"/>
      <c r="U156" s="381" t="n"/>
    </row>
    <row r="157" ht="15" customHeight="1" s="278">
      <c r="A157" s="399" t="str">
        <f>IF($B157="","","T"&amp;TEXT(ROW()-6,"0000"))</f>
        <v/>
      </c>
      <c r="B157" s="386" t="n"/>
      <c r="C157" s="399" t="str">
        <f>IF($B157="","",TEXT($B157,"YYYY-MM"))</f>
        <v/>
      </c>
      <c r="D157" s="400" t="str">
        <f>IF($B157="","",YEAR($B157))</f>
        <v/>
      </c>
      <c r="E157" s="391" t="n"/>
      <c r="F157" s="391" t="n"/>
      <c r="G157" s="391" t="n"/>
      <c r="H157" s="391" t="n"/>
      <c r="I157" s="391" t="n"/>
      <c r="J157" s="391" t="n"/>
      <c r="K157" s="391" t="n"/>
      <c r="L157" s="391" t="n"/>
      <c r="M157" s="391" t="n"/>
      <c r="N157" s="391" t="n"/>
      <c r="O157" s="392" t="n"/>
      <c r="P157" s="391" t="n"/>
      <c r="Q157" s="385" t="str">
        <f>IF($B157="","",IF($P157&lt;&gt;"AED",0,IF($F157="Income",$O157,IF($F157="Expense",-$O157,0))))</f>
        <v/>
      </c>
      <c r="R157" s="381" t="n"/>
      <c r="S157" s="381" t="n"/>
      <c r="T157" s="381" t="n"/>
      <c r="U157" s="381" t="n"/>
    </row>
    <row r="158" ht="15" customHeight="1" s="278">
      <c r="A158" s="399" t="str">
        <f>IF($B158="","","T"&amp;TEXT(ROW()-6,"0000"))</f>
        <v/>
      </c>
      <c r="B158" s="386" t="n"/>
      <c r="C158" s="399" t="str">
        <f>IF($B158="","",TEXT($B158,"YYYY-MM"))</f>
        <v/>
      </c>
      <c r="D158" s="400" t="str">
        <f>IF($B158="","",YEAR($B158))</f>
        <v/>
      </c>
      <c r="E158" s="391" t="n"/>
      <c r="F158" s="391" t="n"/>
      <c r="G158" s="391" t="n"/>
      <c r="H158" s="391" t="n"/>
      <c r="I158" s="391" t="n"/>
      <c r="J158" s="391" t="n"/>
      <c r="K158" s="391" t="n"/>
      <c r="L158" s="391" t="n"/>
      <c r="M158" s="391" t="n"/>
      <c r="N158" s="391" t="n"/>
      <c r="O158" s="392" t="n"/>
      <c r="P158" s="391" t="n"/>
      <c r="Q158" s="385" t="str">
        <f>IF($B158="","",IF($P158&lt;&gt;"AED",0,IF($F158="Income",$O158,IF($F158="Expense",-$O158,0))))</f>
        <v/>
      </c>
      <c r="R158" s="381" t="n"/>
      <c r="S158" s="381" t="n"/>
      <c r="T158" s="381" t="n"/>
      <c r="U158" s="381" t="n"/>
    </row>
    <row r="159" ht="15" customHeight="1" s="278">
      <c r="A159" s="399" t="str">
        <f>IF($B159="","","T"&amp;TEXT(ROW()-6,"0000"))</f>
        <v/>
      </c>
      <c r="B159" s="386" t="n"/>
      <c r="C159" s="399" t="str">
        <f>IF($B159="","",TEXT($B159,"YYYY-MM"))</f>
        <v/>
      </c>
      <c r="D159" s="400" t="str">
        <f>IF($B159="","",YEAR($B159))</f>
        <v/>
      </c>
      <c r="E159" s="391" t="n"/>
      <c r="F159" s="391" t="n"/>
      <c r="G159" s="391" t="n"/>
      <c r="H159" s="391" t="n"/>
      <c r="I159" s="391" t="n"/>
      <c r="J159" s="391" t="n"/>
      <c r="K159" s="391" t="n"/>
      <c r="L159" s="391" t="n"/>
      <c r="M159" s="391" t="n"/>
      <c r="N159" s="391" t="n"/>
      <c r="O159" s="392" t="n"/>
      <c r="P159" s="391" t="n"/>
      <c r="Q159" s="385" t="str">
        <f>IF($B159="","",IF($P159&lt;&gt;"AED",0,IF($F159="Income",$O159,IF($F159="Expense",-$O159,0))))</f>
        <v/>
      </c>
      <c r="R159" s="381" t="n"/>
      <c r="S159" s="381" t="n"/>
      <c r="T159" s="381" t="n"/>
      <c r="U159" s="381" t="n"/>
    </row>
    <row r="160" ht="15" customHeight="1" s="278">
      <c r="A160" s="399" t="str">
        <f>IF($B160="","","T"&amp;TEXT(ROW()-6,"0000"))</f>
        <v/>
      </c>
      <c r="B160" s="386" t="n"/>
      <c r="C160" s="399" t="str">
        <f>IF($B160="","",TEXT($B160,"YYYY-MM"))</f>
        <v/>
      </c>
      <c r="D160" s="400" t="str">
        <f>IF($B160="","",YEAR($B160))</f>
        <v/>
      </c>
      <c r="E160" s="391" t="n"/>
      <c r="F160" s="391" t="n"/>
      <c r="G160" s="391" t="n"/>
      <c r="H160" s="391" t="n"/>
      <c r="I160" s="391" t="n"/>
      <c r="J160" s="391" t="n"/>
      <c r="K160" s="391" t="n"/>
      <c r="L160" s="391" t="n"/>
      <c r="M160" s="391" t="n"/>
      <c r="N160" s="391" t="n"/>
      <c r="O160" s="392" t="n"/>
      <c r="P160" s="391" t="n"/>
      <c r="Q160" s="385" t="str">
        <f>IF($B160="","",IF($P160&lt;&gt;"AED",0,IF($F160="Income",$O160,IF($F160="Expense",-$O160,0))))</f>
        <v/>
      </c>
      <c r="R160" s="381" t="n"/>
      <c r="S160" s="381" t="n"/>
      <c r="T160" s="381" t="n"/>
      <c r="U160" s="381" t="n"/>
    </row>
    <row r="161" ht="15" customHeight="1" s="278">
      <c r="A161" s="399" t="str">
        <f>IF($B161="","","T"&amp;TEXT(ROW()-6,"0000"))</f>
        <v/>
      </c>
      <c r="B161" s="386" t="n"/>
      <c r="C161" s="399" t="str">
        <f>IF($B161="","",TEXT($B161,"YYYY-MM"))</f>
        <v/>
      </c>
      <c r="D161" s="400" t="str">
        <f>IF($B161="","",YEAR($B161))</f>
        <v/>
      </c>
      <c r="E161" s="391" t="n"/>
      <c r="F161" s="391" t="n"/>
      <c r="G161" s="391" t="n"/>
      <c r="H161" s="391" t="n"/>
      <c r="I161" s="391" t="n"/>
      <c r="J161" s="391" t="n"/>
      <c r="K161" s="391" t="n"/>
      <c r="L161" s="391" t="n"/>
      <c r="M161" s="391" t="n"/>
      <c r="N161" s="391" t="n"/>
      <c r="O161" s="392" t="n"/>
      <c r="P161" s="391" t="n"/>
      <c r="Q161" s="385" t="str">
        <f>IF($B161="","",IF($P161&lt;&gt;"AED",0,IF($F161="Income",$O161,IF($F161="Expense",-$O161,0))))</f>
        <v/>
      </c>
      <c r="R161" s="381" t="n"/>
      <c r="S161" s="381" t="n"/>
      <c r="T161" s="381" t="n"/>
      <c r="U161" s="381" t="n"/>
    </row>
    <row r="162" ht="15" customHeight="1" s="278">
      <c r="A162" s="399" t="str">
        <f>IF($B162="","","T"&amp;TEXT(ROW()-6,"0000"))</f>
        <v/>
      </c>
      <c r="B162" s="386" t="n"/>
      <c r="C162" s="399" t="str">
        <f>IF($B162="","",TEXT($B162,"YYYY-MM"))</f>
        <v/>
      </c>
      <c r="D162" s="400" t="str">
        <f>IF($B162="","",YEAR($B162))</f>
        <v/>
      </c>
      <c r="E162" s="391" t="n"/>
      <c r="F162" s="391" t="n"/>
      <c r="G162" s="391" t="n"/>
      <c r="H162" s="391" t="n"/>
      <c r="I162" s="391" t="n"/>
      <c r="J162" s="391" t="n"/>
      <c r="K162" s="391" t="n"/>
      <c r="L162" s="391" t="n"/>
      <c r="M162" s="391" t="n"/>
      <c r="N162" s="391" t="n"/>
      <c r="O162" s="392" t="n"/>
      <c r="P162" s="391" t="n"/>
      <c r="Q162" s="385" t="str">
        <f>IF($B162="","",IF($P162&lt;&gt;"AED",0,IF($F162="Income",$O162,IF($F162="Expense",-$O162,0))))</f>
        <v/>
      </c>
      <c r="R162" s="381" t="n"/>
      <c r="S162" s="381" t="n"/>
      <c r="T162" s="381" t="n"/>
      <c r="U162" s="381" t="n"/>
    </row>
    <row r="163" ht="15" customHeight="1" s="278">
      <c r="A163" s="399" t="str">
        <f>IF($B163="","","T"&amp;TEXT(ROW()-6,"0000"))</f>
        <v/>
      </c>
      <c r="B163" s="386" t="n"/>
      <c r="C163" s="399" t="str">
        <f>IF($B163="","",TEXT($B163,"YYYY-MM"))</f>
        <v/>
      </c>
      <c r="D163" s="400" t="str">
        <f>IF($B163="","",YEAR($B163))</f>
        <v/>
      </c>
      <c r="E163" s="391" t="n"/>
      <c r="F163" s="391" t="n"/>
      <c r="G163" s="391" t="n"/>
      <c r="H163" s="391" t="n"/>
      <c r="I163" s="391" t="n"/>
      <c r="J163" s="391" t="n"/>
      <c r="K163" s="391" t="n"/>
      <c r="L163" s="391" t="n"/>
      <c r="M163" s="391" t="n"/>
      <c r="N163" s="391" t="n"/>
      <c r="O163" s="392" t="n"/>
      <c r="P163" s="391" t="n"/>
      <c r="Q163" s="385" t="str">
        <f>IF($B163="","",IF($P163&lt;&gt;"AED",0,IF($F163="Income",$O163,IF($F163="Expense",-$O163,0))))</f>
        <v/>
      </c>
      <c r="R163" s="381" t="n"/>
      <c r="S163" s="381" t="n"/>
      <c r="T163" s="381" t="n"/>
      <c r="U163" s="381" t="n"/>
    </row>
    <row r="164" ht="15" customHeight="1" s="278">
      <c r="A164" s="399" t="str">
        <f>IF($B164="","","T"&amp;TEXT(ROW()-6,"0000"))</f>
        <v/>
      </c>
      <c r="B164" s="386" t="n"/>
      <c r="C164" s="399" t="str">
        <f>IF($B164="","",TEXT($B164,"YYYY-MM"))</f>
        <v/>
      </c>
      <c r="D164" s="400" t="str">
        <f>IF($B164="","",YEAR($B164))</f>
        <v/>
      </c>
      <c r="E164" s="391" t="n"/>
      <c r="F164" s="391" t="n"/>
      <c r="G164" s="391" t="n"/>
      <c r="H164" s="391" t="n"/>
      <c r="I164" s="391" t="n"/>
      <c r="J164" s="391" t="n"/>
      <c r="K164" s="391" t="n"/>
      <c r="L164" s="391" t="n"/>
      <c r="M164" s="391" t="n"/>
      <c r="N164" s="391" t="n"/>
      <c r="O164" s="392" t="n"/>
      <c r="P164" s="391" t="n"/>
      <c r="Q164" s="385" t="str">
        <f>IF($B164="","",IF($P164&lt;&gt;"AED",0,IF($F164="Income",$O164,IF($F164="Expense",-$O164,0))))</f>
        <v/>
      </c>
      <c r="R164" s="381" t="n"/>
      <c r="S164" s="381" t="n"/>
      <c r="T164" s="381" t="n"/>
      <c r="U164" s="381" t="n"/>
    </row>
    <row r="165" ht="15" customHeight="1" s="278">
      <c r="A165" s="399" t="str">
        <f>IF($B165="","","T"&amp;TEXT(ROW()-6,"0000"))</f>
        <v/>
      </c>
      <c r="B165" s="386" t="n"/>
      <c r="C165" s="399" t="str">
        <f>IF($B165="","",TEXT($B165,"YYYY-MM"))</f>
        <v/>
      </c>
      <c r="D165" s="400" t="str">
        <f>IF($B165="","",YEAR($B165))</f>
        <v/>
      </c>
      <c r="E165" s="391" t="n"/>
      <c r="F165" s="391" t="n"/>
      <c r="G165" s="391" t="n"/>
      <c r="H165" s="391" t="n"/>
      <c r="I165" s="391" t="n"/>
      <c r="J165" s="391" t="n"/>
      <c r="K165" s="391" t="n"/>
      <c r="L165" s="391" t="n"/>
      <c r="M165" s="391" t="n"/>
      <c r="N165" s="391" t="n"/>
      <c r="O165" s="392" t="n"/>
      <c r="P165" s="391" t="n"/>
      <c r="Q165" s="385" t="str">
        <f>IF($B165="","",IF($P165&lt;&gt;"AED",0,IF($F165="Income",$O165,IF($F165="Expense",-$O165,0))))</f>
        <v/>
      </c>
      <c r="R165" s="381" t="n"/>
      <c r="S165" s="381" t="n"/>
      <c r="T165" s="381" t="n"/>
      <c r="U165" s="381" t="n"/>
    </row>
    <row r="166" ht="15" customHeight="1" s="278">
      <c r="A166" s="399" t="str">
        <f>IF($B166="","","T"&amp;TEXT(ROW()-6,"0000"))</f>
        <v/>
      </c>
      <c r="B166" s="386" t="n"/>
      <c r="C166" s="399" t="str">
        <f>IF($B166="","",TEXT($B166,"YYYY-MM"))</f>
        <v/>
      </c>
      <c r="D166" s="400" t="str">
        <f>IF($B166="","",YEAR($B166))</f>
        <v/>
      </c>
      <c r="E166" s="391" t="n"/>
      <c r="F166" s="391" t="n"/>
      <c r="G166" s="391" t="n"/>
      <c r="H166" s="391" t="n"/>
      <c r="I166" s="391" t="n"/>
      <c r="J166" s="391" t="n"/>
      <c r="K166" s="391" t="n"/>
      <c r="L166" s="391" t="n"/>
      <c r="M166" s="391" t="n"/>
      <c r="N166" s="391" t="n"/>
      <c r="O166" s="392" t="n"/>
      <c r="P166" s="391" t="n"/>
      <c r="Q166" s="385" t="str">
        <f>IF($B166="","",IF($P166&lt;&gt;"AED",0,IF($F166="Income",$O166,IF($F166="Expense",-$O166,0))))</f>
        <v/>
      </c>
      <c r="R166" s="381" t="n"/>
      <c r="S166" s="381" t="n"/>
      <c r="T166" s="381" t="n"/>
      <c r="U166" s="381" t="n"/>
    </row>
    <row r="167" ht="15" customHeight="1" s="278">
      <c r="A167" s="399" t="str">
        <f>IF($B167="","","T"&amp;TEXT(ROW()-6,"0000"))</f>
        <v/>
      </c>
      <c r="B167" s="386" t="n"/>
      <c r="C167" s="399" t="str">
        <f>IF($B167="","",TEXT($B167,"YYYY-MM"))</f>
        <v/>
      </c>
      <c r="D167" s="400" t="str">
        <f>IF($B167="","",YEAR($B167))</f>
        <v/>
      </c>
      <c r="E167" s="391" t="n"/>
      <c r="F167" s="391" t="n"/>
      <c r="G167" s="391" t="n"/>
      <c r="H167" s="391" t="n"/>
      <c r="I167" s="391" t="n"/>
      <c r="J167" s="391" t="n"/>
      <c r="K167" s="391" t="n"/>
      <c r="L167" s="391" t="n"/>
      <c r="M167" s="391" t="n"/>
      <c r="N167" s="391" t="n"/>
      <c r="O167" s="392" t="n"/>
      <c r="P167" s="391" t="n"/>
      <c r="Q167" s="385" t="str">
        <f>IF($B167="","",IF($P167&lt;&gt;"AED",0,IF($F167="Income",$O167,IF($F167="Expense",-$O167,0))))</f>
        <v/>
      </c>
      <c r="R167" s="381" t="n"/>
      <c r="S167" s="381" t="n"/>
      <c r="T167" s="381" t="n"/>
      <c r="U167" s="381" t="n"/>
    </row>
    <row r="168" ht="15" customHeight="1" s="278">
      <c r="A168" s="399" t="str">
        <f>IF($B168="","","T"&amp;TEXT(ROW()-6,"0000"))</f>
        <v/>
      </c>
      <c r="B168" s="386" t="n"/>
      <c r="C168" s="399" t="str">
        <f>IF($B168="","",TEXT($B168,"YYYY-MM"))</f>
        <v/>
      </c>
      <c r="D168" s="400" t="str">
        <f>IF($B168="","",YEAR($B168))</f>
        <v/>
      </c>
      <c r="E168" s="391" t="n"/>
      <c r="F168" s="391" t="n"/>
      <c r="G168" s="391" t="n"/>
      <c r="H168" s="391" t="n"/>
      <c r="I168" s="391" t="n"/>
      <c r="J168" s="391" t="n"/>
      <c r="K168" s="391" t="n"/>
      <c r="L168" s="391" t="n"/>
      <c r="M168" s="391" t="n"/>
      <c r="N168" s="391" t="n"/>
      <c r="O168" s="392" t="n"/>
      <c r="P168" s="391" t="n"/>
      <c r="Q168" s="385" t="str">
        <f>IF($B168="","",IF($P168&lt;&gt;"AED",0,IF($F168="Income",$O168,IF($F168="Expense",-$O168,0))))</f>
        <v/>
      </c>
      <c r="R168" s="381" t="n"/>
      <c r="S168" s="381" t="n"/>
      <c r="T168" s="381" t="n"/>
      <c r="U168" s="381" t="n"/>
    </row>
    <row r="169" ht="15" customHeight="1" s="278">
      <c r="A169" s="399" t="str">
        <f>IF($B169="","","T"&amp;TEXT(ROW()-6,"0000"))</f>
        <v/>
      </c>
      <c r="B169" s="386" t="n"/>
      <c r="C169" s="399" t="str">
        <f>IF($B169="","",TEXT($B169,"YYYY-MM"))</f>
        <v/>
      </c>
      <c r="D169" s="400" t="str">
        <f>IF($B169="","",YEAR($B169))</f>
        <v/>
      </c>
      <c r="E169" s="391" t="n"/>
      <c r="F169" s="391" t="n"/>
      <c r="G169" s="391" t="n"/>
      <c r="H169" s="391" t="n"/>
      <c r="I169" s="391" t="n"/>
      <c r="J169" s="391" t="n"/>
      <c r="K169" s="391" t="n"/>
      <c r="L169" s="391" t="n"/>
      <c r="M169" s="391" t="n"/>
      <c r="N169" s="391" t="n"/>
      <c r="O169" s="392" t="n"/>
      <c r="P169" s="391" t="n"/>
      <c r="Q169" s="385" t="str">
        <f>IF($B169="","",IF($P169&lt;&gt;"AED",0,IF($F169="Income",$O169,IF($F169="Expense",-$O169,0))))</f>
        <v/>
      </c>
      <c r="R169" s="381" t="n"/>
      <c r="S169" s="381" t="n"/>
      <c r="T169" s="381" t="n"/>
      <c r="U169" s="381" t="n"/>
    </row>
    <row r="170" ht="15" customHeight="1" s="278">
      <c r="A170" s="399" t="str">
        <f>IF($B170="","","T"&amp;TEXT(ROW()-6,"0000"))</f>
        <v/>
      </c>
      <c r="B170" s="386" t="n"/>
      <c r="C170" s="399" t="str">
        <f>IF($B170="","",TEXT($B170,"YYYY-MM"))</f>
        <v/>
      </c>
      <c r="D170" s="400" t="str">
        <f>IF($B170="","",YEAR($B170))</f>
        <v/>
      </c>
      <c r="E170" s="391" t="n"/>
      <c r="F170" s="391" t="n"/>
      <c r="G170" s="391" t="n"/>
      <c r="H170" s="391" t="n"/>
      <c r="I170" s="391" t="n"/>
      <c r="J170" s="391" t="n"/>
      <c r="K170" s="391" t="n"/>
      <c r="L170" s="391" t="n"/>
      <c r="M170" s="391" t="n"/>
      <c r="N170" s="391" t="n"/>
      <c r="O170" s="392" t="n"/>
      <c r="P170" s="391" t="n"/>
      <c r="Q170" s="385" t="str">
        <f>IF($B170="","",IF($P170&lt;&gt;"AED",0,IF($F170="Income",$O170,IF($F170="Expense",-$O170,0))))</f>
        <v/>
      </c>
      <c r="R170" s="381" t="n"/>
      <c r="S170" s="381" t="n"/>
      <c r="T170" s="381" t="n"/>
      <c r="U170" s="381" t="n"/>
    </row>
    <row r="171" ht="15" customHeight="1" s="278">
      <c r="A171" s="399" t="str">
        <f>IF($B171="","","T"&amp;TEXT(ROW()-6,"0000"))</f>
        <v/>
      </c>
      <c r="B171" s="386" t="n"/>
      <c r="C171" s="399" t="str">
        <f>IF($B171="","",TEXT($B171,"YYYY-MM"))</f>
        <v/>
      </c>
      <c r="D171" s="400" t="str">
        <f>IF($B171="","",YEAR($B171))</f>
        <v/>
      </c>
      <c r="E171" s="391" t="n"/>
      <c r="F171" s="391" t="n"/>
      <c r="G171" s="391" t="n"/>
      <c r="H171" s="391" t="n"/>
      <c r="I171" s="391" t="n"/>
      <c r="J171" s="391" t="n"/>
      <c r="K171" s="391" t="n"/>
      <c r="L171" s="391" t="n"/>
      <c r="M171" s="391" t="n"/>
      <c r="N171" s="391" t="n"/>
      <c r="O171" s="392" t="n"/>
      <c r="P171" s="391" t="n"/>
      <c r="Q171" s="385" t="str">
        <f>IF($B171="","",IF($P171&lt;&gt;"AED",0,IF($F171="Income",$O171,IF($F171="Expense",-$O171,0))))</f>
        <v/>
      </c>
      <c r="R171" s="381" t="n"/>
      <c r="S171" s="381" t="n"/>
      <c r="T171" s="381" t="n"/>
      <c r="U171" s="381" t="n"/>
    </row>
    <row r="172" ht="15" customHeight="1" s="278">
      <c r="A172" s="399" t="str">
        <f>IF($B172="","","T"&amp;TEXT(ROW()-6,"0000"))</f>
        <v/>
      </c>
      <c r="B172" s="386" t="n"/>
      <c r="C172" s="399" t="str">
        <f>IF($B172="","",TEXT($B172,"YYYY-MM"))</f>
        <v/>
      </c>
      <c r="D172" s="400" t="str">
        <f>IF($B172="","",YEAR($B172))</f>
        <v/>
      </c>
      <c r="E172" s="391" t="n"/>
      <c r="F172" s="391" t="n"/>
      <c r="G172" s="391" t="n"/>
      <c r="H172" s="391" t="n"/>
      <c r="I172" s="391" t="n"/>
      <c r="J172" s="391" t="n"/>
      <c r="K172" s="391" t="n"/>
      <c r="L172" s="391" t="n"/>
      <c r="M172" s="391" t="n"/>
      <c r="N172" s="391" t="n"/>
      <c r="O172" s="392" t="n"/>
      <c r="P172" s="391" t="n"/>
      <c r="Q172" s="385" t="str">
        <f>IF($B172="","",IF($P172&lt;&gt;"AED",0,IF($F172="Income",$O172,IF($F172="Expense",-$O172,0))))</f>
        <v/>
      </c>
      <c r="R172" s="381" t="n"/>
      <c r="S172" s="381" t="n"/>
      <c r="T172" s="381" t="n"/>
      <c r="U172" s="381" t="n"/>
    </row>
    <row r="173" ht="15" customHeight="1" s="278">
      <c r="A173" s="399" t="str">
        <f>IF($B173="","","T"&amp;TEXT(ROW()-6,"0000"))</f>
        <v/>
      </c>
      <c r="B173" s="386" t="n"/>
      <c r="C173" s="399" t="str">
        <f>IF($B173="","",TEXT($B173,"YYYY-MM"))</f>
        <v/>
      </c>
      <c r="D173" s="400" t="str">
        <f>IF($B173="","",YEAR($B173))</f>
        <v/>
      </c>
      <c r="E173" s="391" t="n"/>
      <c r="F173" s="391" t="n"/>
      <c r="G173" s="391" t="n"/>
      <c r="H173" s="391" t="n"/>
      <c r="I173" s="391" t="n"/>
      <c r="J173" s="391" t="n"/>
      <c r="K173" s="391" t="n"/>
      <c r="L173" s="391" t="n"/>
      <c r="M173" s="391" t="n"/>
      <c r="N173" s="391" t="n"/>
      <c r="O173" s="392" t="n"/>
      <c r="P173" s="391" t="n"/>
      <c r="Q173" s="385" t="str">
        <f>IF($B173="","",IF($P173&lt;&gt;"AED",0,IF($F173="Income",$O173,IF($F173="Expense",-$O173,0))))</f>
        <v/>
      </c>
      <c r="R173" s="381" t="n"/>
      <c r="S173" s="381" t="n"/>
      <c r="T173" s="381" t="n"/>
      <c r="U173" s="381" t="n"/>
    </row>
    <row r="174" ht="15" customHeight="1" s="278">
      <c r="A174" s="399" t="str">
        <f>IF($B174="","","T"&amp;TEXT(ROW()-6,"0000"))</f>
        <v/>
      </c>
      <c r="B174" s="386" t="n"/>
      <c r="C174" s="399" t="str">
        <f>IF($B174="","",TEXT($B174,"YYYY-MM"))</f>
        <v/>
      </c>
      <c r="D174" s="400" t="str">
        <f>IF($B174="","",YEAR($B174))</f>
        <v/>
      </c>
      <c r="E174" s="391" t="n"/>
      <c r="F174" s="391" t="n"/>
      <c r="G174" s="391" t="n"/>
      <c r="H174" s="391" t="n"/>
      <c r="I174" s="391" t="n"/>
      <c r="J174" s="391" t="n"/>
      <c r="K174" s="391" t="n"/>
      <c r="L174" s="391" t="n"/>
      <c r="M174" s="391" t="n"/>
      <c r="N174" s="391" t="n"/>
      <c r="O174" s="392" t="n"/>
      <c r="P174" s="391" t="n"/>
      <c r="Q174" s="385" t="str">
        <f>IF($B174="","",IF($P174&lt;&gt;"AED",0,IF($F174="Income",$O174,IF($F174="Expense",-$O174,0))))</f>
        <v/>
      </c>
      <c r="R174" s="381" t="n"/>
      <c r="S174" s="381" t="n"/>
      <c r="T174" s="381" t="n"/>
      <c r="U174" s="381" t="n"/>
    </row>
    <row r="175" ht="15" customHeight="1" s="278">
      <c r="A175" s="399" t="str">
        <f>IF($B175="","","T"&amp;TEXT(ROW()-6,"0000"))</f>
        <v/>
      </c>
      <c r="B175" s="386" t="n"/>
      <c r="C175" s="399" t="str">
        <f>IF($B175="","",TEXT($B175,"YYYY-MM"))</f>
        <v/>
      </c>
      <c r="D175" s="400" t="str">
        <f>IF($B175="","",YEAR($B175))</f>
        <v/>
      </c>
      <c r="E175" s="391" t="n"/>
      <c r="F175" s="391" t="n"/>
      <c r="G175" s="391" t="n"/>
      <c r="H175" s="391" t="n"/>
      <c r="I175" s="391" t="n"/>
      <c r="J175" s="391" t="n"/>
      <c r="K175" s="391" t="n"/>
      <c r="L175" s="391" t="n"/>
      <c r="M175" s="391" t="n"/>
      <c r="N175" s="391" t="n"/>
      <c r="O175" s="392" t="n"/>
      <c r="P175" s="391" t="n"/>
      <c r="Q175" s="385" t="str">
        <f>IF($B175="","",IF($P175&lt;&gt;"AED",0,IF($F175="Income",$O175,IF($F175="Expense",-$O175,0))))</f>
        <v/>
      </c>
      <c r="R175" s="381" t="n"/>
      <c r="S175" s="381" t="n"/>
      <c r="T175" s="381" t="n"/>
      <c r="U175" s="381" t="n"/>
    </row>
    <row r="176" ht="15" customHeight="1" s="278">
      <c r="A176" s="399" t="str">
        <f>IF($B176="","","T"&amp;TEXT(ROW()-6,"0000"))</f>
        <v/>
      </c>
      <c r="B176" s="386" t="n"/>
      <c r="C176" s="399" t="str">
        <f>IF($B176="","",TEXT($B176,"YYYY-MM"))</f>
        <v/>
      </c>
      <c r="D176" s="400" t="str">
        <f>IF($B176="","",YEAR($B176))</f>
        <v/>
      </c>
      <c r="E176" s="391" t="n"/>
      <c r="F176" s="391" t="n"/>
      <c r="G176" s="391" t="n"/>
      <c r="H176" s="391" t="n"/>
      <c r="I176" s="391" t="n"/>
      <c r="J176" s="391" t="n"/>
      <c r="K176" s="391" t="n"/>
      <c r="L176" s="391" t="n"/>
      <c r="M176" s="391" t="n"/>
      <c r="N176" s="391" t="n"/>
      <c r="O176" s="392" t="n"/>
      <c r="P176" s="391" t="n"/>
      <c r="Q176" s="385" t="str">
        <f>IF($B176="","",IF($P176&lt;&gt;"AED",0,IF($F176="Income",$O176,IF($F176="Expense",-$O176,0))))</f>
        <v/>
      </c>
      <c r="R176" s="381" t="n"/>
      <c r="S176" s="381" t="n"/>
      <c r="T176" s="381" t="n"/>
      <c r="U176" s="381" t="n"/>
    </row>
    <row r="177" ht="15" customHeight="1" s="278">
      <c r="A177" s="399" t="str">
        <f>IF($B177="","","T"&amp;TEXT(ROW()-6,"0000"))</f>
        <v/>
      </c>
      <c r="B177" s="386" t="n"/>
      <c r="C177" s="399" t="str">
        <f>IF($B177="","",TEXT($B177,"YYYY-MM"))</f>
        <v/>
      </c>
      <c r="D177" s="400" t="str">
        <f>IF($B177="","",YEAR($B177))</f>
        <v/>
      </c>
      <c r="E177" s="391" t="n"/>
      <c r="F177" s="391" t="n"/>
      <c r="G177" s="391" t="n"/>
      <c r="H177" s="391" t="n"/>
      <c r="I177" s="391" t="n"/>
      <c r="J177" s="391" t="n"/>
      <c r="K177" s="391" t="n"/>
      <c r="L177" s="391" t="n"/>
      <c r="M177" s="391" t="n"/>
      <c r="N177" s="391" t="n"/>
      <c r="O177" s="392" t="n"/>
      <c r="P177" s="391" t="n"/>
      <c r="Q177" s="385" t="str">
        <f>IF($B177="","",IF($P177&lt;&gt;"AED",0,IF($F177="Income",$O177,IF($F177="Expense",-$O177,0))))</f>
        <v/>
      </c>
      <c r="R177" s="381" t="n"/>
      <c r="S177" s="381" t="n"/>
      <c r="T177" s="381" t="n"/>
      <c r="U177" s="381" t="n"/>
    </row>
    <row r="178" ht="15" customHeight="1" s="278">
      <c r="A178" s="399" t="str">
        <f>IF($B178="","","T"&amp;TEXT(ROW()-6,"0000"))</f>
        <v/>
      </c>
      <c r="B178" s="386" t="n"/>
      <c r="C178" s="399" t="str">
        <f>IF($B178="","",TEXT($B178,"YYYY-MM"))</f>
        <v/>
      </c>
      <c r="D178" s="400" t="str">
        <f>IF($B178="","",YEAR($B178))</f>
        <v/>
      </c>
      <c r="E178" s="391" t="n"/>
      <c r="F178" s="391" t="n"/>
      <c r="G178" s="391" t="n"/>
      <c r="H178" s="391" t="n"/>
      <c r="I178" s="391" t="n"/>
      <c r="J178" s="391" t="n"/>
      <c r="K178" s="391" t="n"/>
      <c r="L178" s="391" t="n"/>
      <c r="M178" s="391" t="n"/>
      <c r="N178" s="391" t="n"/>
      <c r="O178" s="392" t="n"/>
      <c r="P178" s="391" t="n"/>
      <c r="Q178" s="385" t="str">
        <f>IF($B178="","",IF($P178&lt;&gt;"AED",0,IF($F178="Income",$O178,IF($F178="Expense",-$O178,0))))</f>
        <v/>
      </c>
      <c r="R178" s="381" t="n"/>
      <c r="S178" s="381" t="n"/>
      <c r="T178" s="381" t="n"/>
      <c r="U178" s="381" t="n"/>
    </row>
    <row r="179" ht="15" customHeight="1" s="278">
      <c r="A179" s="399" t="str">
        <f>IF($B179="","","T"&amp;TEXT(ROW()-6,"0000"))</f>
        <v/>
      </c>
      <c r="B179" s="386" t="n"/>
      <c r="C179" s="399" t="str">
        <f>IF($B179="","",TEXT($B179,"YYYY-MM"))</f>
        <v/>
      </c>
      <c r="D179" s="400" t="str">
        <f>IF($B179="","",YEAR($B179))</f>
        <v/>
      </c>
      <c r="E179" s="391" t="n"/>
      <c r="F179" s="391" t="n"/>
      <c r="G179" s="391" t="n"/>
      <c r="H179" s="391" t="n"/>
      <c r="I179" s="391" t="n"/>
      <c r="J179" s="391" t="n"/>
      <c r="K179" s="391" t="n"/>
      <c r="L179" s="391" t="n"/>
      <c r="M179" s="391" t="n"/>
      <c r="N179" s="391" t="n"/>
      <c r="O179" s="392" t="n"/>
      <c r="P179" s="391" t="n"/>
      <c r="Q179" s="385" t="str">
        <f>IF($B179="","",IF($P179&lt;&gt;"AED",0,IF($F179="Income",$O179,IF($F179="Expense",-$O179,0))))</f>
        <v/>
      </c>
      <c r="R179" s="381" t="n"/>
      <c r="S179" s="381" t="n"/>
      <c r="T179" s="381" t="n"/>
      <c r="U179" s="381" t="n"/>
    </row>
    <row r="180" ht="15" customHeight="1" s="278">
      <c r="A180" s="399" t="str">
        <f>IF($B180="","","T"&amp;TEXT(ROW()-6,"0000"))</f>
        <v/>
      </c>
      <c r="B180" s="386" t="n"/>
      <c r="C180" s="399" t="str">
        <f>IF($B180="","",TEXT($B180,"YYYY-MM"))</f>
        <v/>
      </c>
      <c r="D180" s="400" t="str">
        <f>IF($B180="","",YEAR($B180))</f>
        <v/>
      </c>
      <c r="E180" s="391" t="n"/>
      <c r="F180" s="391" t="n"/>
      <c r="G180" s="391" t="n"/>
      <c r="H180" s="391" t="n"/>
      <c r="I180" s="391" t="n"/>
      <c r="J180" s="391" t="n"/>
      <c r="K180" s="391" t="n"/>
      <c r="L180" s="391" t="n"/>
      <c r="M180" s="391" t="n"/>
      <c r="N180" s="391" t="n"/>
      <c r="O180" s="392" t="n"/>
      <c r="P180" s="391" t="n"/>
      <c r="Q180" s="385" t="str">
        <f>IF($B180="","",IF($P180&lt;&gt;"AED",0,IF($F180="Income",$O180,IF($F180="Expense",-$O180,0))))</f>
        <v/>
      </c>
      <c r="R180" s="381" t="n"/>
      <c r="S180" s="381" t="n"/>
      <c r="T180" s="381" t="n"/>
      <c r="U180" s="381" t="n"/>
    </row>
    <row r="181" ht="15" customHeight="1" s="278">
      <c r="A181" s="399" t="str">
        <f>IF($B181="","","T"&amp;TEXT(ROW()-6,"0000"))</f>
        <v/>
      </c>
      <c r="B181" s="386" t="n"/>
      <c r="C181" s="399" t="str">
        <f>IF($B181="","",TEXT($B181,"YYYY-MM"))</f>
        <v/>
      </c>
      <c r="D181" s="400" t="str">
        <f>IF($B181="","",YEAR($B181))</f>
        <v/>
      </c>
      <c r="E181" s="391" t="n"/>
      <c r="F181" s="391" t="n"/>
      <c r="G181" s="391" t="n"/>
      <c r="H181" s="391" t="n"/>
      <c r="I181" s="391" t="n"/>
      <c r="J181" s="391" t="n"/>
      <c r="K181" s="391" t="n"/>
      <c r="L181" s="391" t="n"/>
      <c r="M181" s="391" t="n"/>
      <c r="N181" s="391" t="n"/>
      <c r="O181" s="392" t="n"/>
      <c r="P181" s="391" t="n"/>
      <c r="Q181" s="385" t="str">
        <f>IF($B181="","",IF($P181&lt;&gt;"AED",0,IF($F181="Income",$O181,IF($F181="Expense",-$O181,0))))</f>
        <v/>
      </c>
      <c r="R181" s="381" t="n"/>
      <c r="S181" s="381" t="n"/>
      <c r="T181" s="381" t="n"/>
      <c r="U181" s="381" t="n"/>
    </row>
    <row r="182" ht="15" customHeight="1" s="278">
      <c r="A182" s="399" t="str">
        <f>IF($B182="","","T"&amp;TEXT(ROW()-6,"0000"))</f>
        <v/>
      </c>
      <c r="B182" s="386" t="n"/>
      <c r="C182" s="399" t="str">
        <f>IF($B182="","",TEXT($B182,"YYYY-MM"))</f>
        <v/>
      </c>
      <c r="D182" s="400" t="str">
        <f>IF($B182="","",YEAR($B182))</f>
        <v/>
      </c>
      <c r="E182" s="391" t="n"/>
      <c r="F182" s="391" t="n"/>
      <c r="G182" s="391" t="n"/>
      <c r="H182" s="391" t="n"/>
      <c r="I182" s="391" t="n"/>
      <c r="J182" s="391" t="n"/>
      <c r="K182" s="391" t="n"/>
      <c r="L182" s="391" t="n"/>
      <c r="M182" s="391" t="n"/>
      <c r="N182" s="391" t="n"/>
      <c r="O182" s="392" t="n"/>
      <c r="P182" s="391" t="n"/>
      <c r="Q182" s="385" t="str">
        <f>IF($B182="","",IF($P182&lt;&gt;"AED",0,IF($F182="Income",$O182,IF($F182="Expense",-$O182,0))))</f>
        <v/>
      </c>
      <c r="R182" s="381" t="n"/>
      <c r="S182" s="381" t="n"/>
      <c r="T182" s="381" t="n"/>
      <c r="U182" s="381" t="n"/>
    </row>
    <row r="183" ht="15" customHeight="1" s="278">
      <c r="A183" s="399" t="str">
        <f>IF($B183="","","T"&amp;TEXT(ROW()-6,"0000"))</f>
        <v/>
      </c>
      <c r="B183" s="386" t="n"/>
      <c r="C183" s="399" t="str">
        <f>IF($B183="","",TEXT($B183,"YYYY-MM"))</f>
        <v/>
      </c>
      <c r="D183" s="400" t="str">
        <f>IF($B183="","",YEAR($B183))</f>
        <v/>
      </c>
      <c r="E183" s="391" t="n"/>
      <c r="F183" s="391" t="n"/>
      <c r="G183" s="391" t="n"/>
      <c r="H183" s="391" t="n"/>
      <c r="I183" s="391" t="n"/>
      <c r="J183" s="391" t="n"/>
      <c r="K183" s="391" t="n"/>
      <c r="L183" s="391" t="n"/>
      <c r="M183" s="391" t="n"/>
      <c r="N183" s="391" t="n"/>
      <c r="O183" s="392" t="n"/>
      <c r="P183" s="391" t="n"/>
      <c r="Q183" s="385" t="str">
        <f>IF($B183="","",IF($P183&lt;&gt;"AED",0,IF($F183="Income",$O183,IF($F183="Expense",-$O183,0))))</f>
        <v/>
      </c>
      <c r="R183" s="381" t="n"/>
      <c r="S183" s="381" t="n"/>
      <c r="T183" s="381" t="n"/>
      <c r="U183" s="381" t="n"/>
    </row>
    <row r="184" ht="15" customHeight="1" s="278">
      <c r="A184" s="399" t="str">
        <f>IF($B184="","","T"&amp;TEXT(ROW()-6,"0000"))</f>
        <v/>
      </c>
      <c r="B184" s="386" t="n"/>
      <c r="C184" s="399" t="str">
        <f>IF($B184="","",TEXT($B184,"YYYY-MM"))</f>
        <v/>
      </c>
      <c r="D184" s="400" t="str">
        <f>IF($B184="","",YEAR($B184))</f>
        <v/>
      </c>
      <c r="E184" s="391" t="n"/>
      <c r="F184" s="391" t="n"/>
      <c r="G184" s="391" t="n"/>
      <c r="H184" s="391" t="n"/>
      <c r="I184" s="391" t="n"/>
      <c r="J184" s="391" t="n"/>
      <c r="K184" s="391" t="n"/>
      <c r="L184" s="391" t="n"/>
      <c r="M184" s="391" t="n"/>
      <c r="N184" s="391" t="n"/>
      <c r="O184" s="392" t="n"/>
      <c r="P184" s="391" t="n"/>
      <c r="Q184" s="385" t="str">
        <f>IF($B184="","",IF($P184&lt;&gt;"AED",0,IF($F184="Income",$O184,IF($F184="Expense",-$O184,0))))</f>
        <v/>
      </c>
      <c r="R184" s="381" t="n"/>
      <c r="S184" s="381" t="n"/>
      <c r="T184" s="381" t="n"/>
      <c r="U184" s="381" t="n"/>
    </row>
    <row r="185" ht="15" customHeight="1" s="278">
      <c r="A185" s="399" t="str">
        <f>IF($B185="","","T"&amp;TEXT(ROW()-6,"0000"))</f>
        <v/>
      </c>
      <c r="B185" s="386" t="n"/>
      <c r="C185" s="399" t="str">
        <f>IF($B185="","",TEXT($B185,"YYYY-MM"))</f>
        <v/>
      </c>
      <c r="D185" s="400" t="str">
        <f>IF($B185="","",YEAR($B185))</f>
        <v/>
      </c>
      <c r="E185" s="391" t="n"/>
      <c r="F185" s="391" t="n"/>
      <c r="G185" s="391" t="n"/>
      <c r="H185" s="391" t="n"/>
      <c r="I185" s="391" t="n"/>
      <c r="J185" s="391" t="n"/>
      <c r="K185" s="391" t="n"/>
      <c r="L185" s="391" t="n"/>
      <c r="M185" s="391" t="n"/>
      <c r="N185" s="391" t="n"/>
      <c r="O185" s="392" t="n"/>
      <c r="P185" s="391" t="n"/>
      <c r="Q185" s="385" t="str">
        <f>IF($B185="","",IF($P185&lt;&gt;"AED",0,IF($F185="Income",$O185,IF($F185="Expense",-$O185,0))))</f>
        <v/>
      </c>
      <c r="R185" s="381" t="n"/>
      <c r="S185" s="381" t="n"/>
      <c r="T185" s="381" t="n"/>
      <c r="U185" s="381" t="n"/>
    </row>
    <row r="186" ht="15" customHeight="1" s="278">
      <c r="A186" s="399" t="str">
        <f>IF($B186="","","T"&amp;TEXT(ROW()-6,"0000"))</f>
        <v/>
      </c>
      <c r="B186" s="386" t="n"/>
      <c r="C186" s="399" t="str">
        <f>IF($B186="","",TEXT($B186,"YYYY-MM"))</f>
        <v/>
      </c>
      <c r="D186" s="400" t="str">
        <f>IF($B186="","",YEAR($B186))</f>
        <v/>
      </c>
      <c r="E186" s="391" t="n"/>
      <c r="F186" s="391" t="n"/>
      <c r="G186" s="391" t="n"/>
      <c r="H186" s="391" t="n"/>
      <c r="I186" s="391" t="n"/>
      <c r="J186" s="391" t="n"/>
      <c r="K186" s="391" t="n"/>
      <c r="L186" s="391" t="n"/>
      <c r="M186" s="391" t="n"/>
      <c r="N186" s="391" t="n"/>
      <c r="O186" s="392" t="n"/>
      <c r="P186" s="391" t="n"/>
      <c r="Q186" s="385" t="str">
        <f>IF($B186="","",IF($P186&lt;&gt;"AED",0,IF($F186="Income",$O186,IF($F186="Expense",-$O186,0))))</f>
        <v/>
      </c>
      <c r="R186" s="381" t="n"/>
      <c r="S186" s="381" t="n"/>
      <c r="T186" s="381" t="n"/>
      <c r="U186" s="381" t="n"/>
    </row>
    <row r="187" ht="15" customHeight="1" s="278">
      <c r="A187" s="399" t="str">
        <f>IF($B187="","","T"&amp;TEXT(ROW()-6,"0000"))</f>
        <v/>
      </c>
      <c r="B187" s="386" t="n"/>
      <c r="C187" s="399" t="str">
        <f>IF($B187="","",TEXT($B187,"YYYY-MM"))</f>
        <v/>
      </c>
      <c r="D187" s="400" t="str">
        <f>IF($B187="","",YEAR($B187))</f>
        <v/>
      </c>
      <c r="E187" s="391" t="n"/>
      <c r="F187" s="391" t="n"/>
      <c r="G187" s="391" t="n"/>
      <c r="H187" s="391" t="n"/>
      <c r="I187" s="391" t="n"/>
      <c r="J187" s="391" t="n"/>
      <c r="K187" s="391" t="n"/>
      <c r="L187" s="391" t="n"/>
      <c r="M187" s="391" t="n"/>
      <c r="N187" s="391" t="n"/>
      <c r="O187" s="392" t="n"/>
      <c r="P187" s="391" t="n"/>
      <c r="Q187" s="385" t="str">
        <f>IF($B187="","",IF($P187&lt;&gt;"AED",0,IF($F187="Income",$O187,IF($F187="Expense",-$O187,0))))</f>
        <v/>
      </c>
      <c r="R187" s="381" t="n"/>
      <c r="S187" s="381" t="n"/>
      <c r="T187" s="381" t="n"/>
      <c r="U187" s="381" t="n"/>
    </row>
    <row r="188" ht="15" customHeight="1" s="278">
      <c r="A188" s="399" t="str">
        <f>IF($B188="","","T"&amp;TEXT(ROW()-6,"0000"))</f>
        <v/>
      </c>
      <c r="B188" s="386" t="n"/>
      <c r="C188" s="399" t="str">
        <f>IF($B188="","",TEXT($B188,"YYYY-MM"))</f>
        <v/>
      </c>
      <c r="D188" s="400" t="str">
        <f>IF($B188="","",YEAR($B188))</f>
        <v/>
      </c>
      <c r="E188" s="391" t="n"/>
      <c r="F188" s="391" t="n"/>
      <c r="G188" s="391" t="n"/>
      <c r="H188" s="391" t="n"/>
      <c r="I188" s="391" t="n"/>
      <c r="J188" s="391" t="n"/>
      <c r="K188" s="391" t="n"/>
      <c r="L188" s="391" t="n"/>
      <c r="M188" s="391" t="n"/>
      <c r="N188" s="391" t="n"/>
      <c r="O188" s="392" t="n"/>
      <c r="P188" s="391" t="n"/>
      <c r="Q188" s="385" t="str">
        <f>IF($B188="","",IF($P188&lt;&gt;"AED",0,IF($F188="Income",$O188,IF($F188="Expense",-$O188,0))))</f>
        <v/>
      </c>
      <c r="R188" s="381" t="n"/>
      <c r="S188" s="381" t="n"/>
      <c r="T188" s="381" t="n"/>
      <c r="U188" s="381" t="n"/>
    </row>
    <row r="189" ht="15" customHeight="1" s="278">
      <c r="A189" s="399" t="str">
        <f>IF($B189="","","T"&amp;TEXT(ROW()-6,"0000"))</f>
        <v/>
      </c>
      <c r="B189" s="386" t="n"/>
      <c r="C189" s="399" t="str">
        <f>IF($B189="","",TEXT($B189,"YYYY-MM"))</f>
        <v/>
      </c>
      <c r="D189" s="400" t="str">
        <f>IF($B189="","",YEAR($B189))</f>
        <v/>
      </c>
      <c r="E189" s="391" t="n"/>
      <c r="F189" s="391" t="n"/>
      <c r="G189" s="391" t="n"/>
      <c r="H189" s="391" t="n"/>
      <c r="I189" s="391" t="n"/>
      <c r="J189" s="391" t="n"/>
      <c r="K189" s="391" t="n"/>
      <c r="L189" s="391" t="n"/>
      <c r="M189" s="391" t="n"/>
      <c r="N189" s="391" t="n"/>
      <c r="O189" s="392" t="n"/>
      <c r="P189" s="391" t="n"/>
      <c r="Q189" s="385" t="str">
        <f>IF($B189="","",IF($P189&lt;&gt;"AED",0,IF($F189="Income",$O189,IF($F189="Expense",-$O189,0))))</f>
        <v/>
      </c>
      <c r="R189" s="381" t="n"/>
      <c r="S189" s="381" t="n"/>
      <c r="T189" s="381" t="n"/>
      <c r="U189" s="381" t="n"/>
    </row>
    <row r="190" ht="15" customHeight="1" s="278">
      <c r="A190" s="399" t="str">
        <f>IF($B190="","","T"&amp;TEXT(ROW()-6,"0000"))</f>
        <v/>
      </c>
      <c r="B190" s="386" t="n"/>
      <c r="C190" s="399" t="str">
        <f>IF($B190="","",TEXT($B190,"YYYY-MM"))</f>
        <v/>
      </c>
      <c r="D190" s="400" t="str">
        <f>IF($B190="","",YEAR($B190))</f>
        <v/>
      </c>
      <c r="E190" s="391" t="n"/>
      <c r="F190" s="391" t="n"/>
      <c r="G190" s="391" t="n"/>
      <c r="H190" s="391" t="n"/>
      <c r="I190" s="391" t="n"/>
      <c r="J190" s="391" t="n"/>
      <c r="K190" s="391" t="n"/>
      <c r="L190" s="391" t="n"/>
      <c r="M190" s="391" t="n"/>
      <c r="N190" s="391" t="n"/>
      <c r="O190" s="392" t="n"/>
      <c r="P190" s="391" t="n"/>
      <c r="Q190" s="385" t="str">
        <f>IF($B190="","",IF($P190&lt;&gt;"AED",0,IF($F190="Income",$O190,IF($F190="Expense",-$O190,0))))</f>
        <v/>
      </c>
      <c r="R190" s="381" t="n"/>
      <c r="S190" s="381" t="n"/>
      <c r="T190" s="381" t="n"/>
      <c r="U190" s="381" t="n"/>
    </row>
    <row r="191" ht="15" customHeight="1" s="278">
      <c r="A191" s="399" t="str">
        <f>IF($B191="","","T"&amp;TEXT(ROW()-6,"0000"))</f>
        <v/>
      </c>
      <c r="B191" s="386" t="n"/>
      <c r="C191" s="399" t="str">
        <f>IF($B191="","",TEXT($B191,"YYYY-MM"))</f>
        <v/>
      </c>
      <c r="D191" s="400" t="str">
        <f>IF($B191="","",YEAR($B191))</f>
        <v/>
      </c>
      <c r="E191" s="391" t="n"/>
      <c r="F191" s="391" t="n"/>
      <c r="G191" s="391" t="n"/>
      <c r="H191" s="391" t="n"/>
      <c r="I191" s="391" t="n"/>
      <c r="J191" s="391" t="n"/>
      <c r="K191" s="391" t="n"/>
      <c r="L191" s="391" t="n"/>
      <c r="M191" s="391" t="n"/>
      <c r="N191" s="391" t="n"/>
      <c r="O191" s="392" t="n"/>
      <c r="P191" s="391" t="n"/>
      <c r="Q191" s="385" t="str">
        <f>IF($B191="","",IF($P191&lt;&gt;"AED",0,IF($F191="Income",$O191,IF($F191="Expense",-$O191,0))))</f>
        <v/>
      </c>
      <c r="R191" s="381" t="n"/>
      <c r="S191" s="381" t="n"/>
      <c r="T191" s="381" t="n"/>
      <c r="U191" s="381" t="n"/>
    </row>
    <row r="192" ht="15" customHeight="1" s="278">
      <c r="A192" s="399" t="str">
        <f>IF($B192="","","T"&amp;TEXT(ROW()-6,"0000"))</f>
        <v/>
      </c>
      <c r="B192" s="386" t="n"/>
      <c r="C192" s="399" t="str">
        <f>IF($B192="","",TEXT($B192,"YYYY-MM"))</f>
        <v/>
      </c>
      <c r="D192" s="400" t="str">
        <f>IF($B192="","",YEAR($B192))</f>
        <v/>
      </c>
      <c r="E192" s="391" t="n"/>
      <c r="F192" s="391" t="n"/>
      <c r="G192" s="391" t="n"/>
      <c r="H192" s="391" t="n"/>
      <c r="I192" s="391" t="n"/>
      <c r="J192" s="391" t="n"/>
      <c r="K192" s="391" t="n"/>
      <c r="L192" s="391" t="n"/>
      <c r="M192" s="391" t="n"/>
      <c r="N192" s="391" t="n"/>
      <c r="O192" s="392" t="n"/>
      <c r="P192" s="391" t="n"/>
      <c r="Q192" s="385" t="str">
        <f>IF($B192="","",IF($P192&lt;&gt;"AED",0,IF($F192="Income",$O192,IF($F192="Expense",-$O192,0))))</f>
        <v/>
      </c>
      <c r="R192" s="381" t="n"/>
      <c r="S192" s="381" t="n"/>
      <c r="T192" s="381" t="n"/>
      <c r="U192" s="381" t="n"/>
    </row>
    <row r="193" ht="15" customHeight="1" s="278">
      <c r="A193" s="399" t="str">
        <f>IF($B193="","","T"&amp;TEXT(ROW()-6,"0000"))</f>
        <v/>
      </c>
      <c r="B193" s="386" t="n"/>
      <c r="C193" s="399" t="str">
        <f>IF($B193="","",TEXT($B193,"YYYY-MM"))</f>
        <v/>
      </c>
      <c r="D193" s="400" t="str">
        <f>IF($B193="","",YEAR($B193))</f>
        <v/>
      </c>
      <c r="E193" s="391" t="n"/>
      <c r="F193" s="391" t="n"/>
      <c r="G193" s="391" t="n"/>
      <c r="H193" s="391" t="n"/>
      <c r="I193" s="391" t="n"/>
      <c r="J193" s="391" t="n"/>
      <c r="K193" s="391" t="n"/>
      <c r="L193" s="391" t="n"/>
      <c r="M193" s="391" t="n"/>
      <c r="N193" s="391" t="n"/>
      <c r="O193" s="392" t="n"/>
      <c r="P193" s="391" t="n"/>
      <c r="Q193" s="385" t="str">
        <f>IF($B193="","",IF($P193&lt;&gt;"AED",0,IF($F193="Income",$O193,IF($F193="Expense",-$O193,0))))</f>
        <v/>
      </c>
      <c r="R193" s="381" t="n"/>
      <c r="S193" s="381" t="n"/>
      <c r="T193" s="381" t="n"/>
      <c r="U193" s="381" t="n"/>
    </row>
    <row r="194" ht="15" customHeight="1" s="278">
      <c r="A194" s="399" t="str">
        <f>IF($B194="","","T"&amp;TEXT(ROW()-6,"0000"))</f>
        <v/>
      </c>
      <c r="B194" s="386" t="n"/>
      <c r="C194" s="399" t="str">
        <f>IF($B194="","",TEXT($B194,"YYYY-MM"))</f>
        <v/>
      </c>
      <c r="D194" s="400" t="str">
        <f>IF($B194="","",YEAR($B194))</f>
        <v/>
      </c>
      <c r="E194" s="391" t="n"/>
      <c r="F194" s="391" t="n"/>
      <c r="G194" s="391" t="n"/>
      <c r="H194" s="391" t="n"/>
      <c r="I194" s="391" t="n"/>
      <c r="J194" s="391" t="n"/>
      <c r="K194" s="391" t="n"/>
      <c r="L194" s="391" t="n"/>
      <c r="M194" s="391" t="n"/>
      <c r="N194" s="391" t="n"/>
      <c r="O194" s="392" t="n"/>
      <c r="P194" s="391" t="n"/>
      <c r="Q194" s="385" t="str">
        <f>IF($B194="","",IF($P194&lt;&gt;"AED",0,IF($F194="Income",$O194,IF($F194="Expense",-$O194,0))))</f>
        <v/>
      </c>
      <c r="R194" s="381" t="n"/>
      <c r="S194" s="381" t="n"/>
      <c r="T194" s="381" t="n"/>
      <c r="U194" s="381" t="n"/>
    </row>
    <row r="195" ht="15" customHeight="1" s="278">
      <c r="A195" s="399" t="str">
        <f>IF($B195="","","T"&amp;TEXT(ROW()-6,"0000"))</f>
        <v/>
      </c>
      <c r="B195" s="386" t="n"/>
      <c r="C195" s="399" t="str">
        <f>IF($B195="","",TEXT($B195,"YYYY-MM"))</f>
        <v/>
      </c>
      <c r="D195" s="400" t="str">
        <f>IF($B195="","",YEAR($B195))</f>
        <v/>
      </c>
      <c r="E195" s="391" t="n"/>
      <c r="F195" s="391" t="n"/>
      <c r="G195" s="391" t="n"/>
      <c r="H195" s="391" t="n"/>
      <c r="I195" s="391" t="n"/>
      <c r="J195" s="391" t="n"/>
      <c r="K195" s="391" t="n"/>
      <c r="L195" s="391" t="n"/>
      <c r="M195" s="391" t="n"/>
      <c r="N195" s="391" t="n"/>
      <c r="O195" s="392" t="n"/>
      <c r="P195" s="391" t="n"/>
      <c r="Q195" s="385" t="str">
        <f>IF($B195="","",IF($P195&lt;&gt;"AED",0,IF($F195="Income",$O195,IF($F195="Expense",-$O195,0))))</f>
        <v/>
      </c>
      <c r="R195" s="381" t="n"/>
      <c r="S195" s="381" t="n"/>
      <c r="T195" s="381" t="n"/>
      <c r="U195" s="381" t="n"/>
    </row>
    <row r="196" ht="15" customHeight="1" s="278">
      <c r="A196" s="399" t="str">
        <f>IF($B196="","","T"&amp;TEXT(ROW()-6,"0000"))</f>
        <v/>
      </c>
      <c r="B196" s="386" t="n"/>
      <c r="C196" s="399" t="str">
        <f>IF($B196="","",TEXT($B196,"YYYY-MM"))</f>
        <v/>
      </c>
      <c r="D196" s="400" t="str">
        <f>IF($B196="","",YEAR($B196))</f>
        <v/>
      </c>
      <c r="E196" s="391" t="n"/>
      <c r="F196" s="391" t="n"/>
      <c r="G196" s="391" t="n"/>
      <c r="H196" s="391" t="n"/>
      <c r="I196" s="391" t="n"/>
      <c r="J196" s="391" t="n"/>
      <c r="K196" s="391" t="n"/>
      <c r="L196" s="391" t="n"/>
      <c r="M196" s="391" t="n"/>
      <c r="N196" s="391" t="n"/>
      <c r="O196" s="392" t="n"/>
      <c r="P196" s="391" t="n"/>
      <c r="Q196" s="385" t="str">
        <f>IF($B196="","",IF($P196&lt;&gt;"AED",0,IF($F196="Income",$O196,IF($F196="Expense",-$O196,0))))</f>
        <v/>
      </c>
      <c r="R196" s="381" t="n"/>
      <c r="S196" s="381" t="n"/>
      <c r="T196" s="381" t="n"/>
      <c r="U196" s="381" t="n"/>
    </row>
    <row r="197" ht="15" customHeight="1" s="278">
      <c r="A197" s="399" t="str">
        <f>IF($B197="","","T"&amp;TEXT(ROW()-6,"0000"))</f>
        <v/>
      </c>
      <c r="B197" s="386" t="n"/>
      <c r="C197" s="399" t="str">
        <f>IF($B197="","",TEXT($B197,"YYYY-MM"))</f>
        <v/>
      </c>
      <c r="D197" s="400" t="str">
        <f>IF($B197="","",YEAR($B197))</f>
        <v/>
      </c>
      <c r="E197" s="391" t="n"/>
      <c r="F197" s="391" t="n"/>
      <c r="G197" s="391" t="n"/>
      <c r="H197" s="391" t="n"/>
      <c r="I197" s="391" t="n"/>
      <c r="J197" s="391" t="n"/>
      <c r="K197" s="391" t="n"/>
      <c r="L197" s="391" t="n"/>
      <c r="M197" s="391" t="n"/>
      <c r="N197" s="391" t="n"/>
      <c r="O197" s="392" t="n"/>
      <c r="P197" s="391" t="n"/>
      <c r="Q197" s="385" t="str">
        <f>IF($B197="","",IF($P197&lt;&gt;"AED",0,IF($F197="Income",$O197,IF($F197="Expense",-$O197,0))))</f>
        <v/>
      </c>
      <c r="R197" s="381" t="n"/>
      <c r="S197" s="381" t="n"/>
      <c r="T197" s="381" t="n"/>
      <c r="U197" s="381" t="n"/>
    </row>
    <row r="198" ht="15" customHeight="1" s="278">
      <c r="A198" s="399" t="str">
        <f>IF($B198="","","T"&amp;TEXT(ROW()-6,"0000"))</f>
        <v/>
      </c>
      <c r="B198" s="386" t="n"/>
      <c r="C198" s="399" t="str">
        <f>IF($B198="","",TEXT($B198,"YYYY-MM"))</f>
        <v/>
      </c>
      <c r="D198" s="400" t="str">
        <f>IF($B198="","",YEAR($B198))</f>
        <v/>
      </c>
      <c r="E198" s="391" t="n"/>
      <c r="F198" s="391" t="n"/>
      <c r="G198" s="391" t="n"/>
      <c r="H198" s="391" t="n"/>
      <c r="I198" s="391" t="n"/>
      <c r="J198" s="391" t="n"/>
      <c r="K198" s="391" t="n"/>
      <c r="L198" s="391" t="n"/>
      <c r="M198" s="391" t="n"/>
      <c r="N198" s="391" t="n"/>
      <c r="O198" s="392" t="n"/>
      <c r="P198" s="391" t="n"/>
      <c r="Q198" s="385" t="str">
        <f>IF($B198="","",IF($P198&lt;&gt;"AED",0,IF($F198="Income",$O198,IF($F198="Expense",-$O198,0))))</f>
        <v/>
      </c>
      <c r="R198" s="381" t="n"/>
      <c r="S198" s="381" t="n"/>
      <c r="T198" s="381" t="n"/>
      <c r="U198" s="381" t="n"/>
    </row>
    <row r="199" ht="15" customHeight="1" s="278">
      <c r="A199" s="399" t="str">
        <f>IF($B199="","","T"&amp;TEXT(ROW()-6,"0000"))</f>
        <v/>
      </c>
      <c r="B199" s="386" t="n"/>
      <c r="C199" s="399" t="str">
        <f>IF($B199="","",TEXT($B199,"YYYY-MM"))</f>
        <v/>
      </c>
      <c r="D199" s="400" t="str">
        <f>IF($B199="","",YEAR($B199))</f>
        <v/>
      </c>
      <c r="E199" s="391" t="n"/>
      <c r="F199" s="391" t="n"/>
      <c r="G199" s="391" t="n"/>
      <c r="H199" s="391" t="n"/>
      <c r="I199" s="391" t="n"/>
      <c r="J199" s="391" t="n"/>
      <c r="K199" s="391" t="n"/>
      <c r="L199" s="391" t="n"/>
      <c r="M199" s="391" t="n"/>
      <c r="N199" s="391" t="n"/>
      <c r="O199" s="392" t="n"/>
      <c r="P199" s="391" t="n"/>
      <c r="Q199" s="385" t="str">
        <f>IF($B199="","",IF($P199&lt;&gt;"AED",0,IF($F199="Income",$O199,IF($F199="Expense",-$O199,0))))</f>
        <v/>
      </c>
      <c r="R199" s="381" t="n"/>
      <c r="S199" s="381" t="n"/>
      <c r="T199" s="381" t="n"/>
      <c r="U199" s="381" t="n"/>
    </row>
    <row r="200" ht="15" customHeight="1" s="278">
      <c r="A200" s="399" t="str">
        <f>IF($B200="","","T"&amp;TEXT(ROW()-6,"0000"))</f>
        <v/>
      </c>
      <c r="B200" s="386" t="n"/>
      <c r="C200" s="399" t="str">
        <f>IF($B200="","",TEXT($B200,"YYYY-MM"))</f>
        <v/>
      </c>
      <c r="D200" s="400" t="str">
        <f>IF($B200="","",YEAR($B200))</f>
        <v/>
      </c>
      <c r="E200" s="391" t="n"/>
      <c r="F200" s="391" t="n"/>
      <c r="G200" s="391" t="n"/>
      <c r="H200" s="391" t="n"/>
      <c r="I200" s="391" t="n"/>
      <c r="J200" s="391" t="n"/>
      <c r="K200" s="391" t="n"/>
      <c r="L200" s="391" t="n"/>
      <c r="M200" s="391" t="n"/>
      <c r="N200" s="391" t="n"/>
      <c r="O200" s="392" t="n"/>
      <c r="P200" s="391" t="n"/>
      <c r="Q200" s="385" t="str">
        <f>IF($B200="","",IF($P200&lt;&gt;"AED",0,IF($F200="Income",$O200,IF($F200="Expense",-$O200,0))))</f>
        <v/>
      </c>
      <c r="R200" s="381" t="n"/>
      <c r="S200" s="381" t="n"/>
      <c r="T200" s="381" t="n"/>
      <c r="U200" s="381" t="n"/>
    </row>
    <row r="201" ht="15" customHeight="1" s="278">
      <c r="A201" s="399" t="str">
        <f>IF($B201="","","T"&amp;TEXT(ROW()-6,"0000"))</f>
        <v/>
      </c>
      <c r="B201" s="386" t="n"/>
      <c r="C201" s="399" t="str">
        <f>IF($B201="","",TEXT($B201,"YYYY-MM"))</f>
        <v/>
      </c>
      <c r="D201" s="400" t="str">
        <f>IF($B201="","",YEAR($B201))</f>
        <v/>
      </c>
      <c r="E201" s="391" t="n"/>
      <c r="F201" s="391" t="n"/>
      <c r="G201" s="391" t="n"/>
      <c r="H201" s="391" t="n"/>
      <c r="I201" s="391" t="n"/>
      <c r="J201" s="391" t="n"/>
      <c r="K201" s="391" t="n"/>
      <c r="L201" s="391" t="n"/>
      <c r="M201" s="391" t="n"/>
      <c r="N201" s="391" t="n"/>
      <c r="O201" s="392" t="n"/>
      <c r="P201" s="391" t="n"/>
      <c r="Q201" s="385" t="str">
        <f>IF($B201="","",IF($P201&lt;&gt;"AED",0,IF($F201="Income",$O201,IF($F201="Expense",-$O201,0))))</f>
        <v/>
      </c>
      <c r="R201" s="381" t="n"/>
      <c r="S201" s="381" t="n"/>
      <c r="T201" s="381" t="n"/>
      <c r="U201" s="381" t="n"/>
    </row>
    <row r="202" ht="15" customHeight="1" s="278">
      <c r="A202" s="399" t="str">
        <f>IF($B202="","","T"&amp;TEXT(ROW()-6,"0000"))</f>
        <v/>
      </c>
      <c r="B202" s="386" t="n"/>
      <c r="C202" s="399" t="str">
        <f>IF($B202="","",TEXT($B202,"YYYY-MM"))</f>
        <v/>
      </c>
      <c r="D202" s="400" t="str">
        <f>IF($B202="","",YEAR($B202))</f>
        <v/>
      </c>
      <c r="E202" s="391" t="n"/>
      <c r="F202" s="391" t="n"/>
      <c r="G202" s="391" t="n"/>
      <c r="H202" s="391" t="n"/>
      <c r="I202" s="391" t="n"/>
      <c r="J202" s="391" t="n"/>
      <c r="K202" s="391" t="n"/>
      <c r="L202" s="391" t="n"/>
      <c r="M202" s="391" t="n"/>
      <c r="N202" s="391" t="n"/>
      <c r="O202" s="392" t="n"/>
      <c r="P202" s="391" t="n"/>
      <c r="Q202" s="385" t="str">
        <f>IF($B202="","",IF($P202&lt;&gt;"AED",0,IF($F202="Income",$O202,IF($F202="Expense",-$O202,0))))</f>
        <v/>
      </c>
      <c r="R202" s="381" t="n"/>
      <c r="S202" s="381" t="n"/>
      <c r="T202" s="381" t="n"/>
      <c r="U202" s="381" t="n"/>
    </row>
    <row r="203" ht="15" customHeight="1" s="278">
      <c r="A203" s="399" t="str">
        <f>IF($B203="","","T"&amp;TEXT(ROW()-6,"0000"))</f>
        <v/>
      </c>
      <c r="B203" s="386" t="n"/>
      <c r="C203" s="399" t="str">
        <f>IF($B203="","",TEXT($B203,"YYYY-MM"))</f>
        <v/>
      </c>
      <c r="D203" s="400" t="str">
        <f>IF($B203="","",YEAR($B203))</f>
        <v/>
      </c>
      <c r="E203" s="391" t="n"/>
      <c r="F203" s="391" t="n"/>
      <c r="G203" s="391" t="n"/>
      <c r="H203" s="391" t="n"/>
      <c r="I203" s="391" t="n"/>
      <c r="J203" s="391" t="n"/>
      <c r="K203" s="391" t="n"/>
      <c r="L203" s="391" t="n"/>
      <c r="M203" s="391" t="n"/>
      <c r="N203" s="391" t="n"/>
      <c r="O203" s="392" t="n"/>
      <c r="P203" s="391" t="n"/>
      <c r="Q203" s="385" t="str">
        <f>IF($B203="","",IF($P203&lt;&gt;"AED",0,IF($F203="Income",$O203,IF($F203="Expense",-$O203,0))))</f>
        <v/>
      </c>
      <c r="R203" s="381" t="n"/>
      <c r="S203" s="381" t="n"/>
      <c r="T203" s="381" t="n"/>
      <c r="U203" s="381" t="n"/>
    </row>
    <row r="204" ht="15" customHeight="1" s="278">
      <c r="A204" s="399" t="str">
        <f>IF($B204="","","T"&amp;TEXT(ROW()-6,"0000"))</f>
        <v/>
      </c>
      <c r="B204" s="386" t="n"/>
      <c r="C204" s="399" t="str">
        <f>IF($B204="","",TEXT($B204,"YYYY-MM"))</f>
        <v/>
      </c>
      <c r="D204" s="400" t="str">
        <f>IF($B204="","",YEAR($B204))</f>
        <v/>
      </c>
      <c r="E204" s="391" t="n"/>
      <c r="F204" s="391" t="n"/>
      <c r="G204" s="391" t="n"/>
      <c r="H204" s="391" t="n"/>
      <c r="I204" s="391" t="n"/>
      <c r="J204" s="391" t="n"/>
      <c r="K204" s="391" t="n"/>
      <c r="L204" s="391" t="n"/>
      <c r="M204" s="391" t="n"/>
      <c r="N204" s="391" t="n"/>
      <c r="O204" s="392" t="n"/>
      <c r="P204" s="391" t="n"/>
      <c r="Q204" s="385" t="str">
        <f>IF($B204="","",IF($P204&lt;&gt;"AED",0,IF($F204="Income",$O204,IF($F204="Expense",-$O204,0))))</f>
        <v/>
      </c>
      <c r="R204" s="381" t="n"/>
      <c r="S204" s="381" t="n"/>
      <c r="T204" s="381" t="n"/>
      <c r="U204" s="381" t="n"/>
    </row>
    <row r="205" ht="15" customHeight="1" s="278">
      <c r="A205" s="399" t="str">
        <f>IF($B205="","","T"&amp;TEXT(ROW()-6,"0000"))</f>
        <v/>
      </c>
      <c r="B205" s="386" t="n"/>
      <c r="C205" s="399" t="str">
        <f>IF($B205="","",TEXT($B205,"YYYY-MM"))</f>
        <v/>
      </c>
      <c r="D205" s="400" t="str">
        <f>IF($B205="","",YEAR($B205))</f>
        <v/>
      </c>
      <c r="E205" s="391" t="n"/>
      <c r="F205" s="391" t="n"/>
      <c r="G205" s="391" t="n"/>
      <c r="H205" s="391" t="n"/>
      <c r="I205" s="391" t="n"/>
      <c r="J205" s="391" t="n"/>
      <c r="K205" s="391" t="n"/>
      <c r="L205" s="391" t="n"/>
      <c r="M205" s="391" t="n"/>
      <c r="N205" s="391" t="n"/>
      <c r="O205" s="392" t="n"/>
      <c r="P205" s="391" t="n"/>
      <c r="Q205" s="385" t="str">
        <f>IF($B205="","",IF($P205&lt;&gt;"AED",0,IF($F205="Income",$O205,IF($F205="Expense",-$O205,0))))</f>
        <v/>
      </c>
      <c r="R205" s="381" t="n"/>
      <c r="S205" s="381" t="n"/>
      <c r="T205" s="381" t="n"/>
      <c r="U205" s="381" t="n"/>
    </row>
    <row r="206" ht="15" customHeight="1" s="278">
      <c r="A206" s="399" t="str">
        <f>IF($B206="","","T"&amp;TEXT(ROW()-6,"0000"))</f>
        <v/>
      </c>
      <c r="B206" s="386" t="n"/>
      <c r="C206" s="399" t="str">
        <f>IF($B206="","",TEXT($B206,"YYYY-MM"))</f>
        <v/>
      </c>
      <c r="D206" s="400" t="str">
        <f>IF($B206="","",YEAR($B206))</f>
        <v/>
      </c>
      <c r="E206" s="391" t="n"/>
      <c r="F206" s="391" t="n"/>
      <c r="G206" s="391" t="n"/>
      <c r="H206" s="391" t="n"/>
      <c r="I206" s="391" t="n"/>
      <c r="J206" s="391" t="n"/>
      <c r="K206" s="391" t="n"/>
      <c r="L206" s="391" t="n"/>
      <c r="M206" s="391" t="n"/>
      <c r="N206" s="391" t="n"/>
      <c r="O206" s="392" t="n"/>
      <c r="P206" s="391" t="n"/>
      <c r="Q206" s="385" t="str">
        <f>IF($B206="","",IF($P206&lt;&gt;"AED",0,IF($F206="Income",$O206,IF($F206="Expense",-$O206,0))))</f>
        <v/>
      </c>
      <c r="R206" s="381" t="n"/>
      <c r="S206" s="381" t="n"/>
      <c r="T206" s="381" t="n"/>
      <c r="U206" s="381" t="n"/>
    </row>
    <row r="207" ht="15" customHeight="1" s="278">
      <c r="A207" s="399" t="str">
        <f>IF($B207="","","T"&amp;TEXT(ROW()-6,"0000"))</f>
        <v/>
      </c>
      <c r="B207" s="386" t="n"/>
      <c r="C207" s="399" t="str">
        <f>IF($B207="","",TEXT($B207,"YYYY-MM"))</f>
        <v/>
      </c>
      <c r="D207" s="400" t="str">
        <f>IF($B207="","",YEAR($B207))</f>
        <v/>
      </c>
      <c r="E207" s="391" t="n"/>
      <c r="F207" s="391" t="n"/>
      <c r="G207" s="391" t="n"/>
      <c r="H207" s="391" t="n"/>
      <c r="I207" s="391" t="n"/>
      <c r="J207" s="391" t="n"/>
      <c r="K207" s="391" t="n"/>
      <c r="L207" s="391" t="n"/>
      <c r="M207" s="391" t="n"/>
      <c r="N207" s="391" t="n"/>
      <c r="O207" s="392" t="n"/>
      <c r="P207" s="391" t="n"/>
      <c r="Q207" s="385" t="str">
        <f>IF($B207="","",IF($P207&lt;&gt;"AED",0,IF($F207="Income",$O207,IF($F207="Expense",-$O207,0))))</f>
        <v/>
      </c>
      <c r="R207" s="381" t="n"/>
      <c r="S207" s="381" t="n"/>
      <c r="T207" s="381" t="n"/>
      <c r="U207" s="381" t="n"/>
    </row>
    <row r="208" ht="15" customHeight="1" s="278">
      <c r="A208" s="399" t="str">
        <f>IF($B208="","","T"&amp;TEXT(ROW()-6,"0000"))</f>
        <v/>
      </c>
      <c r="B208" s="386" t="n"/>
      <c r="C208" s="399" t="str">
        <f>IF($B208="","",TEXT($B208,"YYYY-MM"))</f>
        <v/>
      </c>
      <c r="D208" s="400" t="str">
        <f>IF($B208="","",YEAR($B208))</f>
        <v/>
      </c>
      <c r="E208" s="391" t="n"/>
      <c r="F208" s="391" t="n"/>
      <c r="G208" s="391" t="n"/>
      <c r="H208" s="391" t="n"/>
      <c r="I208" s="391" t="n"/>
      <c r="J208" s="391" t="n"/>
      <c r="K208" s="391" t="n"/>
      <c r="L208" s="391" t="n"/>
      <c r="M208" s="391" t="n"/>
      <c r="N208" s="391" t="n"/>
      <c r="O208" s="392" t="n"/>
      <c r="P208" s="391" t="n"/>
      <c r="Q208" s="385" t="str">
        <f>IF($B208="","",IF($P208&lt;&gt;"AED",0,IF($F208="Income",$O208,IF($F208="Expense",-$O208,0))))</f>
        <v/>
      </c>
      <c r="R208" s="381" t="n"/>
      <c r="S208" s="381" t="n"/>
      <c r="T208" s="381" t="n"/>
      <c r="U208" s="381" t="n"/>
    </row>
    <row r="209" ht="15" customHeight="1" s="278">
      <c r="A209" s="399" t="str">
        <f>IF($B209="","","T"&amp;TEXT(ROW()-6,"0000"))</f>
        <v/>
      </c>
      <c r="B209" s="386" t="n"/>
      <c r="C209" s="399" t="str">
        <f>IF($B209="","",TEXT($B209,"YYYY-MM"))</f>
        <v/>
      </c>
      <c r="D209" s="400" t="str">
        <f>IF($B209="","",YEAR($B209))</f>
        <v/>
      </c>
      <c r="E209" s="391" t="n"/>
      <c r="F209" s="391" t="n"/>
      <c r="G209" s="391" t="n"/>
      <c r="H209" s="391" t="n"/>
      <c r="I209" s="391" t="n"/>
      <c r="J209" s="391" t="n"/>
      <c r="K209" s="391" t="n"/>
      <c r="L209" s="391" t="n"/>
      <c r="M209" s="391" t="n"/>
      <c r="N209" s="391" t="n"/>
      <c r="O209" s="392" t="n"/>
      <c r="P209" s="391" t="n"/>
      <c r="Q209" s="385" t="str">
        <f>IF($B209="","",IF($P209&lt;&gt;"AED",0,IF($F209="Income",$O209,IF($F209="Expense",-$O209,0))))</f>
        <v/>
      </c>
      <c r="R209" s="381" t="n"/>
      <c r="S209" s="381" t="n"/>
      <c r="T209" s="381" t="n"/>
      <c r="U209" s="381" t="n"/>
    </row>
    <row r="210" ht="15" customHeight="1" s="278">
      <c r="A210" s="399" t="str">
        <f>IF($B210="","","T"&amp;TEXT(ROW()-6,"0000"))</f>
        <v/>
      </c>
      <c r="B210" s="386" t="n"/>
      <c r="C210" s="399" t="str">
        <f>IF($B210="","",TEXT($B210,"YYYY-MM"))</f>
        <v/>
      </c>
      <c r="D210" s="400" t="str">
        <f>IF($B210="","",YEAR($B210))</f>
        <v/>
      </c>
      <c r="E210" s="391" t="n"/>
      <c r="F210" s="391" t="n"/>
      <c r="G210" s="391" t="n"/>
      <c r="H210" s="391" t="n"/>
      <c r="I210" s="391" t="n"/>
      <c r="J210" s="391" t="n"/>
      <c r="K210" s="391" t="n"/>
      <c r="L210" s="391" t="n"/>
      <c r="M210" s="391" t="n"/>
      <c r="N210" s="391" t="n"/>
      <c r="O210" s="392" t="n"/>
      <c r="P210" s="391" t="n"/>
      <c r="Q210" s="385" t="str">
        <f>IF($B210="","",IF($P210&lt;&gt;"AED",0,IF($F210="Income",$O210,IF($F210="Expense",-$O210,0))))</f>
        <v/>
      </c>
      <c r="R210" s="381" t="n"/>
      <c r="S210" s="381" t="n"/>
      <c r="T210" s="381" t="n"/>
      <c r="U210" s="381" t="n"/>
    </row>
    <row r="211" ht="15" customHeight="1" s="278">
      <c r="A211" s="399" t="str">
        <f>IF($B211="","","T"&amp;TEXT(ROW()-6,"0000"))</f>
        <v/>
      </c>
      <c r="B211" s="386" t="n"/>
      <c r="C211" s="399" t="str">
        <f>IF($B211="","",TEXT($B211,"YYYY-MM"))</f>
        <v/>
      </c>
      <c r="D211" s="400" t="str">
        <f>IF($B211="","",YEAR($B211))</f>
        <v/>
      </c>
      <c r="E211" s="391" t="n"/>
      <c r="F211" s="391" t="n"/>
      <c r="G211" s="391" t="n"/>
      <c r="H211" s="391" t="n"/>
      <c r="I211" s="391" t="n"/>
      <c r="J211" s="391" t="n"/>
      <c r="K211" s="391" t="n"/>
      <c r="L211" s="391" t="n"/>
      <c r="M211" s="391" t="n"/>
      <c r="N211" s="391" t="n"/>
      <c r="O211" s="392" t="n"/>
      <c r="P211" s="391" t="n"/>
      <c r="Q211" s="385" t="str">
        <f>IF($B211="","",IF($P211&lt;&gt;"AED",0,IF($F211="Income",$O211,IF($F211="Expense",-$O211,0))))</f>
        <v/>
      </c>
      <c r="R211" s="381" t="n"/>
      <c r="S211" s="381" t="n"/>
      <c r="T211" s="381" t="n"/>
      <c r="U211" s="381" t="n"/>
    </row>
    <row r="212" ht="15" customHeight="1" s="278">
      <c r="A212" s="399" t="str">
        <f>IF($B212="","","T"&amp;TEXT(ROW()-6,"0000"))</f>
        <v/>
      </c>
      <c r="B212" s="386" t="n"/>
      <c r="C212" s="399" t="str">
        <f>IF($B212="","",TEXT($B212,"YYYY-MM"))</f>
        <v/>
      </c>
      <c r="D212" s="400" t="str">
        <f>IF($B212="","",YEAR($B212))</f>
        <v/>
      </c>
      <c r="E212" s="391" t="n"/>
      <c r="F212" s="391" t="n"/>
      <c r="G212" s="391" t="n"/>
      <c r="H212" s="391" t="n"/>
      <c r="I212" s="391" t="n"/>
      <c r="J212" s="391" t="n"/>
      <c r="K212" s="391" t="n"/>
      <c r="L212" s="391" t="n"/>
      <c r="M212" s="391" t="n"/>
      <c r="N212" s="391" t="n"/>
      <c r="O212" s="392" t="n"/>
      <c r="P212" s="391" t="n"/>
      <c r="Q212" s="385" t="str">
        <f>IF($B212="","",IF($P212&lt;&gt;"AED",0,IF($F212="Income",$O212,IF($F212="Expense",-$O212,0))))</f>
        <v/>
      </c>
      <c r="R212" s="381" t="n"/>
      <c r="S212" s="381" t="n"/>
      <c r="T212" s="381" t="n"/>
      <c r="U212" s="381" t="n"/>
    </row>
    <row r="213" ht="15" customHeight="1" s="278">
      <c r="A213" s="399" t="str">
        <f>IF($B213="","","T"&amp;TEXT(ROW()-6,"0000"))</f>
        <v/>
      </c>
      <c r="B213" s="386" t="n"/>
      <c r="C213" s="399" t="str">
        <f>IF($B213="","",TEXT($B213,"YYYY-MM"))</f>
        <v/>
      </c>
      <c r="D213" s="400" t="str">
        <f>IF($B213="","",YEAR($B213))</f>
        <v/>
      </c>
      <c r="E213" s="391" t="n"/>
      <c r="F213" s="391" t="n"/>
      <c r="G213" s="391" t="n"/>
      <c r="H213" s="391" t="n"/>
      <c r="I213" s="391" t="n"/>
      <c r="J213" s="391" t="n"/>
      <c r="K213" s="391" t="n"/>
      <c r="L213" s="391" t="n"/>
      <c r="M213" s="391" t="n"/>
      <c r="N213" s="391" t="n"/>
      <c r="O213" s="392" t="n"/>
      <c r="P213" s="391" t="n"/>
      <c r="Q213" s="385" t="str">
        <f>IF($B213="","",IF($P213&lt;&gt;"AED",0,IF($F213="Income",$O213,IF($F213="Expense",-$O213,0))))</f>
        <v/>
      </c>
      <c r="R213" s="381" t="n"/>
      <c r="S213" s="381" t="n"/>
      <c r="T213" s="381" t="n"/>
      <c r="U213" s="381" t="n"/>
    </row>
    <row r="214" ht="15" customHeight="1" s="278">
      <c r="A214" s="399" t="str">
        <f>IF($B214="","","T"&amp;TEXT(ROW()-6,"0000"))</f>
        <v/>
      </c>
      <c r="B214" s="386" t="n"/>
      <c r="C214" s="399" t="str">
        <f>IF($B214="","",TEXT($B214,"YYYY-MM"))</f>
        <v/>
      </c>
      <c r="D214" s="400" t="str">
        <f>IF($B214="","",YEAR($B214))</f>
        <v/>
      </c>
      <c r="E214" s="391" t="n"/>
      <c r="F214" s="391" t="n"/>
      <c r="G214" s="391" t="n"/>
      <c r="H214" s="391" t="n"/>
      <c r="I214" s="391" t="n"/>
      <c r="J214" s="391" t="n"/>
      <c r="K214" s="391" t="n"/>
      <c r="L214" s="391" t="n"/>
      <c r="M214" s="391" t="n"/>
      <c r="N214" s="391" t="n"/>
      <c r="O214" s="392" t="n"/>
      <c r="P214" s="391" t="n"/>
      <c r="Q214" s="385" t="str">
        <f>IF($B214="","",IF($P214&lt;&gt;"AED",0,IF($F214="Income",$O214,IF($F214="Expense",-$O214,0))))</f>
        <v/>
      </c>
      <c r="R214" s="381" t="n"/>
      <c r="S214" s="381" t="n"/>
      <c r="T214" s="381" t="n"/>
      <c r="U214" s="381" t="n"/>
    </row>
    <row r="215" ht="15" customHeight="1" s="278">
      <c r="A215" s="399" t="str">
        <f>IF($B215="","","T"&amp;TEXT(ROW()-6,"0000"))</f>
        <v/>
      </c>
      <c r="B215" s="386" t="n"/>
      <c r="C215" s="399" t="str">
        <f>IF($B215="","",TEXT($B215,"YYYY-MM"))</f>
        <v/>
      </c>
      <c r="D215" s="400" t="str">
        <f>IF($B215="","",YEAR($B215))</f>
        <v/>
      </c>
      <c r="E215" s="391" t="n"/>
      <c r="F215" s="391" t="n"/>
      <c r="G215" s="391" t="n"/>
      <c r="H215" s="391" t="n"/>
      <c r="I215" s="391" t="n"/>
      <c r="J215" s="391" t="n"/>
      <c r="K215" s="391" t="n"/>
      <c r="L215" s="391" t="n"/>
      <c r="M215" s="391" t="n"/>
      <c r="N215" s="391" t="n"/>
      <c r="O215" s="392" t="n"/>
      <c r="P215" s="391" t="n"/>
      <c r="Q215" s="385" t="str">
        <f>IF($B215="","",IF($P215&lt;&gt;"AED",0,IF($F215="Income",$O215,IF($F215="Expense",-$O215,0))))</f>
        <v/>
      </c>
      <c r="R215" s="381" t="n"/>
      <c r="S215" s="381" t="n"/>
      <c r="T215" s="381" t="n"/>
      <c r="U215" s="381" t="n"/>
    </row>
    <row r="216" ht="15" customHeight="1" s="278">
      <c r="A216" s="399" t="str">
        <f>IF($B216="","","T"&amp;TEXT(ROW()-6,"0000"))</f>
        <v/>
      </c>
      <c r="B216" s="386" t="n"/>
      <c r="C216" s="399" t="str">
        <f>IF($B216="","",TEXT($B216,"YYYY-MM"))</f>
        <v/>
      </c>
      <c r="D216" s="400" t="str">
        <f>IF($B216="","",YEAR($B216))</f>
        <v/>
      </c>
      <c r="E216" s="391" t="n"/>
      <c r="F216" s="391" t="n"/>
      <c r="G216" s="391" t="n"/>
      <c r="H216" s="391" t="n"/>
      <c r="I216" s="391" t="n"/>
      <c r="J216" s="391" t="n"/>
      <c r="K216" s="391" t="n"/>
      <c r="L216" s="391" t="n"/>
      <c r="M216" s="391" t="n"/>
      <c r="N216" s="391" t="n"/>
      <c r="O216" s="392" t="n"/>
      <c r="P216" s="391" t="n"/>
      <c r="Q216" s="385" t="str">
        <f>IF($B216="","",IF($P216&lt;&gt;"AED",0,IF($F216="Income",$O216,IF($F216="Expense",-$O216,0))))</f>
        <v/>
      </c>
      <c r="R216" s="381" t="n"/>
      <c r="S216" s="381" t="n"/>
      <c r="T216" s="381" t="n"/>
      <c r="U216" s="381" t="n"/>
    </row>
    <row r="217" ht="15" customHeight="1" s="278">
      <c r="A217" s="399" t="str">
        <f>IF($B217="","","T"&amp;TEXT(ROW()-6,"0000"))</f>
        <v/>
      </c>
      <c r="B217" s="386" t="n"/>
      <c r="C217" s="399" t="str">
        <f>IF($B217="","",TEXT($B217,"YYYY-MM"))</f>
        <v/>
      </c>
      <c r="D217" s="400" t="str">
        <f>IF($B217="","",YEAR($B217))</f>
        <v/>
      </c>
      <c r="E217" s="391" t="n"/>
      <c r="F217" s="391" t="n"/>
      <c r="G217" s="391" t="n"/>
      <c r="H217" s="391" t="n"/>
      <c r="I217" s="391" t="n"/>
      <c r="J217" s="391" t="n"/>
      <c r="K217" s="391" t="n"/>
      <c r="L217" s="391" t="n"/>
      <c r="M217" s="391" t="n"/>
      <c r="N217" s="391" t="n"/>
      <c r="O217" s="392" t="n"/>
      <c r="P217" s="391" t="n"/>
      <c r="Q217" s="385" t="str">
        <f>IF($B217="","",IF($P217&lt;&gt;"AED",0,IF($F217="Income",$O217,IF($F217="Expense",-$O217,0))))</f>
        <v/>
      </c>
      <c r="R217" s="381" t="n"/>
      <c r="S217" s="381" t="n"/>
      <c r="T217" s="381" t="n"/>
      <c r="U217" s="381" t="n"/>
    </row>
    <row r="218" ht="15" customHeight="1" s="278">
      <c r="A218" s="399" t="str">
        <f>IF($B218="","","T"&amp;TEXT(ROW()-6,"0000"))</f>
        <v/>
      </c>
      <c r="B218" s="386" t="n"/>
      <c r="C218" s="399" t="str">
        <f>IF($B218="","",TEXT($B218,"YYYY-MM"))</f>
        <v/>
      </c>
      <c r="D218" s="400" t="str">
        <f>IF($B218="","",YEAR($B218))</f>
        <v/>
      </c>
      <c r="E218" s="391" t="n"/>
      <c r="F218" s="391" t="n"/>
      <c r="G218" s="391" t="n"/>
      <c r="H218" s="391" t="n"/>
      <c r="I218" s="391" t="n"/>
      <c r="J218" s="391" t="n"/>
      <c r="K218" s="391" t="n"/>
      <c r="L218" s="391" t="n"/>
      <c r="M218" s="391" t="n"/>
      <c r="N218" s="391" t="n"/>
      <c r="O218" s="392" t="n"/>
      <c r="P218" s="391" t="n"/>
      <c r="Q218" s="385" t="str">
        <f>IF($B218="","",IF($P218&lt;&gt;"AED",0,IF($F218="Income",$O218,IF($F218="Expense",-$O218,0))))</f>
        <v/>
      </c>
      <c r="R218" s="381" t="n"/>
      <c r="S218" s="381" t="n"/>
      <c r="T218" s="381" t="n"/>
      <c r="U218" s="381" t="n"/>
    </row>
    <row r="219" ht="15" customHeight="1" s="278">
      <c r="A219" s="399" t="str">
        <f>IF($B219="","","T"&amp;TEXT(ROW()-6,"0000"))</f>
        <v/>
      </c>
      <c r="B219" s="386" t="n"/>
      <c r="C219" s="399" t="str">
        <f>IF($B219="","",TEXT($B219,"YYYY-MM"))</f>
        <v/>
      </c>
      <c r="D219" s="400" t="str">
        <f>IF($B219="","",YEAR($B219))</f>
        <v/>
      </c>
      <c r="E219" s="391" t="n"/>
      <c r="F219" s="391" t="n"/>
      <c r="G219" s="391" t="n"/>
      <c r="H219" s="391" t="n"/>
      <c r="I219" s="391" t="n"/>
      <c r="J219" s="391" t="n"/>
      <c r="K219" s="391" t="n"/>
      <c r="L219" s="391" t="n"/>
      <c r="M219" s="391" t="n"/>
      <c r="N219" s="391" t="n"/>
      <c r="O219" s="392" t="n"/>
      <c r="P219" s="391" t="n"/>
      <c r="Q219" s="385" t="str">
        <f>IF($B219="","",IF($P219&lt;&gt;"AED",0,IF($F219="Income",$O219,IF($F219="Expense",-$O219,0))))</f>
        <v/>
      </c>
      <c r="R219" s="381" t="n"/>
      <c r="S219" s="381" t="n"/>
      <c r="T219" s="381" t="n"/>
      <c r="U219" s="381" t="n"/>
    </row>
    <row r="220" ht="15" customHeight="1" s="278">
      <c r="A220" s="399" t="str">
        <f>IF($B220="","","T"&amp;TEXT(ROW()-6,"0000"))</f>
        <v/>
      </c>
      <c r="B220" s="386" t="n"/>
      <c r="C220" s="399" t="str">
        <f>IF($B220="","",TEXT($B220,"YYYY-MM"))</f>
        <v/>
      </c>
      <c r="D220" s="400" t="str">
        <f>IF($B220="","",YEAR($B220))</f>
        <v/>
      </c>
      <c r="E220" s="391" t="n"/>
      <c r="F220" s="391" t="n"/>
      <c r="G220" s="391" t="n"/>
      <c r="H220" s="391" t="n"/>
      <c r="I220" s="391" t="n"/>
      <c r="J220" s="391" t="n"/>
      <c r="K220" s="391" t="n"/>
      <c r="L220" s="391" t="n"/>
      <c r="M220" s="391" t="n"/>
      <c r="N220" s="391" t="n"/>
      <c r="O220" s="392" t="n"/>
      <c r="P220" s="391" t="n"/>
      <c r="Q220" s="385" t="str">
        <f>IF($B220="","",IF($P220&lt;&gt;"AED",0,IF($F220="Income",$O220,IF($F220="Expense",-$O220,0))))</f>
        <v/>
      </c>
      <c r="R220" s="381" t="n"/>
      <c r="S220" s="381" t="n"/>
      <c r="T220" s="381" t="n"/>
      <c r="U220" s="381" t="n"/>
    </row>
    <row r="221" ht="15" customHeight="1" s="278">
      <c r="A221" s="399" t="str">
        <f>IF($B221="","","T"&amp;TEXT(ROW()-6,"0000"))</f>
        <v/>
      </c>
      <c r="B221" s="386" t="n"/>
      <c r="C221" s="399" t="str">
        <f>IF($B221="","",TEXT($B221,"YYYY-MM"))</f>
        <v/>
      </c>
      <c r="D221" s="400" t="str">
        <f>IF($B221="","",YEAR($B221))</f>
        <v/>
      </c>
      <c r="E221" s="391" t="n"/>
      <c r="F221" s="391" t="n"/>
      <c r="G221" s="391" t="n"/>
      <c r="H221" s="391" t="n"/>
      <c r="I221" s="391" t="n"/>
      <c r="J221" s="391" t="n"/>
      <c r="K221" s="391" t="n"/>
      <c r="L221" s="391" t="n"/>
      <c r="M221" s="391" t="n"/>
      <c r="N221" s="391" t="n"/>
      <c r="O221" s="392" t="n"/>
      <c r="P221" s="391" t="n"/>
      <c r="Q221" s="385" t="str">
        <f>IF($B221="","",IF($P221&lt;&gt;"AED",0,IF($F221="Income",$O221,IF($F221="Expense",-$O221,0))))</f>
        <v/>
      </c>
      <c r="R221" s="381" t="n"/>
      <c r="S221" s="381" t="n"/>
      <c r="T221" s="381" t="n"/>
      <c r="U221" s="381" t="n"/>
    </row>
    <row r="222" ht="15" customHeight="1" s="278">
      <c r="A222" s="399" t="str">
        <f>IF($B222="","","T"&amp;TEXT(ROW()-6,"0000"))</f>
        <v/>
      </c>
      <c r="B222" s="386" t="n"/>
      <c r="C222" s="399" t="str">
        <f>IF($B222="","",TEXT($B222,"YYYY-MM"))</f>
        <v/>
      </c>
      <c r="D222" s="400" t="str">
        <f>IF($B222="","",YEAR($B222))</f>
        <v/>
      </c>
      <c r="E222" s="391" t="n"/>
      <c r="F222" s="391" t="n"/>
      <c r="G222" s="391" t="n"/>
      <c r="H222" s="391" t="n"/>
      <c r="I222" s="391" t="n"/>
      <c r="J222" s="391" t="n"/>
      <c r="K222" s="391" t="n"/>
      <c r="L222" s="391" t="n"/>
      <c r="M222" s="391" t="n"/>
      <c r="N222" s="391" t="n"/>
      <c r="O222" s="392" t="n"/>
      <c r="P222" s="391" t="n"/>
      <c r="Q222" s="385" t="str">
        <f>IF($B222="","",IF($P222&lt;&gt;"AED",0,IF($F222="Income",$O222,IF($F222="Expense",-$O222,0))))</f>
        <v/>
      </c>
      <c r="R222" s="381" t="n"/>
      <c r="S222" s="381" t="n"/>
      <c r="T222" s="381" t="n"/>
      <c r="U222" s="381" t="n"/>
    </row>
    <row r="223" ht="15" customHeight="1" s="278">
      <c r="A223" s="399" t="str">
        <f>IF($B223="","","T"&amp;TEXT(ROW()-6,"0000"))</f>
        <v/>
      </c>
      <c r="B223" s="386" t="n"/>
      <c r="C223" s="399" t="str">
        <f>IF($B223="","",TEXT($B223,"YYYY-MM"))</f>
        <v/>
      </c>
      <c r="D223" s="400" t="str">
        <f>IF($B223="","",YEAR($B223))</f>
        <v/>
      </c>
      <c r="E223" s="391" t="n"/>
      <c r="F223" s="391" t="n"/>
      <c r="G223" s="391" t="n"/>
      <c r="H223" s="391" t="n"/>
      <c r="I223" s="391" t="n"/>
      <c r="J223" s="391" t="n"/>
      <c r="K223" s="391" t="n"/>
      <c r="L223" s="391" t="n"/>
      <c r="M223" s="391" t="n"/>
      <c r="N223" s="391" t="n"/>
      <c r="O223" s="392" t="n"/>
      <c r="P223" s="391" t="n"/>
      <c r="Q223" s="385" t="str">
        <f>IF($B223="","",IF($P223&lt;&gt;"AED",0,IF($F223="Income",$O223,IF($F223="Expense",-$O223,0))))</f>
        <v/>
      </c>
      <c r="R223" s="381" t="n"/>
      <c r="S223" s="381" t="n"/>
      <c r="T223" s="381" t="n"/>
      <c r="U223" s="381" t="n"/>
    </row>
    <row r="224" ht="15" customHeight="1" s="278">
      <c r="A224" s="399" t="str">
        <f>IF($B224="","","T"&amp;TEXT(ROW()-6,"0000"))</f>
        <v/>
      </c>
      <c r="B224" s="386" t="n"/>
      <c r="C224" s="399" t="str">
        <f>IF($B224="","",TEXT($B224,"YYYY-MM"))</f>
        <v/>
      </c>
      <c r="D224" s="400" t="str">
        <f>IF($B224="","",YEAR($B224))</f>
        <v/>
      </c>
      <c r="E224" s="391" t="n"/>
      <c r="F224" s="391" t="n"/>
      <c r="G224" s="391" t="n"/>
      <c r="H224" s="391" t="n"/>
      <c r="I224" s="391" t="n"/>
      <c r="J224" s="391" t="n"/>
      <c r="K224" s="391" t="n"/>
      <c r="L224" s="391" t="n"/>
      <c r="M224" s="391" t="n"/>
      <c r="N224" s="391" t="n"/>
      <c r="O224" s="392" t="n"/>
      <c r="P224" s="391" t="n"/>
      <c r="Q224" s="385" t="str">
        <f>IF($B224="","",IF($P224&lt;&gt;"AED",0,IF($F224="Income",$O224,IF($F224="Expense",-$O224,0))))</f>
        <v/>
      </c>
      <c r="R224" s="381" t="n"/>
      <c r="S224" s="381" t="n"/>
      <c r="T224" s="381" t="n"/>
      <c r="U224" s="381" t="n"/>
    </row>
    <row r="225" ht="15" customHeight="1" s="278">
      <c r="A225" s="399" t="str">
        <f>IF($B225="","","T"&amp;TEXT(ROW()-6,"0000"))</f>
        <v/>
      </c>
      <c r="B225" s="386" t="n"/>
      <c r="C225" s="399" t="str">
        <f>IF($B225="","",TEXT($B225,"YYYY-MM"))</f>
        <v/>
      </c>
      <c r="D225" s="400" t="str">
        <f>IF($B225="","",YEAR($B225))</f>
        <v/>
      </c>
      <c r="E225" s="391" t="n"/>
      <c r="F225" s="391" t="n"/>
      <c r="G225" s="391" t="n"/>
      <c r="H225" s="391" t="n"/>
      <c r="I225" s="391" t="n"/>
      <c r="J225" s="391" t="n"/>
      <c r="K225" s="391" t="n"/>
      <c r="L225" s="391" t="n"/>
      <c r="M225" s="391" t="n"/>
      <c r="N225" s="391" t="n"/>
      <c r="O225" s="392" t="n"/>
      <c r="P225" s="391" t="n"/>
      <c r="Q225" s="385" t="str">
        <f>IF($B225="","",IF($P225&lt;&gt;"AED",0,IF($F225="Income",$O225,IF($F225="Expense",-$O225,0))))</f>
        <v/>
      </c>
      <c r="R225" s="381" t="n"/>
      <c r="S225" s="381" t="n"/>
      <c r="T225" s="381" t="n"/>
      <c r="U225" s="381" t="n"/>
    </row>
    <row r="226" ht="15" customHeight="1" s="278">
      <c r="A226" s="399" t="str">
        <f>IF($B226="","","T"&amp;TEXT(ROW()-6,"0000"))</f>
        <v/>
      </c>
      <c r="B226" s="386" t="n"/>
      <c r="C226" s="399" t="str">
        <f>IF($B226="","",TEXT($B226,"YYYY-MM"))</f>
        <v/>
      </c>
      <c r="D226" s="400" t="str">
        <f>IF($B226="","",YEAR($B226))</f>
        <v/>
      </c>
      <c r="E226" s="391" t="n"/>
      <c r="F226" s="391" t="n"/>
      <c r="G226" s="391" t="n"/>
      <c r="H226" s="391" t="n"/>
      <c r="I226" s="391" t="n"/>
      <c r="J226" s="391" t="n"/>
      <c r="K226" s="391" t="n"/>
      <c r="L226" s="391" t="n"/>
      <c r="M226" s="391" t="n"/>
      <c r="N226" s="391" t="n"/>
      <c r="O226" s="392" t="n"/>
      <c r="P226" s="391" t="n"/>
      <c r="Q226" s="385" t="str">
        <f>IF($B226="","",IF($P226&lt;&gt;"AED",0,IF($F226="Income",$O226,IF($F226="Expense",-$O226,0))))</f>
        <v/>
      </c>
      <c r="R226" s="381" t="n"/>
      <c r="S226" s="381" t="n"/>
      <c r="T226" s="381" t="n"/>
      <c r="U226" s="381" t="n"/>
    </row>
    <row r="227" ht="15" customHeight="1" s="278">
      <c r="A227" s="399" t="str">
        <f>IF($B227="","","T"&amp;TEXT(ROW()-6,"0000"))</f>
        <v/>
      </c>
      <c r="B227" s="386" t="n"/>
      <c r="C227" s="399" t="str">
        <f>IF($B227="","",TEXT($B227,"YYYY-MM"))</f>
        <v/>
      </c>
      <c r="D227" s="400" t="str">
        <f>IF($B227="","",YEAR($B227))</f>
        <v/>
      </c>
      <c r="E227" s="391" t="n"/>
      <c r="F227" s="391" t="n"/>
      <c r="G227" s="391" t="n"/>
      <c r="H227" s="391" t="n"/>
      <c r="I227" s="391" t="n"/>
      <c r="J227" s="391" t="n"/>
      <c r="K227" s="391" t="n"/>
      <c r="L227" s="391" t="n"/>
      <c r="M227" s="391" t="n"/>
      <c r="N227" s="391" t="n"/>
      <c r="O227" s="392" t="n"/>
      <c r="P227" s="391" t="n"/>
      <c r="Q227" s="385" t="str">
        <f>IF($B227="","",IF($P227&lt;&gt;"AED",0,IF($F227="Income",$O227,IF($F227="Expense",-$O227,0))))</f>
        <v/>
      </c>
      <c r="R227" s="381" t="n"/>
      <c r="S227" s="381" t="n"/>
      <c r="T227" s="381" t="n"/>
      <c r="U227" s="381" t="n"/>
    </row>
    <row r="228" ht="15" customHeight="1" s="278">
      <c r="A228" s="399" t="str">
        <f>IF($B228="","","T"&amp;TEXT(ROW()-6,"0000"))</f>
        <v/>
      </c>
      <c r="B228" s="386" t="n"/>
      <c r="C228" s="399" t="str">
        <f>IF($B228="","",TEXT($B228,"YYYY-MM"))</f>
        <v/>
      </c>
      <c r="D228" s="400" t="str">
        <f>IF($B228="","",YEAR($B228))</f>
        <v/>
      </c>
      <c r="E228" s="391" t="n"/>
      <c r="F228" s="391" t="n"/>
      <c r="G228" s="391" t="n"/>
      <c r="H228" s="391" t="n"/>
      <c r="I228" s="391" t="n"/>
      <c r="J228" s="391" t="n"/>
      <c r="K228" s="391" t="n"/>
      <c r="L228" s="391" t="n"/>
      <c r="M228" s="391" t="n"/>
      <c r="N228" s="391" t="n"/>
      <c r="O228" s="392" t="n"/>
      <c r="P228" s="391" t="n"/>
      <c r="Q228" s="385" t="str">
        <f>IF($B228="","",IF($P228&lt;&gt;"AED",0,IF($F228="Income",$O228,IF($F228="Expense",-$O228,0))))</f>
        <v/>
      </c>
      <c r="R228" s="381" t="n"/>
      <c r="S228" s="381" t="n"/>
      <c r="T228" s="381" t="n"/>
      <c r="U228" s="381" t="n"/>
    </row>
    <row r="229" ht="15" customHeight="1" s="278">
      <c r="A229" s="399" t="str">
        <f>IF($B229="","","T"&amp;TEXT(ROW()-6,"0000"))</f>
        <v/>
      </c>
      <c r="B229" s="386" t="n"/>
      <c r="C229" s="399" t="str">
        <f>IF($B229="","",TEXT($B229,"YYYY-MM"))</f>
        <v/>
      </c>
      <c r="D229" s="400" t="str">
        <f>IF($B229="","",YEAR($B229))</f>
        <v/>
      </c>
      <c r="E229" s="391" t="n"/>
      <c r="F229" s="391" t="n"/>
      <c r="G229" s="391" t="n"/>
      <c r="H229" s="391" t="n"/>
      <c r="I229" s="391" t="n"/>
      <c r="J229" s="391" t="n"/>
      <c r="K229" s="391" t="n"/>
      <c r="L229" s="391" t="n"/>
      <c r="M229" s="391" t="n"/>
      <c r="N229" s="391" t="n"/>
      <c r="O229" s="392" t="n"/>
      <c r="P229" s="391" t="n"/>
      <c r="Q229" s="385" t="str">
        <f>IF($B229="","",IF($P229&lt;&gt;"AED",0,IF($F229="Income",$O229,IF($F229="Expense",-$O229,0))))</f>
        <v/>
      </c>
      <c r="R229" s="381" t="n"/>
      <c r="S229" s="381" t="n"/>
      <c r="T229" s="381" t="n"/>
      <c r="U229" s="381" t="n"/>
    </row>
    <row r="230" ht="15" customHeight="1" s="278">
      <c r="A230" s="399" t="str">
        <f>IF($B230="","","T"&amp;TEXT(ROW()-6,"0000"))</f>
        <v/>
      </c>
      <c r="B230" s="386" t="n"/>
      <c r="C230" s="399" t="str">
        <f>IF($B230="","",TEXT($B230,"YYYY-MM"))</f>
        <v/>
      </c>
      <c r="D230" s="400" t="str">
        <f>IF($B230="","",YEAR($B230))</f>
        <v/>
      </c>
      <c r="E230" s="391" t="n"/>
      <c r="F230" s="391" t="n"/>
      <c r="G230" s="391" t="n"/>
      <c r="H230" s="391" t="n"/>
      <c r="I230" s="391" t="n"/>
      <c r="J230" s="391" t="n"/>
      <c r="K230" s="391" t="n"/>
      <c r="L230" s="391" t="n"/>
      <c r="M230" s="391" t="n"/>
      <c r="N230" s="391" t="n"/>
      <c r="O230" s="392" t="n"/>
      <c r="P230" s="391" t="n"/>
      <c r="Q230" s="385" t="str">
        <f>IF($B230="","",IF($P230&lt;&gt;"AED",0,IF($F230="Income",$O230,IF($F230="Expense",-$O230,0))))</f>
        <v/>
      </c>
      <c r="R230" s="381" t="n"/>
      <c r="S230" s="381" t="n"/>
      <c r="T230" s="381" t="n"/>
      <c r="U230" s="381" t="n"/>
    </row>
    <row r="231" ht="15" customHeight="1" s="278">
      <c r="A231" s="399" t="str">
        <f>IF($B231="","","T"&amp;TEXT(ROW()-6,"0000"))</f>
        <v/>
      </c>
      <c r="B231" s="386" t="n"/>
      <c r="C231" s="399" t="str">
        <f>IF($B231="","",TEXT($B231,"YYYY-MM"))</f>
        <v/>
      </c>
      <c r="D231" s="400" t="str">
        <f>IF($B231="","",YEAR($B231))</f>
        <v/>
      </c>
      <c r="E231" s="391" t="n"/>
      <c r="F231" s="391" t="n"/>
      <c r="G231" s="391" t="n"/>
      <c r="H231" s="391" t="n"/>
      <c r="I231" s="391" t="n"/>
      <c r="J231" s="391" t="n"/>
      <c r="K231" s="391" t="n"/>
      <c r="L231" s="391" t="n"/>
      <c r="M231" s="391" t="n"/>
      <c r="N231" s="391" t="n"/>
      <c r="O231" s="392" t="n"/>
      <c r="P231" s="391" t="n"/>
      <c r="Q231" s="385" t="str">
        <f>IF($B231="","",IF($P231&lt;&gt;"AED",0,IF($F231="Income",$O231,IF($F231="Expense",-$O231,0))))</f>
        <v/>
      </c>
      <c r="R231" s="381" t="n"/>
      <c r="S231" s="381" t="n"/>
      <c r="T231" s="381" t="n"/>
      <c r="U231" s="381" t="n"/>
    </row>
    <row r="232" ht="15" customHeight="1" s="278">
      <c r="A232" s="399" t="str">
        <f>IF($B232="","","T"&amp;TEXT(ROW()-6,"0000"))</f>
        <v/>
      </c>
      <c r="B232" s="386" t="n"/>
      <c r="C232" s="399" t="str">
        <f>IF($B232="","",TEXT($B232,"YYYY-MM"))</f>
        <v/>
      </c>
      <c r="D232" s="400" t="str">
        <f>IF($B232="","",YEAR($B232))</f>
        <v/>
      </c>
      <c r="E232" s="391" t="n"/>
      <c r="F232" s="391" t="n"/>
      <c r="G232" s="391" t="n"/>
      <c r="H232" s="391" t="n"/>
      <c r="I232" s="391" t="n"/>
      <c r="J232" s="391" t="n"/>
      <c r="K232" s="391" t="n"/>
      <c r="L232" s="391" t="n"/>
      <c r="M232" s="391" t="n"/>
      <c r="N232" s="391" t="n"/>
      <c r="O232" s="392" t="n"/>
      <c r="P232" s="391" t="n"/>
      <c r="Q232" s="385" t="str">
        <f>IF($B232="","",IF($P232&lt;&gt;"AED",0,IF($F232="Income",$O232,IF($F232="Expense",-$O232,0))))</f>
        <v/>
      </c>
      <c r="R232" s="381" t="n"/>
      <c r="S232" s="381" t="n"/>
      <c r="T232" s="381" t="n"/>
      <c r="U232" s="381" t="n"/>
    </row>
    <row r="233" ht="15" customHeight="1" s="278">
      <c r="A233" s="399" t="str">
        <f>IF($B233="","","T"&amp;TEXT(ROW()-6,"0000"))</f>
        <v/>
      </c>
      <c r="B233" s="386" t="n"/>
      <c r="C233" s="399" t="str">
        <f>IF($B233="","",TEXT($B233,"YYYY-MM"))</f>
        <v/>
      </c>
      <c r="D233" s="400" t="str">
        <f>IF($B233="","",YEAR($B233))</f>
        <v/>
      </c>
      <c r="E233" s="391" t="n"/>
      <c r="F233" s="391" t="n"/>
      <c r="G233" s="391" t="n"/>
      <c r="H233" s="391" t="n"/>
      <c r="I233" s="391" t="n"/>
      <c r="J233" s="391" t="n"/>
      <c r="K233" s="391" t="n"/>
      <c r="L233" s="391" t="n"/>
      <c r="M233" s="391" t="n"/>
      <c r="N233" s="391" t="n"/>
      <c r="O233" s="392" t="n"/>
      <c r="P233" s="391" t="n"/>
      <c r="Q233" s="385" t="str">
        <f>IF($B233="","",IF($P233&lt;&gt;"AED",0,IF($F233="Income",$O233,IF($F233="Expense",-$O233,0))))</f>
        <v/>
      </c>
      <c r="R233" s="381" t="n"/>
      <c r="S233" s="381" t="n"/>
      <c r="T233" s="381" t="n"/>
      <c r="U233" s="381" t="n"/>
    </row>
    <row r="234" ht="15" customHeight="1" s="278">
      <c r="A234" s="399" t="str">
        <f>IF($B234="","","T"&amp;TEXT(ROW()-6,"0000"))</f>
        <v/>
      </c>
      <c r="B234" s="386" t="n"/>
      <c r="C234" s="399" t="str">
        <f>IF($B234="","",TEXT($B234,"YYYY-MM"))</f>
        <v/>
      </c>
      <c r="D234" s="400" t="str">
        <f>IF($B234="","",YEAR($B234))</f>
        <v/>
      </c>
      <c r="E234" s="391" t="n"/>
      <c r="F234" s="391" t="n"/>
      <c r="G234" s="391" t="n"/>
      <c r="H234" s="391" t="n"/>
      <c r="I234" s="391" t="n"/>
      <c r="J234" s="391" t="n"/>
      <c r="K234" s="391" t="n"/>
      <c r="L234" s="391" t="n"/>
      <c r="M234" s="391" t="n"/>
      <c r="N234" s="391" t="n"/>
      <c r="O234" s="392" t="n"/>
      <c r="P234" s="391" t="n"/>
      <c r="Q234" s="385" t="str">
        <f>IF($B234="","",IF($P234&lt;&gt;"AED",0,IF($F234="Income",$O234,IF($F234="Expense",-$O234,0))))</f>
        <v/>
      </c>
      <c r="R234" s="381" t="n"/>
      <c r="S234" s="381" t="n"/>
      <c r="T234" s="381" t="n"/>
      <c r="U234" s="381" t="n"/>
    </row>
    <row r="235" ht="15" customHeight="1" s="278">
      <c r="A235" s="399" t="str">
        <f>IF($B235="","","T"&amp;TEXT(ROW()-6,"0000"))</f>
        <v/>
      </c>
      <c r="B235" s="386" t="n"/>
      <c r="C235" s="399" t="str">
        <f>IF($B235="","",TEXT($B235,"YYYY-MM"))</f>
        <v/>
      </c>
      <c r="D235" s="400" t="str">
        <f>IF($B235="","",YEAR($B235))</f>
        <v/>
      </c>
      <c r="E235" s="391" t="n"/>
      <c r="F235" s="391" t="n"/>
      <c r="G235" s="391" t="n"/>
      <c r="H235" s="391" t="n"/>
      <c r="I235" s="391" t="n"/>
      <c r="J235" s="391" t="n"/>
      <c r="K235" s="391" t="n"/>
      <c r="L235" s="391" t="n"/>
      <c r="M235" s="391" t="n"/>
      <c r="N235" s="391" t="n"/>
      <c r="O235" s="392" t="n"/>
      <c r="P235" s="391" t="n"/>
      <c r="Q235" s="385" t="str">
        <f>IF($B235="","",IF($P235&lt;&gt;"AED",0,IF($F235="Income",$O235,IF($F235="Expense",-$O235,0))))</f>
        <v/>
      </c>
      <c r="R235" s="381" t="n"/>
      <c r="S235" s="381" t="n"/>
      <c r="T235" s="381" t="n"/>
      <c r="U235" s="381" t="n"/>
    </row>
    <row r="236" ht="15" customHeight="1" s="278">
      <c r="A236" s="399" t="str">
        <f>IF($B236="","","T"&amp;TEXT(ROW()-6,"0000"))</f>
        <v/>
      </c>
      <c r="B236" s="386" t="n"/>
      <c r="C236" s="399" t="str">
        <f>IF($B236="","",TEXT($B236,"YYYY-MM"))</f>
        <v/>
      </c>
      <c r="D236" s="400" t="str">
        <f>IF($B236="","",YEAR($B236))</f>
        <v/>
      </c>
      <c r="E236" s="391" t="n"/>
      <c r="F236" s="391" t="n"/>
      <c r="G236" s="391" t="n"/>
      <c r="H236" s="391" t="n"/>
      <c r="I236" s="391" t="n"/>
      <c r="J236" s="391" t="n"/>
      <c r="K236" s="391" t="n"/>
      <c r="L236" s="391" t="n"/>
      <c r="M236" s="391" t="n"/>
      <c r="N236" s="391" t="n"/>
      <c r="O236" s="392" t="n"/>
      <c r="P236" s="391" t="n"/>
      <c r="Q236" s="385" t="str">
        <f>IF($B236="","",IF($P236&lt;&gt;"AED",0,IF($F236="Income",$O236,IF($F236="Expense",-$O236,0))))</f>
        <v/>
      </c>
      <c r="R236" s="381" t="n"/>
      <c r="S236" s="381" t="n"/>
      <c r="T236" s="381" t="n"/>
      <c r="U236" s="381" t="n"/>
    </row>
    <row r="237" ht="15" customHeight="1" s="278">
      <c r="A237" s="399" t="str">
        <f>IF($B237="","","T"&amp;TEXT(ROW()-6,"0000"))</f>
        <v/>
      </c>
      <c r="B237" s="386" t="n"/>
      <c r="C237" s="399" t="str">
        <f>IF($B237="","",TEXT($B237,"YYYY-MM"))</f>
        <v/>
      </c>
      <c r="D237" s="400" t="str">
        <f>IF($B237="","",YEAR($B237))</f>
        <v/>
      </c>
      <c r="E237" s="391" t="n"/>
      <c r="F237" s="391" t="n"/>
      <c r="G237" s="391" t="n"/>
      <c r="H237" s="391" t="n"/>
      <c r="I237" s="391" t="n"/>
      <c r="J237" s="391" t="n"/>
      <c r="K237" s="391" t="n"/>
      <c r="L237" s="391" t="n"/>
      <c r="M237" s="391" t="n"/>
      <c r="N237" s="391" t="n"/>
      <c r="O237" s="392" t="n"/>
      <c r="P237" s="391" t="n"/>
      <c r="Q237" s="385" t="str">
        <f>IF($B237="","",IF($P237&lt;&gt;"AED",0,IF($F237="Income",$O237,IF($F237="Expense",-$O237,0))))</f>
        <v/>
      </c>
      <c r="R237" s="381" t="n"/>
      <c r="S237" s="381" t="n"/>
      <c r="T237" s="381" t="n"/>
      <c r="U237" s="381" t="n"/>
    </row>
    <row r="238" ht="15" customHeight="1" s="278">
      <c r="A238" s="399" t="str">
        <f>IF($B238="","","T"&amp;TEXT(ROW()-6,"0000"))</f>
        <v/>
      </c>
      <c r="B238" s="386" t="n"/>
      <c r="C238" s="399" t="str">
        <f>IF($B238="","",TEXT($B238,"YYYY-MM"))</f>
        <v/>
      </c>
      <c r="D238" s="400" t="str">
        <f>IF($B238="","",YEAR($B238))</f>
        <v/>
      </c>
      <c r="E238" s="391" t="n"/>
      <c r="F238" s="391" t="n"/>
      <c r="G238" s="391" t="n"/>
      <c r="H238" s="391" t="n"/>
      <c r="I238" s="391" t="n"/>
      <c r="J238" s="391" t="n"/>
      <c r="K238" s="391" t="n"/>
      <c r="L238" s="391" t="n"/>
      <c r="M238" s="391" t="n"/>
      <c r="N238" s="391" t="n"/>
      <c r="O238" s="392" t="n"/>
      <c r="P238" s="391" t="n"/>
      <c r="Q238" s="385" t="str">
        <f>IF($B238="","",IF($P238&lt;&gt;"AED",0,IF($F238="Income",$O238,IF($F238="Expense",-$O238,0))))</f>
        <v/>
      </c>
      <c r="R238" s="381" t="n"/>
      <c r="S238" s="381" t="n"/>
      <c r="T238" s="381" t="n"/>
      <c r="U238" s="381" t="n"/>
    </row>
    <row r="239" ht="15" customHeight="1" s="278">
      <c r="A239" s="399" t="str">
        <f>IF($B239="","","T"&amp;TEXT(ROW()-6,"0000"))</f>
        <v/>
      </c>
      <c r="B239" s="386" t="n"/>
      <c r="C239" s="399" t="str">
        <f>IF($B239="","",TEXT($B239,"YYYY-MM"))</f>
        <v/>
      </c>
      <c r="D239" s="400" t="str">
        <f>IF($B239="","",YEAR($B239))</f>
        <v/>
      </c>
      <c r="E239" s="391" t="n"/>
      <c r="F239" s="391" t="n"/>
      <c r="G239" s="391" t="n"/>
      <c r="H239" s="391" t="n"/>
      <c r="I239" s="391" t="n"/>
      <c r="J239" s="391" t="n"/>
      <c r="K239" s="391" t="n"/>
      <c r="L239" s="391" t="n"/>
      <c r="M239" s="391" t="n"/>
      <c r="N239" s="391" t="n"/>
      <c r="O239" s="392" t="n"/>
      <c r="P239" s="391" t="n"/>
      <c r="Q239" s="385" t="str">
        <f>IF($B239="","",IF($P239&lt;&gt;"AED",0,IF($F239="Income",$O239,IF($F239="Expense",-$O239,0))))</f>
        <v/>
      </c>
      <c r="R239" s="381" t="n"/>
      <c r="S239" s="381" t="n"/>
      <c r="T239" s="381" t="n"/>
      <c r="U239" s="381" t="n"/>
    </row>
    <row r="240" ht="15" customHeight="1" s="278">
      <c r="A240" s="399" t="str">
        <f>IF($B240="","","T"&amp;TEXT(ROW()-6,"0000"))</f>
        <v/>
      </c>
      <c r="B240" s="386" t="n"/>
      <c r="C240" s="399" t="str">
        <f>IF($B240="","",TEXT($B240,"YYYY-MM"))</f>
        <v/>
      </c>
      <c r="D240" s="400" t="str">
        <f>IF($B240="","",YEAR($B240))</f>
        <v/>
      </c>
      <c r="E240" s="391" t="n"/>
      <c r="F240" s="391" t="n"/>
      <c r="G240" s="391" t="n"/>
      <c r="H240" s="391" t="n"/>
      <c r="I240" s="391" t="n"/>
      <c r="J240" s="391" t="n"/>
      <c r="K240" s="391" t="n"/>
      <c r="L240" s="391" t="n"/>
      <c r="M240" s="391" t="n"/>
      <c r="N240" s="391" t="n"/>
      <c r="O240" s="392" t="n"/>
      <c r="P240" s="391" t="n"/>
      <c r="Q240" s="385" t="str">
        <f>IF($B240="","",IF($P240&lt;&gt;"AED",0,IF($F240="Income",$O240,IF($F240="Expense",-$O240,0))))</f>
        <v/>
      </c>
      <c r="R240" s="381" t="n"/>
      <c r="S240" s="381" t="n"/>
      <c r="T240" s="381" t="n"/>
      <c r="U240" s="381" t="n"/>
    </row>
    <row r="241" ht="15" customHeight="1" s="278">
      <c r="A241" s="399" t="str">
        <f>IF($B241="","","T"&amp;TEXT(ROW()-6,"0000"))</f>
        <v/>
      </c>
      <c r="B241" s="386" t="n"/>
      <c r="C241" s="399" t="str">
        <f>IF($B241="","",TEXT($B241,"YYYY-MM"))</f>
        <v/>
      </c>
      <c r="D241" s="400" t="str">
        <f>IF($B241="","",YEAR($B241))</f>
        <v/>
      </c>
      <c r="E241" s="391" t="n"/>
      <c r="F241" s="391" t="n"/>
      <c r="G241" s="391" t="n"/>
      <c r="H241" s="391" t="n"/>
      <c r="I241" s="391" t="n"/>
      <c r="J241" s="391" t="n"/>
      <c r="K241" s="391" t="n"/>
      <c r="L241" s="391" t="n"/>
      <c r="M241" s="391" t="n"/>
      <c r="N241" s="391" t="n"/>
      <c r="O241" s="392" t="n"/>
      <c r="P241" s="391" t="n"/>
      <c r="Q241" s="385" t="str">
        <f>IF($B241="","",IF($P241&lt;&gt;"AED",0,IF($F241="Income",$O241,IF($F241="Expense",-$O241,0))))</f>
        <v/>
      </c>
      <c r="R241" s="381" t="n"/>
      <c r="S241" s="381" t="n"/>
      <c r="T241" s="381" t="n"/>
      <c r="U241" s="381" t="n"/>
    </row>
    <row r="242" ht="15" customHeight="1" s="278">
      <c r="A242" s="399" t="str">
        <f>IF($B242="","","T"&amp;TEXT(ROW()-6,"0000"))</f>
        <v/>
      </c>
      <c r="B242" s="386" t="n"/>
      <c r="C242" s="399" t="str">
        <f>IF($B242="","",TEXT($B242,"YYYY-MM"))</f>
        <v/>
      </c>
      <c r="D242" s="400" t="str">
        <f>IF($B242="","",YEAR($B242))</f>
        <v/>
      </c>
      <c r="E242" s="391" t="n"/>
      <c r="F242" s="391" t="n"/>
      <c r="G242" s="391" t="n"/>
      <c r="H242" s="391" t="n"/>
      <c r="I242" s="391" t="n"/>
      <c r="J242" s="391" t="n"/>
      <c r="K242" s="391" t="n"/>
      <c r="L242" s="391" t="n"/>
      <c r="M242" s="391" t="n"/>
      <c r="N242" s="391" t="n"/>
      <c r="O242" s="392" t="n"/>
      <c r="P242" s="391" t="n"/>
      <c r="Q242" s="385" t="str">
        <f>IF($B242="","",IF($P242&lt;&gt;"AED",0,IF($F242="Income",$O242,IF($F242="Expense",-$O242,0))))</f>
        <v/>
      </c>
      <c r="R242" s="381" t="n"/>
      <c r="S242" s="381" t="n"/>
      <c r="T242" s="381" t="n"/>
      <c r="U242" s="381" t="n"/>
    </row>
    <row r="243" ht="15" customHeight="1" s="278">
      <c r="A243" s="399" t="str">
        <f>IF($B243="","","T"&amp;TEXT(ROW()-6,"0000"))</f>
        <v/>
      </c>
      <c r="B243" s="386" t="n"/>
      <c r="C243" s="399" t="str">
        <f>IF($B243="","",TEXT($B243,"YYYY-MM"))</f>
        <v/>
      </c>
      <c r="D243" s="400" t="str">
        <f>IF($B243="","",YEAR($B243))</f>
        <v/>
      </c>
      <c r="E243" s="391" t="n"/>
      <c r="F243" s="391" t="n"/>
      <c r="G243" s="391" t="n"/>
      <c r="H243" s="391" t="n"/>
      <c r="I243" s="391" t="n"/>
      <c r="J243" s="391" t="n"/>
      <c r="K243" s="391" t="n"/>
      <c r="L243" s="391" t="n"/>
      <c r="M243" s="391" t="n"/>
      <c r="N243" s="391" t="n"/>
      <c r="O243" s="392" t="n"/>
      <c r="P243" s="391" t="n"/>
      <c r="Q243" s="385" t="str">
        <f>IF($B243="","",IF($P243&lt;&gt;"AED",0,IF($F243="Income",$O243,IF($F243="Expense",-$O243,0))))</f>
        <v/>
      </c>
      <c r="R243" s="381" t="n"/>
      <c r="S243" s="381" t="n"/>
      <c r="T243" s="381" t="n"/>
      <c r="U243" s="381" t="n"/>
    </row>
    <row r="244" ht="15" customHeight="1" s="278">
      <c r="A244" s="399" t="str">
        <f>IF($B244="","","T"&amp;TEXT(ROW()-6,"0000"))</f>
        <v/>
      </c>
      <c r="B244" s="386" t="n"/>
      <c r="C244" s="399" t="str">
        <f>IF($B244="","",TEXT($B244,"YYYY-MM"))</f>
        <v/>
      </c>
      <c r="D244" s="400" t="str">
        <f>IF($B244="","",YEAR($B244))</f>
        <v/>
      </c>
      <c r="E244" s="391" t="n"/>
      <c r="F244" s="391" t="n"/>
      <c r="G244" s="391" t="n"/>
      <c r="H244" s="391" t="n"/>
      <c r="I244" s="391" t="n"/>
      <c r="J244" s="391" t="n"/>
      <c r="K244" s="391" t="n"/>
      <c r="L244" s="391" t="n"/>
      <c r="M244" s="391" t="n"/>
      <c r="N244" s="391" t="n"/>
      <c r="O244" s="392" t="n"/>
      <c r="P244" s="391" t="n"/>
      <c r="Q244" s="385" t="str">
        <f>IF($B244="","",IF($P244&lt;&gt;"AED",0,IF($F244="Income",$O244,IF($F244="Expense",-$O244,0))))</f>
        <v/>
      </c>
      <c r="R244" s="381" t="n"/>
      <c r="S244" s="381" t="n"/>
      <c r="T244" s="381" t="n"/>
      <c r="U244" s="381" t="n"/>
    </row>
    <row r="245" ht="15" customHeight="1" s="278">
      <c r="A245" s="399" t="str">
        <f>IF($B245="","","T"&amp;TEXT(ROW()-6,"0000"))</f>
        <v/>
      </c>
      <c r="B245" s="386" t="n"/>
      <c r="C245" s="399" t="str">
        <f>IF($B245="","",TEXT($B245,"YYYY-MM"))</f>
        <v/>
      </c>
      <c r="D245" s="400" t="str">
        <f>IF($B245="","",YEAR($B245))</f>
        <v/>
      </c>
      <c r="E245" s="391" t="n"/>
      <c r="F245" s="391" t="n"/>
      <c r="G245" s="391" t="n"/>
      <c r="H245" s="391" t="n"/>
      <c r="I245" s="391" t="n"/>
      <c r="J245" s="391" t="n"/>
      <c r="K245" s="391" t="n"/>
      <c r="L245" s="391" t="n"/>
      <c r="M245" s="391" t="n"/>
      <c r="N245" s="391" t="n"/>
      <c r="O245" s="392" t="n"/>
      <c r="P245" s="391" t="n"/>
      <c r="Q245" s="385" t="str">
        <f>IF($B245="","",IF($P245&lt;&gt;"AED",0,IF($F245="Income",$O245,IF($F245="Expense",-$O245,0))))</f>
        <v/>
      </c>
      <c r="R245" s="381" t="n"/>
      <c r="S245" s="381" t="n"/>
      <c r="T245" s="381" t="n"/>
      <c r="U245" s="381" t="n"/>
    </row>
    <row r="246" ht="15" customHeight="1" s="278">
      <c r="A246" s="399" t="str">
        <f>IF($B246="","","T"&amp;TEXT(ROW()-6,"0000"))</f>
        <v/>
      </c>
      <c r="B246" s="386" t="n"/>
      <c r="C246" s="399" t="str">
        <f>IF($B246="","",TEXT($B246,"YYYY-MM"))</f>
        <v/>
      </c>
      <c r="D246" s="400" t="str">
        <f>IF($B246="","",YEAR($B246))</f>
        <v/>
      </c>
      <c r="E246" s="391" t="n"/>
      <c r="F246" s="391" t="n"/>
      <c r="G246" s="391" t="n"/>
      <c r="H246" s="391" t="n"/>
      <c r="I246" s="391" t="n"/>
      <c r="J246" s="391" t="n"/>
      <c r="K246" s="391" t="n"/>
      <c r="L246" s="391" t="n"/>
      <c r="M246" s="391" t="n"/>
      <c r="N246" s="391" t="n"/>
      <c r="O246" s="392" t="n"/>
      <c r="P246" s="391" t="n"/>
      <c r="Q246" s="385" t="str">
        <f>IF($B246="","",IF($P246&lt;&gt;"AED",0,IF($F246="Income",$O246,IF($F246="Expense",-$O246,0))))</f>
        <v/>
      </c>
      <c r="R246" s="381" t="n"/>
      <c r="S246" s="381" t="n"/>
      <c r="T246" s="381" t="n"/>
      <c r="U246" s="381" t="n"/>
    </row>
    <row r="247" ht="15" customHeight="1" s="278">
      <c r="A247" s="399" t="str">
        <f>IF($B247="","","T"&amp;TEXT(ROW()-6,"0000"))</f>
        <v/>
      </c>
      <c r="B247" s="386" t="n"/>
      <c r="C247" s="399" t="str">
        <f>IF($B247="","",TEXT($B247,"YYYY-MM"))</f>
        <v/>
      </c>
      <c r="D247" s="400" t="str">
        <f>IF($B247="","",YEAR($B247))</f>
        <v/>
      </c>
      <c r="E247" s="391" t="n"/>
      <c r="F247" s="391" t="n"/>
      <c r="G247" s="391" t="n"/>
      <c r="H247" s="391" t="n"/>
      <c r="I247" s="391" t="n"/>
      <c r="J247" s="391" t="n"/>
      <c r="K247" s="391" t="n"/>
      <c r="L247" s="391" t="n"/>
      <c r="M247" s="391" t="n"/>
      <c r="N247" s="391" t="n"/>
      <c r="O247" s="392" t="n"/>
      <c r="P247" s="391" t="n"/>
      <c r="Q247" s="385" t="str">
        <f>IF($B247="","",IF($P247&lt;&gt;"AED",0,IF($F247="Income",$O247,IF($F247="Expense",-$O247,0))))</f>
        <v/>
      </c>
      <c r="R247" s="381" t="n"/>
      <c r="S247" s="381" t="n"/>
      <c r="T247" s="381" t="n"/>
      <c r="U247" s="381" t="n"/>
    </row>
    <row r="248" ht="15" customHeight="1" s="278">
      <c r="A248" s="399" t="str">
        <f>IF($B248="","","T"&amp;TEXT(ROW()-6,"0000"))</f>
        <v/>
      </c>
      <c r="B248" s="386" t="n"/>
      <c r="C248" s="399" t="str">
        <f>IF($B248="","",TEXT($B248,"YYYY-MM"))</f>
        <v/>
      </c>
      <c r="D248" s="400" t="str">
        <f>IF($B248="","",YEAR($B248))</f>
        <v/>
      </c>
      <c r="E248" s="391" t="n"/>
      <c r="F248" s="391" t="n"/>
      <c r="G248" s="391" t="n"/>
      <c r="H248" s="391" t="n"/>
      <c r="I248" s="391" t="n"/>
      <c r="J248" s="391" t="n"/>
      <c r="K248" s="391" t="n"/>
      <c r="L248" s="391" t="n"/>
      <c r="M248" s="391" t="n"/>
      <c r="N248" s="391" t="n"/>
      <c r="O248" s="392" t="n"/>
      <c r="P248" s="391" t="n"/>
      <c r="Q248" s="385" t="str">
        <f>IF($B248="","",IF($P248&lt;&gt;"AED",0,IF($F248="Income",$O248,IF($F248="Expense",-$O248,0))))</f>
        <v/>
      </c>
      <c r="R248" s="381" t="n"/>
      <c r="S248" s="381" t="n"/>
      <c r="T248" s="381" t="n"/>
      <c r="U248" s="381" t="n"/>
    </row>
    <row r="249" ht="15" customHeight="1" s="278">
      <c r="A249" s="399" t="str">
        <f>IF($B249="","","T"&amp;TEXT(ROW()-6,"0000"))</f>
        <v/>
      </c>
      <c r="B249" s="386" t="n"/>
      <c r="C249" s="399" t="str">
        <f>IF($B249="","",TEXT($B249,"YYYY-MM"))</f>
        <v/>
      </c>
      <c r="D249" s="400" t="str">
        <f>IF($B249="","",YEAR($B249))</f>
        <v/>
      </c>
      <c r="E249" s="391" t="n"/>
      <c r="F249" s="391" t="n"/>
      <c r="G249" s="391" t="n"/>
      <c r="H249" s="391" t="n"/>
      <c r="I249" s="391" t="n"/>
      <c r="J249" s="391" t="n"/>
      <c r="K249" s="391" t="n"/>
      <c r="L249" s="391" t="n"/>
      <c r="M249" s="391" t="n"/>
      <c r="N249" s="391" t="n"/>
      <c r="O249" s="392" t="n"/>
      <c r="P249" s="391" t="n"/>
      <c r="Q249" s="385" t="str">
        <f>IF($B249="","",IF($P249&lt;&gt;"AED",0,IF($F249="Income",$O249,IF($F249="Expense",-$O249,0))))</f>
        <v/>
      </c>
      <c r="R249" s="381" t="n"/>
      <c r="S249" s="381" t="n"/>
      <c r="T249" s="381" t="n"/>
      <c r="U249" s="381" t="n"/>
    </row>
    <row r="250" ht="15" customHeight="1" s="278">
      <c r="A250" s="399" t="str">
        <f>IF($B250="","","T"&amp;TEXT(ROW()-6,"0000"))</f>
        <v/>
      </c>
      <c r="B250" s="386" t="n"/>
      <c r="C250" s="399" t="str">
        <f>IF($B250="","",TEXT($B250,"YYYY-MM"))</f>
        <v/>
      </c>
      <c r="D250" s="400" t="str">
        <f>IF($B250="","",YEAR($B250))</f>
        <v/>
      </c>
      <c r="E250" s="391" t="n"/>
      <c r="F250" s="391" t="n"/>
      <c r="G250" s="391" t="n"/>
      <c r="H250" s="391" t="n"/>
      <c r="I250" s="391" t="n"/>
      <c r="J250" s="391" t="n"/>
      <c r="K250" s="391" t="n"/>
      <c r="L250" s="391" t="n"/>
      <c r="M250" s="391" t="n"/>
      <c r="N250" s="391" t="n"/>
      <c r="O250" s="392" t="n"/>
      <c r="P250" s="391" t="n"/>
      <c r="Q250" s="385" t="str">
        <f>IF($B250="","",IF($P250&lt;&gt;"AED",0,IF($F250="Income",$O250,IF($F250="Expense",-$O250,0))))</f>
        <v/>
      </c>
      <c r="R250" s="381" t="n"/>
      <c r="S250" s="381" t="n"/>
      <c r="T250" s="381" t="n"/>
      <c r="U250" s="381" t="n"/>
    </row>
    <row r="251" ht="15" customHeight="1" s="278">
      <c r="A251" s="399" t="str">
        <f>IF($B251="","","T"&amp;TEXT(ROW()-6,"0000"))</f>
        <v/>
      </c>
      <c r="B251" s="386" t="n"/>
      <c r="C251" s="399" t="str">
        <f>IF($B251="","",TEXT($B251,"YYYY-MM"))</f>
        <v/>
      </c>
      <c r="D251" s="400" t="str">
        <f>IF($B251="","",YEAR($B251))</f>
        <v/>
      </c>
      <c r="E251" s="391" t="n"/>
      <c r="F251" s="391" t="n"/>
      <c r="G251" s="391" t="n"/>
      <c r="H251" s="391" t="n"/>
      <c r="I251" s="391" t="n"/>
      <c r="J251" s="391" t="n"/>
      <c r="K251" s="391" t="n"/>
      <c r="L251" s="391" t="n"/>
      <c r="M251" s="391" t="n"/>
      <c r="N251" s="391" t="n"/>
      <c r="O251" s="392" t="n"/>
      <c r="P251" s="391" t="n"/>
      <c r="Q251" s="385" t="str">
        <f>IF($B251="","",IF($P251&lt;&gt;"AED",0,IF($F251="Income",$O251,IF($F251="Expense",-$O251,0))))</f>
        <v/>
      </c>
      <c r="R251" s="381" t="n"/>
      <c r="S251" s="381" t="n"/>
      <c r="T251" s="381" t="n"/>
      <c r="U251" s="381" t="n"/>
    </row>
    <row r="252" ht="15" customHeight="1" s="278">
      <c r="A252" s="399" t="str">
        <f>IF($B252="","","T"&amp;TEXT(ROW()-6,"0000"))</f>
        <v/>
      </c>
      <c r="B252" s="386" t="n"/>
      <c r="C252" s="399" t="str">
        <f>IF($B252="","",TEXT($B252,"YYYY-MM"))</f>
        <v/>
      </c>
      <c r="D252" s="400" t="str">
        <f>IF($B252="","",YEAR($B252))</f>
        <v/>
      </c>
      <c r="E252" s="391" t="n"/>
      <c r="F252" s="391" t="n"/>
      <c r="G252" s="391" t="n"/>
      <c r="H252" s="391" t="n"/>
      <c r="I252" s="391" t="n"/>
      <c r="J252" s="391" t="n"/>
      <c r="K252" s="391" t="n"/>
      <c r="L252" s="391" t="n"/>
      <c r="M252" s="391" t="n"/>
      <c r="N252" s="391" t="n"/>
      <c r="O252" s="392" t="n"/>
      <c r="P252" s="391" t="n"/>
      <c r="Q252" s="385" t="str">
        <f>IF($B252="","",IF($P252&lt;&gt;"AED",0,IF($F252="Income",$O252,IF($F252="Expense",-$O252,0))))</f>
        <v/>
      </c>
      <c r="R252" s="381" t="n"/>
      <c r="S252" s="381" t="n"/>
      <c r="T252" s="381" t="n"/>
      <c r="U252" s="381" t="n"/>
    </row>
    <row r="253" ht="15" customHeight="1" s="278">
      <c r="A253" s="399" t="str">
        <f>IF($B253="","","T"&amp;TEXT(ROW()-6,"0000"))</f>
        <v/>
      </c>
      <c r="B253" s="386" t="n"/>
      <c r="C253" s="399" t="str">
        <f>IF($B253="","",TEXT($B253,"YYYY-MM"))</f>
        <v/>
      </c>
      <c r="D253" s="400" t="str">
        <f>IF($B253="","",YEAR($B253))</f>
        <v/>
      </c>
      <c r="E253" s="391" t="n"/>
      <c r="F253" s="391" t="n"/>
      <c r="G253" s="391" t="n"/>
      <c r="H253" s="391" t="n"/>
      <c r="I253" s="391" t="n"/>
      <c r="J253" s="391" t="n"/>
      <c r="K253" s="391" t="n"/>
      <c r="L253" s="391" t="n"/>
      <c r="M253" s="391" t="n"/>
      <c r="N253" s="391" t="n"/>
      <c r="O253" s="392" t="n"/>
      <c r="P253" s="391" t="n"/>
      <c r="Q253" s="385" t="str">
        <f>IF($B253="","",IF($P253&lt;&gt;"AED",0,IF($F253="Income",$O253,IF($F253="Expense",-$O253,0))))</f>
        <v/>
      </c>
      <c r="R253" s="381" t="n"/>
      <c r="S253" s="381" t="n"/>
      <c r="T253" s="381" t="n"/>
      <c r="U253" s="381" t="n"/>
    </row>
    <row r="254" ht="15" customHeight="1" s="278">
      <c r="A254" s="399" t="str">
        <f>IF($B254="","","T"&amp;TEXT(ROW()-6,"0000"))</f>
        <v/>
      </c>
      <c r="B254" s="386" t="n"/>
      <c r="C254" s="399" t="str">
        <f>IF($B254="","",TEXT($B254,"YYYY-MM"))</f>
        <v/>
      </c>
      <c r="D254" s="400" t="str">
        <f>IF($B254="","",YEAR($B254))</f>
        <v/>
      </c>
      <c r="E254" s="391" t="n"/>
      <c r="F254" s="391" t="n"/>
      <c r="G254" s="391" t="n"/>
      <c r="H254" s="391" t="n"/>
      <c r="I254" s="391" t="n"/>
      <c r="J254" s="391" t="n"/>
      <c r="K254" s="391" t="n"/>
      <c r="L254" s="391" t="n"/>
      <c r="M254" s="391" t="n"/>
      <c r="N254" s="391" t="n"/>
      <c r="O254" s="392" t="n"/>
      <c r="P254" s="391" t="n"/>
      <c r="Q254" s="385" t="str">
        <f>IF($B254="","",IF($P254&lt;&gt;"AED",0,IF($F254="Income",$O254,IF($F254="Expense",-$O254,0))))</f>
        <v/>
      </c>
      <c r="R254" s="381" t="n"/>
      <c r="S254" s="381" t="n"/>
      <c r="T254" s="381" t="n"/>
      <c r="U254" s="381" t="n"/>
    </row>
    <row r="255" ht="15" customHeight="1" s="278">
      <c r="A255" s="399" t="str">
        <f>IF($B255="","","T"&amp;TEXT(ROW()-6,"0000"))</f>
        <v/>
      </c>
      <c r="B255" s="386" t="n"/>
      <c r="C255" s="399" t="str">
        <f>IF($B255="","",TEXT($B255,"YYYY-MM"))</f>
        <v/>
      </c>
      <c r="D255" s="400" t="str">
        <f>IF($B255="","",YEAR($B255))</f>
        <v/>
      </c>
      <c r="E255" s="391" t="n"/>
      <c r="F255" s="391" t="n"/>
      <c r="G255" s="391" t="n"/>
      <c r="H255" s="391" t="n"/>
      <c r="I255" s="391" t="n"/>
      <c r="J255" s="391" t="n"/>
      <c r="K255" s="391" t="n"/>
      <c r="L255" s="391" t="n"/>
      <c r="M255" s="391" t="n"/>
      <c r="N255" s="391" t="n"/>
      <c r="O255" s="392" t="n"/>
      <c r="P255" s="391" t="n"/>
      <c r="Q255" s="385" t="str">
        <f>IF($B255="","",IF($P255&lt;&gt;"AED",0,IF($F255="Income",$O255,IF($F255="Expense",-$O255,0))))</f>
        <v/>
      </c>
      <c r="R255" s="381" t="n"/>
      <c r="S255" s="381" t="n"/>
      <c r="T255" s="381" t="n"/>
      <c r="U255" s="381" t="n"/>
    </row>
    <row r="256" ht="15" customHeight="1" s="278">
      <c r="A256" s="399" t="str">
        <f>IF($B256="","","T"&amp;TEXT(ROW()-6,"0000"))</f>
        <v/>
      </c>
      <c r="B256" s="386" t="n"/>
      <c r="C256" s="399" t="str">
        <f>IF($B256="","",TEXT($B256,"YYYY-MM"))</f>
        <v/>
      </c>
      <c r="D256" s="400" t="str">
        <f>IF($B256="","",YEAR($B256))</f>
        <v/>
      </c>
      <c r="E256" s="391" t="n"/>
      <c r="F256" s="391" t="n"/>
      <c r="G256" s="391" t="n"/>
      <c r="H256" s="391" t="n"/>
      <c r="I256" s="391" t="n"/>
      <c r="J256" s="391" t="n"/>
      <c r="K256" s="391" t="n"/>
      <c r="L256" s="391" t="n"/>
      <c r="M256" s="391" t="n"/>
      <c r="N256" s="391" t="n"/>
      <c r="O256" s="392" t="n"/>
      <c r="P256" s="391" t="n"/>
      <c r="Q256" s="385" t="str">
        <f>IF($B256="","",IF($P256&lt;&gt;"AED",0,IF($F256="Income",$O256,IF($F256="Expense",-$O256,0))))</f>
        <v/>
      </c>
      <c r="R256" s="381" t="n"/>
      <c r="S256" s="381" t="n"/>
      <c r="T256" s="381" t="n"/>
      <c r="U256" s="381" t="n"/>
    </row>
    <row r="257" ht="15" customHeight="1" s="278">
      <c r="A257" s="399" t="str">
        <f>IF($B257="","","T"&amp;TEXT(ROW()-6,"0000"))</f>
        <v/>
      </c>
      <c r="B257" s="386" t="n"/>
      <c r="C257" s="399" t="str">
        <f>IF($B257="","",TEXT($B257,"YYYY-MM"))</f>
        <v/>
      </c>
      <c r="D257" s="400" t="str">
        <f>IF($B257="","",YEAR($B257))</f>
        <v/>
      </c>
      <c r="E257" s="391" t="n"/>
      <c r="F257" s="391" t="n"/>
      <c r="G257" s="391" t="n"/>
      <c r="H257" s="391" t="n"/>
      <c r="I257" s="391" t="n"/>
      <c r="J257" s="391" t="n"/>
      <c r="K257" s="391" t="n"/>
      <c r="L257" s="391" t="n"/>
      <c r="M257" s="391" t="n"/>
      <c r="N257" s="391" t="n"/>
      <c r="O257" s="392" t="n"/>
      <c r="P257" s="391" t="n"/>
      <c r="Q257" s="385" t="str">
        <f>IF($B257="","",IF($P257&lt;&gt;"AED",0,IF($F257="Income",$O257,IF($F257="Expense",-$O257,0))))</f>
        <v/>
      </c>
      <c r="R257" s="381" t="n"/>
      <c r="S257" s="381" t="n"/>
      <c r="T257" s="381" t="n"/>
      <c r="U257" s="381" t="n"/>
    </row>
    <row r="258" ht="15" customHeight="1" s="278">
      <c r="A258" s="399" t="str">
        <f>IF($B258="","","T"&amp;TEXT(ROW()-6,"0000"))</f>
        <v/>
      </c>
      <c r="B258" s="386" t="n"/>
      <c r="C258" s="399" t="str">
        <f>IF($B258="","",TEXT($B258,"YYYY-MM"))</f>
        <v/>
      </c>
      <c r="D258" s="400" t="str">
        <f>IF($B258="","",YEAR($B258))</f>
        <v/>
      </c>
      <c r="E258" s="391" t="n"/>
      <c r="F258" s="391" t="n"/>
      <c r="G258" s="391" t="n"/>
      <c r="H258" s="391" t="n"/>
      <c r="I258" s="391" t="n"/>
      <c r="J258" s="391" t="n"/>
      <c r="K258" s="391" t="n"/>
      <c r="L258" s="391" t="n"/>
      <c r="M258" s="391" t="n"/>
      <c r="N258" s="391" t="n"/>
      <c r="O258" s="392" t="n"/>
      <c r="P258" s="391" t="n"/>
      <c r="Q258" s="385" t="str">
        <f>IF($B258="","",IF($P258&lt;&gt;"AED",0,IF($F258="Income",$O258,IF($F258="Expense",-$O258,0))))</f>
        <v/>
      </c>
      <c r="R258" s="381" t="n"/>
      <c r="S258" s="381" t="n"/>
      <c r="T258" s="381" t="n"/>
      <c r="U258" s="381" t="n"/>
    </row>
    <row r="259" ht="15" customHeight="1" s="278">
      <c r="A259" s="399" t="str">
        <f>IF($B259="","","T"&amp;TEXT(ROW()-6,"0000"))</f>
        <v/>
      </c>
      <c r="B259" s="386" t="n"/>
      <c r="C259" s="399" t="str">
        <f>IF($B259="","",TEXT($B259,"YYYY-MM"))</f>
        <v/>
      </c>
      <c r="D259" s="400" t="str">
        <f>IF($B259="","",YEAR($B259))</f>
        <v/>
      </c>
      <c r="E259" s="391" t="n"/>
      <c r="F259" s="391" t="n"/>
      <c r="G259" s="391" t="n"/>
      <c r="H259" s="391" t="n"/>
      <c r="I259" s="391" t="n"/>
      <c r="J259" s="391" t="n"/>
      <c r="K259" s="391" t="n"/>
      <c r="L259" s="391" t="n"/>
      <c r="M259" s="391" t="n"/>
      <c r="N259" s="391" t="n"/>
      <c r="O259" s="392" t="n"/>
      <c r="P259" s="391" t="n"/>
      <c r="Q259" s="385" t="str">
        <f>IF($B259="","",IF($P259&lt;&gt;"AED",0,IF($F259="Income",$O259,IF($F259="Expense",-$O259,0))))</f>
        <v/>
      </c>
      <c r="R259" s="381" t="n"/>
      <c r="S259" s="381" t="n"/>
      <c r="T259" s="381" t="n"/>
      <c r="U259" s="381" t="n"/>
    </row>
    <row r="260" ht="15" customHeight="1" s="278">
      <c r="A260" s="399" t="str">
        <f>IF($B260="","","T"&amp;TEXT(ROW()-6,"0000"))</f>
        <v/>
      </c>
      <c r="B260" s="386" t="n"/>
      <c r="C260" s="399" t="str">
        <f>IF($B260="","",TEXT($B260,"YYYY-MM"))</f>
        <v/>
      </c>
      <c r="D260" s="400" t="str">
        <f>IF($B260="","",YEAR($B260))</f>
        <v/>
      </c>
      <c r="E260" s="391" t="n"/>
      <c r="F260" s="391" t="n"/>
      <c r="G260" s="391" t="n"/>
      <c r="H260" s="391" t="n"/>
      <c r="I260" s="391" t="n"/>
      <c r="J260" s="391" t="n"/>
      <c r="K260" s="391" t="n"/>
      <c r="L260" s="391" t="n"/>
      <c r="M260" s="391" t="n"/>
      <c r="N260" s="391" t="n"/>
      <c r="O260" s="392" t="n"/>
      <c r="P260" s="391" t="n"/>
      <c r="Q260" s="385" t="str">
        <f>IF($B260="","",IF($P260&lt;&gt;"AED",0,IF($F260="Income",$O260,IF($F260="Expense",-$O260,0))))</f>
        <v/>
      </c>
      <c r="R260" s="381" t="n"/>
      <c r="S260" s="381" t="n"/>
      <c r="T260" s="381" t="n"/>
      <c r="U260" s="381" t="n"/>
    </row>
    <row r="261" ht="15" customHeight="1" s="278">
      <c r="A261" s="399" t="str">
        <f>IF($B261="","","T"&amp;TEXT(ROW()-6,"0000"))</f>
        <v/>
      </c>
      <c r="B261" s="386" t="n"/>
      <c r="C261" s="399" t="str">
        <f>IF($B261="","",TEXT($B261,"YYYY-MM"))</f>
        <v/>
      </c>
      <c r="D261" s="400" t="str">
        <f>IF($B261="","",YEAR($B261))</f>
        <v/>
      </c>
      <c r="E261" s="391" t="n"/>
      <c r="F261" s="391" t="n"/>
      <c r="G261" s="391" t="n"/>
      <c r="H261" s="391" t="n"/>
      <c r="I261" s="391" t="n"/>
      <c r="J261" s="391" t="n"/>
      <c r="K261" s="391" t="n"/>
      <c r="L261" s="391" t="n"/>
      <c r="M261" s="391" t="n"/>
      <c r="N261" s="391" t="n"/>
      <c r="O261" s="392" t="n"/>
      <c r="P261" s="391" t="n"/>
      <c r="Q261" s="385" t="str">
        <f>IF($B261="","",IF($P261&lt;&gt;"AED",0,IF($F261="Income",$O261,IF($F261="Expense",-$O261,0))))</f>
        <v/>
      </c>
      <c r="R261" s="381" t="n"/>
      <c r="S261" s="381" t="n"/>
      <c r="T261" s="381" t="n"/>
      <c r="U261" s="381" t="n"/>
    </row>
    <row r="262" ht="15" customHeight="1" s="278">
      <c r="A262" s="399" t="str">
        <f>IF($B262="","","T"&amp;TEXT(ROW()-6,"0000"))</f>
        <v/>
      </c>
      <c r="B262" s="386" t="n"/>
      <c r="C262" s="399" t="str">
        <f>IF($B262="","",TEXT($B262,"YYYY-MM"))</f>
        <v/>
      </c>
      <c r="D262" s="400" t="str">
        <f>IF($B262="","",YEAR($B262))</f>
        <v/>
      </c>
      <c r="E262" s="391" t="n"/>
      <c r="F262" s="391" t="n"/>
      <c r="G262" s="391" t="n"/>
      <c r="H262" s="391" t="n"/>
      <c r="I262" s="391" t="n"/>
      <c r="J262" s="391" t="n"/>
      <c r="K262" s="391" t="n"/>
      <c r="L262" s="391" t="n"/>
      <c r="M262" s="391" t="n"/>
      <c r="N262" s="391" t="n"/>
      <c r="O262" s="392" t="n"/>
      <c r="P262" s="391" t="n"/>
      <c r="Q262" s="385" t="str">
        <f>IF($B262="","",IF($P262&lt;&gt;"AED",0,IF($F262="Income",$O262,IF($F262="Expense",-$O262,0))))</f>
        <v/>
      </c>
      <c r="R262" s="381" t="n"/>
      <c r="S262" s="381" t="n"/>
      <c r="T262" s="381" t="n"/>
      <c r="U262" s="381" t="n"/>
    </row>
    <row r="263" ht="15" customHeight="1" s="278">
      <c r="A263" s="399" t="str">
        <f>IF($B263="","","T"&amp;TEXT(ROW()-6,"0000"))</f>
        <v/>
      </c>
      <c r="B263" s="386" t="n"/>
      <c r="C263" s="399" t="str">
        <f>IF($B263="","",TEXT($B263,"YYYY-MM"))</f>
        <v/>
      </c>
      <c r="D263" s="400" t="str">
        <f>IF($B263="","",YEAR($B263))</f>
        <v/>
      </c>
      <c r="E263" s="391" t="n"/>
      <c r="F263" s="391" t="n"/>
      <c r="G263" s="391" t="n"/>
      <c r="H263" s="391" t="n"/>
      <c r="I263" s="391" t="n"/>
      <c r="J263" s="391" t="n"/>
      <c r="K263" s="391" t="n"/>
      <c r="L263" s="391" t="n"/>
      <c r="M263" s="391" t="n"/>
      <c r="N263" s="391" t="n"/>
      <c r="O263" s="392" t="n"/>
      <c r="P263" s="391" t="n"/>
      <c r="Q263" s="385" t="str">
        <f>IF($B263="","",IF($P263&lt;&gt;"AED",0,IF($F263="Income",$O263,IF($F263="Expense",-$O263,0))))</f>
        <v/>
      </c>
      <c r="R263" s="381" t="n"/>
      <c r="S263" s="381" t="n"/>
      <c r="T263" s="381" t="n"/>
      <c r="U263" s="381" t="n"/>
    </row>
    <row r="264" ht="15" customHeight="1" s="278">
      <c r="A264" s="399" t="str">
        <f>IF($B264="","","T"&amp;TEXT(ROW()-6,"0000"))</f>
        <v/>
      </c>
      <c r="B264" s="386" t="n"/>
      <c r="C264" s="399" t="str">
        <f>IF($B264="","",TEXT($B264,"YYYY-MM"))</f>
        <v/>
      </c>
      <c r="D264" s="400" t="str">
        <f>IF($B264="","",YEAR($B264))</f>
        <v/>
      </c>
      <c r="E264" s="391" t="n"/>
      <c r="F264" s="391" t="n"/>
      <c r="G264" s="391" t="n"/>
      <c r="H264" s="391" t="n"/>
      <c r="I264" s="391" t="n"/>
      <c r="J264" s="391" t="n"/>
      <c r="K264" s="391" t="n"/>
      <c r="L264" s="391" t="n"/>
      <c r="M264" s="391" t="n"/>
      <c r="N264" s="391" t="n"/>
      <c r="O264" s="392" t="n"/>
      <c r="P264" s="391" t="n"/>
      <c r="Q264" s="385" t="str">
        <f>IF($B264="","",IF($P264&lt;&gt;"AED",0,IF($F264="Income",$O264,IF($F264="Expense",-$O264,0))))</f>
        <v/>
      </c>
      <c r="R264" s="381" t="n"/>
      <c r="S264" s="381" t="n"/>
      <c r="T264" s="381" t="n"/>
      <c r="U264" s="381" t="n"/>
    </row>
    <row r="265" ht="15" customHeight="1" s="278">
      <c r="A265" s="399" t="str">
        <f>IF($B265="","","T"&amp;TEXT(ROW()-6,"0000"))</f>
        <v/>
      </c>
      <c r="B265" s="386" t="n"/>
      <c r="C265" s="399" t="str">
        <f>IF($B265="","",TEXT($B265,"YYYY-MM"))</f>
        <v/>
      </c>
      <c r="D265" s="400" t="str">
        <f>IF($B265="","",YEAR($B265))</f>
        <v/>
      </c>
      <c r="E265" s="391" t="n"/>
      <c r="F265" s="391" t="n"/>
      <c r="G265" s="391" t="n"/>
      <c r="H265" s="391" t="n"/>
      <c r="I265" s="391" t="n"/>
      <c r="J265" s="391" t="n"/>
      <c r="K265" s="391" t="n"/>
      <c r="L265" s="391" t="n"/>
      <c r="M265" s="391" t="n"/>
      <c r="N265" s="391" t="n"/>
      <c r="O265" s="392" t="n"/>
      <c r="P265" s="391" t="n"/>
      <c r="Q265" s="385" t="str">
        <f>IF($B265="","",IF($P265&lt;&gt;"AED",0,IF($F265="Income",$O265,IF($F265="Expense",-$O265,0))))</f>
        <v/>
      </c>
      <c r="R265" s="381" t="n"/>
      <c r="S265" s="381" t="n"/>
      <c r="T265" s="381" t="n"/>
      <c r="U265" s="381" t="n"/>
    </row>
    <row r="266" ht="15" customHeight="1" s="278">
      <c r="A266" s="399" t="str">
        <f>IF($B266="","","T"&amp;TEXT(ROW()-6,"0000"))</f>
        <v/>
      </c>
      <c r="B266" s="386" t="n"/>
      <c r="C266" s="399" t="str">
        <f>IF($B266="","",TEXT($B266,"YYYY-MM"))</f>
        <v/>
      </c>
      <c r="D266" s="400" t="str">
        <f>IF($B266="","",YEAR($B266))</f>
        <v/>
      </c>
      <c r="E266" s="391" t="n"/>
      <c r="F266" s="391" t="n"/>
      <c r="G266" s="391" t="n"/>
      <c r="H266" s="391" t="n"/>
      <c r="I266" s="391" t="n"/>
      <c r="J266" s="391" t="n"/>
      <c r="K266" s="391" t="n"/>
      <c r="L266" s="391" t="n"/>
      <c r="M266" s="391" t="n"/>
      <c r="N266" s="391" t="n"/>
      <c r="O266" s="392" t="n"/>
      <c r="P266" s="391" t="n"/>
      <c r="Q266" s="385" t="str">
        <f>IF($B266="","",IF($P266&lt;&gt;"AED",0,IF($F266="Income",$O266,IF($F266="Expense",-$O266,0))))</f>
        <v/>
      </c>
      <c r="R266" s="381" t="n"/>
      <c r="S266" s="381" t="n"/>
      <c r="T266" s="381" t="n"/>
      <c r="U266" s="381" t="n"/>
    </row>
    <row r="267" ht="15" customHeight="1" s="278">
      <c r="A267" s="399" t="str">
        <f>IF($B267="","","T"&amp;TEXT(ROW()-6,"0000"))</f>
        <v/>
      </c>
      <c r="B267" s="386" t="n"/>
      <c r="C267" s="399" t="str">
        <f>IF($B267="","",TEXT($B267,"YYYY-MM"))</f>
        <v/>
      </c>
      <c r="D267" s="400" t="str">
        <f>IF($B267="","",YEAR($B267))</f>
        <v/>
      </c>
      <c r="E267" s="391" t="n"/>
      <c r="F267" s="391" t="n"/>
      <c r="G267" s="391" t="n"/>
      <c r="H267" s="391" t="n"/>
      <c r="I267" s="391" t="n"/>
      <c r="J267" s="391" t="n"/>
      <c r="K267" s="391" t="n"/>
      <c r="L267" s="391" t="n"/>
      <c r="M267" s="391" t="n"/>
      <c r="N267" s="391" t="n"/>
      <c r="O267" s="392" t="n"/>
      <c r="P267" s="391" t="n"/>
      <c r="Q267" s="385" t="str">
        <f>IF($B267="","",IF($P267&lt;&gt;"AED",0,IF($F267="Income",$O267,IF($F267="Expense",-$O267,0))))</f>
        <v/>
      </c>
      <c r="R267" s="381" t="n"/>
      <c r="S267" s="381" t="n"/>
      <c r="T267" s="381" t="n"/>
      <c r="U267" s="381" t="n"/>
    </row>
    <row r="268" ht="15" customHeight="1" s="278">
      <c r="A268" s="399" t="str">
        <f>IF($B268="","","T"&amp;TEXT(ROW()-6,"0000"))</f>
        <v/>
      </c>
      <c r="B268" s="386" t="n"/>
      <c r="C268" s="399" t="str">
        <f>IF($B268="","",TEXT($B268,"YYYY-MM"))</f>
        <v/>
      </c>
      <c r="D268" s="400" t="str">
        <f>IF($B268="","",YEAR($B268))</f>
        <v/>
      </c>
      <c r="E268" s="391" t="n"/>
      <c r="F268" s="391" t="n"/>
      <c r="G268" s="391" t="n"/>
      <c r="H268" s="391" t="n"/>
      <c r="I268" s="391" t="n"/>
      <c r="J268" s="391" t="n"/>
      <c r="K268" s="391" t="n"/>
      <c r="L268" s="391" t="n"/>
      <c r="M268" s="391" t="n"/>
      <c r="N268" s="391" t="n"/>
      <c r="O268" s="392" t="n"/>
      <c r="P268" s="391" t="n"/>
      <c r="Q268" s="385" t="str">
        <f>IF($B268="","",IF($P268&lt;&gt;"AED",0,IF($F268="Income",$O268,IF($F268="Expense",-$O268,0))))</f>
        <v/>
      </c>
      <c r="R268" s="381" t="n"/>
      <c r="S268" s="381" t="n"/>
      <c r="T268" s="381" t="n"/>
      <c r="U268" s="381" t="n"/>
    </row>
    <row r="269" ht="15" customHeight="1" s="278">
      <c r="A269" s="399" t="str">
        <f>IF($B269="","","T"&amp;TEXT(ROW()-6,"0000"))</f>
        <v/>
      </c>
      <c r="B269" s="386" t="n"/>
      <c r="C269" s="399" t="str">
        <f>IF($B269="","",TEXT($B269,"YYYY-MM"))</f>
        <v/>
      </c>
      <c r="D269" s="400" t="str">
        <f>IF($B269="","",YEAR($B269))</f>
        <v/>
      </c>
      <c r="E269" s="391" t="n"/>
      <c r="F269" s="391" t="n"/>
      <c r="G269" s="391" t="n"/>
      <c r="H269" s="391" t="n"/>
      <c r="I269" s="391" t="n"/>
      <c r="J269" s="391" t="n"/>
      <c r="K269" s="391" t="n"/>
      <c r="L269" s="391" t="n"/>
      <c r="M269" s="391" t="n"/>
      <c r="N269" s="391" t="n"/>
      <c r="O269" s="392" t="n"/>
      <c r="P269" s="391" t="n"/>
      <c r="Q269" s="385" t="str">
        <f>IF($B269="","",IF($P269&lt;&gt;"AED",0,IF($F269="Income",$O269,IF($F269="Expense",-$O269,0))))</f>
        <v/>
      </c>
      <c r="R269" s="381" t="n"/>
      <c r="S269" s="381" t="n"/>
      <c r="T269" s="381" t="n"/>
      <c r="U269" s="381" t="n"/>
    </row>
    <row r="270" ht="15" customHeight="1" s="278">
      <c r="A270" s="399" t="str">
        <f>IF($B270="","","T"&amp;TEXT(ROW()-6,"0000"))</f>
        <v/>
      </c>
      <c r="B270" s="386" t="n"/>
      <c r="C270" s="399" t="str">
        <f>IF($B270="","",TEXT($B270,"YYYY-MM"))</f>
        <v/>
      </c>
      <c r="D270" s="400" t="str">
        <f>IF($B270="","",YEAR($B270))</f>
        <v/>
      </c>
      <c r="E270" s="391" t="n"/>
      <c r="F270" s="391" t="n"/>
      <c r="G270" s="391" t="n"/>
      <c r="H270" s="391" t="n"/>
      <c r="I270" s="391" t="n"/>
      <c r="J270" s="391" t="n"/>
      <c r="K270" s="391" t="n"/>
      <c r="L270" s="391" t="n"/>
      <c r="M270" s="391" t="n"/>
      <c r="N270" s="391" t="n"/>
      <c r="O270" s="392" t="n"/>
      <c r="P270" s="391" t="n"/>
      <c r="Q270" s="385" t="str">
        <f>IF($B270="","",IF($P270&lt;&gt;"AED",0,IF($F270="Income",$O270,IF($F270="Expense",-$O270,0))))</f>
        <v/>
      </c>
      <c r="R270" s="381" t="n"/>
      <c r="S270" s="381" t="n"/>
      <c r="T270" s="381" t="n"/>
      <c r="U270" s="381" t="n"/>
    </row>
    <row r="271" ht="15" customHeight="1" s="278">
      <c r="A271" s="399" t="str">
        <f>IF($B271="","","T"&amp;TEXT(ROW()-6,"0000"))</f>
        <v/>
      </c>
      <c r="B271" s="386" t="n"/>
      <c r="C271" s="399" t="str">
        <f>IF($B271="","",TEXT($B271,"YYYY-MM"))</f>
        <v/>
      </c>
      <c r="D271" s="400" t="str">
        <f>IF($B271="","",YEAR($B271))</f>
        <v/>
      </c>
      <c r="E271" s="391" t="n"/>
      <c r="F271" s="391" t="n"/>
      <c r="G271" s="391" t="n"/>
      <c r="H271" s="391" t="n"/>
      <c r="I271" s="391" t="n"/>
      <c r="J271" s="391" t="n"/>
      <c r="K271" s="391" t="n"/>
      <c r="L271" s="391" t="n"/>
      <c r="M271" s="391" t="n"/>
      <c r="N271" s="391" t="n"/>
      <c r="O271" s="392" t="n"/>
      <c r="P271" s="391" t="n"/>
      <c r="Q271" s="385" t="str">
        <f>IF($B271="","",IF($P271&lt;&gt;"AED",0,IF($F271="Income",$O271,IF($F271="Expense",-$O271,0))))</f>
        <v/>
      </c>
      <c r="R271" s="381" t="n"/>
      <c r="S271" s="381" t="n"/>
      <c r="T271" s="381" t="n"/>
      <c r="U271" s="381" t="n"/>
    </row>
    <row r="272" ht="15" customHeight="1" s="278">
      <c r="A272" s="399" t="str">
        <f>IF($B272="","","T"&amp;TEXT(ROW()-6,"0000"))</f>
        <v/>
      </c>
      <c r="B272" s="386" t="n"/>
      <c r="C272" s="399" t="str">
        <f>IF($B272="","",TEXT($B272,"YYYY-MM"))</f>
        <v/>
      </c>
      <c r="D272" s="400" t="str">
        <f>IF($B272="","",YEAR($B272))</f>
        <v/>
      </c>
      <c r="E272" s="391" t="n"/>
      <c r="F272" s="391" t="n"/>
      <c r="G272" s="391" t="n"/>
      <c r="H272" s="391" t="n"/>
      <c r="I272" s="391" t="n"/>
      <c r="J272" s="391" t="n"/>
      <c r="K272" s="391" t="n"/>
      <c r="L272" s="391" t="n"/>
      <c r="M272" s="391" t="n"/>
      <c r="N272" s="391" t="n"/>
      <c r="O272" s="392" t="n"/>
      <c r="P272" s="391" t="n"/>
      <c r="Q272" s="385" t="str">
        <f>IF($B272="","",IF($P272&lt;&gt;"AED",0,IF($F272="Income",$O272,IF($F272="Expense",-$O272,0))))</f>
        <v/>
      </c>
      <c r="R272" s="381" t="n"/>
      <c r="S272" s="381" t="n"/>
      <c r="T272" s="381" t="n"/>
      <c r="U272" s="381" t="n"/>
    </row>
    <row r="273" ht="15" customHeight="1" s="278">
      <c r="A273" s="399" t="str">
        <f>IF($B273="","","T"&amp;TEXT(ROW()-6,"0000"))</f>
        <v/>
      </c>
      <c r="B273" s="386" t="n"/>
      <c r="C273" s="399" t="str">
        <f>IF($B273="","",TEXT($B273,"YYYY-MM"))</f>
        <v/>
      </c>
      <c r="D273" s="400" t="str">
        <f>IF($B273="","",YEAR($B273))</f>
        <v/>
      </c>
      <c r="E273" s="391" t="n"/>
      <c r="F273" s="391" t="n"/>
      <c r="G273" s="391" t="n"/>
      <c r="H273" s="391" t="n"/>
      <c r="I273" s="391" t="n"/>
      <c r="J273" s="391" t="n"/>
      <c r="K273" s="391" t="n"/>
      <c r="L273" s="391" t="n"/>
      <c r="M273" s="391" t="n"/>
      <c r="N273" s="391" t="n"/>
      <c r="O273" s="392" t="n"/>
      <c r="P273" s="391" t="n"/>
      <c r="Q273" s="385" t="str">
        <f>IF($B273="","",IF($P273&lt;&gt;"AED",0,IF($F273="Income",$O273,IF($F273="Expense",-$O273,0))))</f>
        <v/>
      </c>
      <c r="R273" s="381" t="n"/>
      <c r="S273" s="381" t="n"/>
      <c r="T273" s="381" t="n"/>
      <c r="U273" s="381" t="n"/>
    </row>
    <row r="274" ht="15" customHeight="1" s="278">
      <c r="A274" s="399" t="str">
        <f>IF($B274="","","T"&amp;TEXT(ROW()-6,"0000"))</f>
        <v/>
      </c>
      <c r="B274" s="386" t="n"/>
      <c r="C274" s="399" t="str">
        <f>IF($B274="","",TEXT($B274,"YYYY-MM"))</f>
        <v/>
      </c>
      <c r="D274" s="400" t="str">
        <f>IF($B274="","",YEAR($B274))</f>
        <v/>
      </c>
      <c r="E274" s="391" t="n"/>
      <c r="F274" s="391" t="n"/>
      <c r="G274" s="391" t="n"/>
      <c r="H274" s="391" t="n"/>
      <c r="I274" s="391" t="n"/>
      <c r="J274" s="391" t="n"/>
      <c r="K274" s="391" t="n"/>
      <c r="L274" s="391" t="n"/>
      <c r="M274" s="391" t="n"/>
      <c r="N274" s="391" t="n"/>
      <c r="O274" s="392" t="n"/>
      <c r="P274" s="391" t="n"/>
      <c r="Q274" s="385" t="str">
        <f>IF($B274="","",IF($P274&lt;&gt;"AED",0,IF($F274="Income",$O274,IF($F274="Expense",-$O274,0))))</f>
        <v/>
      </c>
      <c r="R274" s="381" t="n"/>
      <c r="S274" s="381" t="n"/>
      <c r="T274" s="381" t="n"/>
      <c r="U274" s="381" t="n"/>
    </row>
    <row r="275" ht="15" customHeight="1" s="278">
      <c r="A275" s="399" t="str">
        <f>IF($B275="","","T"&amp;TEXT(ROW()-6,"0000"))</f>
        <v/>
      </c>
      <c r="B275" s="386" t="n"/>
      <c r="C275" s="399" t="str">
        <f>IF($B275="","",TEXT($B275,"YYYY-MM"))</f>
        <v/>
      </c>
      <c r="D275" s="400" t="str">
        <f>IF($B275="","",YEAR($B275))</f>
        <v/>
      </c>
      <c r="E275" s="391" t="n"/>
      <c r="F275" s="391" t="n"/>
      <c r="G275" s="391" t="n"/>
      <c r="H275" s="391" t="n"/>
      <c r="I275" s="391" t="n"/>
      <c r="J275" s="391" t="n"/>
      <c r="K275" s="391" t="n"/>
      <c r="L275" s="391" t="n"/>
      <c r="M275" s="391" t="n"/>
      <c r="N275" s="391" t="n"/>
      <c r="O275" s="392" t="n"/>
      <c r="P275" s="391" t="n"/>
      <c r="Q275" s="385" t="str">
        <f>IF($B275="","",IF($P275&lt;&gt;"AED",0,IF($F275="Income",$O275,IF($F275="Expense",-$O275,0))))</f>
        <v/>
      </c>
      <c r="R275" s="381" t="n"/>
      <c r="S275" s="381" t="n"/>
      <c r="T275" s="381" t="n"/>
      <c r="U275" s="381" t="n"/>
    </row>
    <row r="276" ht="15" customHeight="1" s="278">
      <c r="A276" s="399" t="str">
        <f>IF($B276="","","T"&amp;TEXT(ROW()-6,"0000"))</f>
        <v/>
      </c>
      <c r="B276" s="386" t="n"/>
      <c r="C276" s="399" t="str">
        <f>IF($B276="","",TEXT($B276,"YYYY-MM"))</f>
        <v/>
      </c>
      <c r="D276" s="400" t="str">
        <f>IF($B276="","",YEAR($B276))</f>
        <v/>
      </c>
      <c r="E276" s="391" t="n"/>
      <c r="F276" s="391" t="n"/>
      <c r="G276" s="391" t="n"/>
      <c r="H276" s="391" t="n"/>
      <c r="I276" s="391" t="n"/>
      <c r="J276" s="391" t="n"/>
      <c r="K276" s="391" t="n"/>
      <c r="L276" s="391" t="n"/>
      <c r="M276" s="391" t="n"/>
      <c r="N276" s="391" t="n"/>
      <c r="O276" s="392" t="n"/>
      <c r="P276" s="391" t="n"/>
      <c r="Q276" s="385" t="str">
        <f>IF($B276="","",IF($P276&lt;&gt;"AED",0,IF($F276="Income",$O276,IF($F276="Expense",-$O276,0))))</f>
        <v/>
      </c>
      <c r="R276" s="381" t="n"/>
      <c r="S276" s="381" t="n"/>
      <c r="T276" s="381" t="n"/>
      <c r="U276" s="381" t="n"/>
    </row>
    <row r="277" ht="15" customHeight="1" s="278">
      <c r="A277" s="399" t="str">
        <f>IF($B277="","","T"&amp;TEXT(ROW()-6,"0000"))</f>
        <v/>
      </c>
      <c r="B277" s="386" t="n"/>
      <c r="C277" s="399" t="str">
        <f>IF($B277="","",TEXT($B277,"YYYY-MM"))</f>
        <v/>
      </c>
      <c r="D277" s="400" t="str">
        <f>IF($B277="","",YEAR($B277))</f>
        <v/>
      </c>
      <c r="E277" s="391" t="n"/>
      <c r="F277" s="391" t="n"/>
      <c r="G277" s="391" t="n"/>
      <c r="H277" s="391" t="n"/>
      <c r="I277" s="391" t="n"/>
      <c r="J277" s="391" t="n"/>
      <c r="K277" s="391" t="n"/>
      <c r="L277" s="391" t="n"/>
      <c r="M277" s="391" t="n"/>
      <c r="N277" s="391" t="n"/>
      <c r="O277" s="392" t="n"/>
      <c r="P277" s="391" t="n"/>
      <c r="Q277" s="385" t="str">
        <f>IF($B277="","",IF($P277&lt;&gt;"AED",0,IF($F277="Income",$O277,IF($F277="Expense",-$O277,0))))</f>
        <v/>
      </c>
      <c r="R277" s="381" t="n"/>
      <c r="S277" s="381" t="n"/>
      <c r="T277" s="381" t="n"/>
      <c r="U277" s="381" t="n"/>
    </row>
    <row r="278" ht="15" customHeight="1" s="278">
      <c r="A278" s="399" t="str">
        <f>IF($B278="","","T"&amp;TEXT(ROW()-6,"0000"))</f>
        <v/>
      </c>
      <c r="B278" s="386" t="n"/>
      <c r="C278" s="399" t="str">
        <f>IF($B278="","",TEXT($B278,"YYYY-MM"))</f>
        <v/>
      </c>
      <c r="D278" s="400" t="str">
        <f>IF($B278="","",YEAR($B278))</f>
        <v/>
      </c>
      <c r="E278" s="391" t="n"/>
      <c r="F278" s="391" t="n"/>
      <c r="G278" s="391" t="n"/>
      <c r="H278" s="391" t="n"/>
      <c r="I278" s="391" t="n"/>
      <c r="J278" s="391" t="n"/>
      <c r="K278" s="391" t="n"/>
      <c r="L278" s="391" t="n"/>
      <c r="M278" s="391" t="n"/>
      <c r="N278" s="391" t="n"/>
      <c r="O278" s="392" t="n"/>
      <c r="P278" s="391" t="n"/>
      <c r="Q278" s="385" t="str">
        <f>IF($B278="","",IF($P278&lt;&gt;"AED",0,IF($F278="Income",$O278,IF($F278="Expense",-$O278,0))))</f>
        <v/>
      </c>
      <c r="R278" s="381" t="n"/>
      <c r="S278" s="381" t="n"/>
      <c r="T278" s="381" t="n"/>
      <c r="U278" s="381" t="n"/>
    </row>
    <row r="279" ht="15" customHeight="1" s="278">
      <c r="A279" s="399" t="str">
        <f>IF($B279="","","T"&amp;TEXT(ROW()-6,"0000"))</f>
        <v/>
      </c>
      <c r="B279" s="386" t="n"/>
      <c r="C279" s="399" t="str">
        <f>IF($B279="","",TEXT($B279,"YYYY-MM"))</f>
        <v/>
      </c>
      <c r="D279" s="400" t="str">
        <f>IF($B279="","",YEAR($B279))</f>
        <v/>
      </c>
      <c r="E279" s="391" t="n"/>
      <c r="F279" s="391" t="n"/>
      <c r="G279" s="391" t="n"/>
      <c r="H279" s="391" t="n"/>
      <c r="I279" s="391" t="n"/>
      <c r="J279" s="391" t="n"/>
      <c r="K279" s="391" t="n"/>
      <c r="L279" s="391" t="n"/>
      <c r="M279" s="391" t="n"/>
      <c r="N279" s="391" t="n"/>
      <c r="O279" s="392" t="n"/>
      <c r="P279" s="391" t="n"/>
      <c r="Q279" s="385" t="str">
        <f>IF($B279="","",IF($P279&lt;&gt;"AED",0,IF($F279="Income",$O279,IF($F279="Expense",-$O279,0))))</f>
        <v/>
      </c>
      <c r="R279" s="381" t="n"/>
      <c r="S279" s="381" t="n"/>
      <c r="T279" s="381" t="n"/>
      <c r="U279" s="381" t="n"/>
    </row>
    <row r="280" ht="15" customHeight="1" s="278">
      <c r="A280" s="399" t="str">
        <f>IF($B280="","","T"&amp;TEXT(ROW()-6,"0000"))</f>
        <v/>
      </c>
      <c r="B280" s="386" t="n"/>
      <c r="C280" s="399" t="str">
        <f>IF($B280="","",TEXT($B280,"YYYY-MM"))</f>
        <v/>
      </c>
      <c r="D280" s="400" t="str">
        <f>IF($B280="","",YEAR($B280))</f>
        <v/>
      </c>
      <c r="E280" s="391" t="n"/>
      <c r="F280" s="391" t="n"/>
      <c r="G280" s="391" t="n"/>
      <c r="H280" s="391" t="n"/>
      <c r="I280" s="391" t="n"/>
      <c r="J280" s="391" t="n"/>
      <c r="K280" s="391" t="n"/>
      <c r="L280" s="391" t="n"/>
      <c r="M280" s="391" t="n"/>
      <c r="N280" s="391" t="n"/>
      <c r="O280" s="392" t="n"/>
      <c r="P280" s="391" t="n"/>
      <c r="Q280" s="385" t="str">
        <f>IF($B280="","",IF($P280&lt;&gt;"AED",0,IF($F280="Income",$O280,IF($F280="Expense",-$O280,0))))</f>
        <v/>
      </c>
      <c r="R280" s="381" t="n"/>
      <c r="S280" s="381" t="n"/>
      <c r="T280" s="381" t="n"/>
      <c r="U280" s="381" t="n"/>
    </row>
    <row r="281" ht="15" customHeight="1" s="278">
      <c r="A281" s="399" t="str">
        <f>IF($B281="","","T"&amp;TEXT(ROW()-6,"0000"))</f>
        <v/>
      </c>
      <c r="B281" s="386" t="n"/>
      <c r="C281" s="399" t="str">
        <f>IF($B281="","",TEXT($B281,"YYYY-MM"))</f>
        <v/>
      </c>
      <c r="D281" s="400" t="str">
        <f>IF($B281="","",YEAR($B281))</f>
        <v/>
      </c>
      <c r="E281" s="391" t="n"/>
      <c r="F281" s="391" t="n"/>
      <c r="G281" s="391" t="n"/>
      <c r="H281" s="391" t="n"/>
      <c r="I281" s="391" t="n"/>
      <c r="J281" s="391" t="n"/>
      <c r="K281" s="391" t="n"/>
      <c r="L281" s="391" t="n"/>
      <c r="M281" s="391" t="n"/>
      <c r="N281" s="391" t="n"/>
      <c r="O281" s="392" t="n"/>
      <c r="P281" s="391" t="n"/>
      <c r="Q281" s="385" t="str">
        <f>IF($B281="","",IF($P281&lt;&gt;"AED",0,IF($F281="Income",$O281,IF($F281="Expense",-$O281,0))))</f>
        <v/>
      </c>
      <c r="R281" s="381" t="n"/>
      <c r="S281" s="381" t="n"/>
      <c r="T281" s="381" t="n"/>
      <c r="U281" s="381" t="n"/>
    </row>
    <row r="282" ht="15" customHeight="1" s="278">
      <c r="A282" s="399" t="str">
        <f>IF($B282="","","T"&amp;TEXT(ROW()-6,"0000"))</f>
        <v/>
      </c>
      <c r="B282" s="386" t="n"/>
      <c r="C282" s="399" t="str">
        <f>IF($B282="","",TEXT($B282,"YYYY-MM"))</f>
        <v/>
      </c>
      <c r="D282" s="400" t="str">
        <f>IF($B282="","",YEAR($B282))</f>
        <v/>
      </c>
      <c r="E282" s="391" t="n"/>
      <c r="F282" s="391" t="n"/>
      <c r="G282" s="391" t="n"/>
      <c r="H282" s="391" t="n"/>
      <c r="I282" s="391" t="n"/>
      <c r="J282" s="391" t="n"/>
      <c r="K282" s="391" t="n"/>
      <c r="L282" s="391" t="n"/>
      <c r="M282" s="391" t="n"/>
      <c r="N282" s="391" t="n"/>
      <c r="O282" s="392" t="n"/>
      <c r="P282" s="391" t="n"/>
      <c r="Q282" s="385" t="str">
        <f>IF($B282="","",IF($P282&lt;&gt;"AED",0,IF($F282="Income",$O282,IF($F282="Expense",-$O282,0))))</f>
        <v/>
      </c>
      <c r="R282" s="381" t="n"/>
      <c r="S282" s="381" t="n"/>
      <c r="T282" s="381" t="n"/>
      <c r="U282" s="381" t="n"/>
    </row>
    <row r="283" ht="15" customHeight="1" s="278">
      <c r="A283" s="399" t="str">
        <f>IF($B283="","","T"&amp;TEXT(ROW()-6,"0000"))</f>
        <v/>
      </c>
      <c r="B283" s="386" t="n"/>
      <c r="C283" s="399" t="str">
        <f>IF($B283="","",TEXT($B283,"YYYY-MM"))</f>
        <v/>
      </c>
      <c r="D283" s="400" t="str">
        <f>IF($B283="","",YEAR($B283))</f>
        <v/>
      </c>
      <c r="E283" s="391" t="n"/>
      <c r="F283" s="391" t="n"/>
      <c r="G283" s="391" t="n"/>
      <c r="H283" s="391" t="n"/>
      <c r="I283" s="391" t="n"/>
      <c r="J283" s="391" t="n"/>
      <c r="K283" s="391" t="n"/>
      <c r="L283" s="391" t="n"/>
      <c r="M283" s="391" t="n"/>
      <c r="N283" s="391" t="n"/>
      <c r="O283" s="392" t="n"/>
      <c r="P283" s="391" t="n"/>
      <c r="Q283" s="385" t="str">
        <f>IF($B283="","",IF($P283&lt;&gt;"AED",0,IF($F283="Income",$O283,IF($F283="Expense",-$O283,0))))</f>
        <v/>
      </c>
      <c r="R283" s="381" t="n"/>
      <c r="S283" s="381" t="n"/>
      <c r="T283" s="381" t="n"/>
      <c r="U283" s="381" t="n"/>
    </row>
    <row r="284" ht="15" customHeight="1" s="278">
      <c r="A284" s="399" t="str">
        <f>IF($B284="","","T"&amp;TEXT(ROW()-6,"0000"))</f>
        <v/>
      </c>
      <c r="B284" s="386" t="n"/>
      <c r="C284" s="399" t="str">
        <f>IF($B284="","",TEXT($B284,"YYYY-MM"))</f>
        <v/>
      </c>
      <c r="D284" s="400" t="str">
        <f>IF($B284="","",YEAR($B284))</f>
        <v/>
      </c>
      <c r="E284" s="391" t="n"/>
      <c r="F284" s="391" t="n"/>
      <c r="G284" s="391" t="n"/>
      <c r="H284" s="391" t="n"/>
      <c r="I284" s="391" t="n"/>
      <c r="J284" s="391" t="n"/>
      <c r="K284" s="391" t="n"/>
      <c r="L284" s="391" t="n"/>
      <c r="M284" s="391" t="n"/>
      <c r="N284" s="391" t="n"/>
      <c r="O284" s="392" t="n"/>
      <c r="P284" s="391" t="n"/>
      <c r="Q284" s="385" t="str">
        <f>IF($B284="","",IF($P284&lt;&gt;"AED",0,IF($F284="Income",$O284,IF($F284="Expense",-$O284,0))))</f>
        <v/>
      </c>
      <c r="R284" s="381" t="n"/>
      <c r="S284" s="381" t="n"/>
      <c r="T284" s="381" t="n"/>
      <c r="U284" s="381" t="n"/>
    </row>
    <row r="285" ht="15" customHeight="1" s="278">
      <c r="A285" s="399" t="str">
        <f>IF($B285="","","T"&amp;TEXT(ROW()-6,"0000"))</f>
        <v/>
      </c>
      <c r="B285" s="386" t="n"/>
      <c r="C285" s="399" t="str">
        <f>IF($B285="","",TEXT($B285,"YYYY-MM"))</f>
        <v/>
      </c>
      <c r="D285" s="400" t="str">
        <f>IF($B285="","",YEAR($B285))</f>
        <v/>
      </c>
      <c r="E285" s="391" t="n"/>
      <c r="F285" s="391" t="n"/>
      <c r="G285" s="391" t="n"/>
      <c r="H285" s="391" t="n"/>
      <c r="I285" s="391" t="n"/>
      <c r="J285" s="391" t="n"/>
      <c r="K285" s="391" t="n"/>
      <c r="L285" s="391" t="n"/>
      <c r="M285" s="391" t="n"/>
      <c r="N285" s="391" t="n"/>
      <c r="O285" s="392" t="n"/>
      <c r="P285" s="391" t="n"/>
      <c r="Q285" s="385" t="str">
        <f>IF($B285="","",IF($P285&lt;&gt;"AED",0,IF($F285="Income",$O285,IF($F285="Expense",-$O285,0))))</f>
        <v/>
      </c>
      <c r="R285" s="381" t="n"/>
      <c r="S285" s="381" t="n"/>
      <c r="T285" s="381" t="n"/>
      <c r="U285" s="381" t="n"/>
    </row>
    <row r="286" ht="15" customHeight="1" s="278">
      <c r="A286" s="399" t="str">
        <f>IF($B286="","","T"&amp;TEXT(ROW()-6,"0000"))</f>
        <v/>
      </c>
      <c r="B286" s="386" t="n"/>
      <c r="C286" s="399" t="str">
        <f>IF($B286="","",TEXT($B286,"YYYY-MM"))</f>
        <v/>
      </c>
      <c r="D286" s="400" t="str">
        <f>IF($B286="","",YEAR($B286))</f>
        <v/>
      </c>
      <c r="E286" s="391" t="n"/>
      <c r="F286" s="391" t="n"/>
      <c r="G286" s="391" t="n"/>
      <c r="H286" s="391" t="n"/>
      <c r="I286" s="391" t="n"/>
      <c r="J286" s="391" t="n"/>
      <c r="K286" s="391" t="n"/>
      <c r="L286" s="391" t="n"/>
      <c r="M286" s="391" t="n"/>
      <c r="N286" s="391" t="n"/>
      <c r="O286" s="392" t="n"/>
      <c r="P286" s="391" t="n"/>
      <c r="Q286" s="385" t="str">
        <f>IF($B286="","",IF($P286&lt;&gt;"AED",0,IF($F286="Income",$O286,IF($F286="Expense",-$O286,0))))</f>
        <v/>
      </c>
      <c r="R286" s="381" t="n"/>
      <c r="S286" s="381" t="n"/>
      <c r="T286" s="381" t="n"/>
      <c r="U286" s="381" t="n"/>
    </row>
    <row r="287" ht="15" customHeight="1" s="278">
      <c r="A287" s="399" t="str">
        <f>IF($B287="","","T"&amp;TEXT(ROW()-6,"0000"))</f>
        <v/>
      </c>
      <c r="B287" s="386" t="n"/>
      <c r="C287" s="399" t="str">
        <f>IF($B287="","",TEXT($B287,"YYYY-MM"))</f>
        <v/>
      </c>
      <c r="D287" s="400" t="str">
        <f>IF($B287="","",YEAR($B287))</f>
        <v/>
      </c>
      <c r="E287" s="391" t="n"/>
      <c r="F287" s="391" t="n"/>
      <c r="G287" s="391" t="n"/>
      <c r="H287" s="391" t="n"/>
      <c r="I287" s="391" t="n"/>
      <c r="J287" s="391" t="n"/>
      <c r="K287" s="391" t="n"/>
      <c r="L287" s="391" t="n"/>
      <c r="M287" s="391" t="n"/>
      <c r="N287" s="391" t="n"/>
      <c r="O287" s="392" t="n"/>
      <c r="P287" s="391" t="n"/>
      <c r="Q287" s="385" t="str">
        <f>IF($B287="","",IF($P287&lt;&gt;"AED",0,IF($F287="Income",$O287,IF($F287="Expense",-$O287,0))))</f>
        <v/>
      </c>
      <c r="R287" s="381" t="n"/>
      <c r="S287" s="381" t="n"/>
      <c r="T287" s="381" t="n"/>
      <c r="U287" s="381" t="n"/>
    </row>
    <row r="288" ht="15" customHeight="1" s="278">
      <c r="A288" s="399" t="str">
        <f>IF($B288="","","T"&amp;TEXT(ROW()-6,"0000"))</f>
        <v/>
      </c>
      <c r="B288" s="386" t="n"/>
      <c r="C288" s="399" t="str">
        <f>IF($B288="","",TEXT($B288,"YYYY-MM"))</f>
        <v/>
      </c>
      <c r="D288" s="400" t="str">
        <f>IF($B288="","",YEAR($B288))</f>
        <v/>
      </c>
      <c r="E288" s="391" t="n"/>
      <c r="F288" s="391" t="n"/>
      <c r="G288" s="391" t="n"/>
      <c r="H288" s="391" t="n"/>
      <c r="I288" s="391" t="n"/>
      <c r="J288" s="391" t="n"/>
      <c r="K288" s="391" t="n"/>
      <c r="L288" s="391" t="n"/>
      <c r="M288" s="391" t="n"/>
      <c r="N288" s="391" t="n"/>
      <c r="O288" s="392" t="n"/>
      <c r="P288" s="391" t="n"/>
      <c r="Q288" s="385" t="str">
        <f>IF($B288="","",IF($P288&lt;&gt;"AED",0,IF($F288="Income",$O288,IF($F288="Expense",-$O288,0))))</f>
        <v/>
      </c>
      <c r="R288" s="381" t="n"/>
      <c r="S288" s="381" t="n"/>
      <c r="T288" s="381" t="n"/>
      <c r="U288" s="381" t="n"/>
    </row>
    <row r="289" ht="15" customHeight="1" s="278">
      <c r="A289" s="399" t="str">
        <f>IF($B289="","","T"&amp;TEXT(ROW()-6,"0000"))</f>
        <v/>
      </c>
      <c r="B289" s="386" t="n"/>
      <c r="C289" s="399" t="str">
        <f>IF($B289="","",TEXT($B289,"YYYY-MM"))</f>
        <v/>
      </c>
      <c r="D289" s="400" t="str">
        <f>IF($B289="","",YEAR($B289))</f>
        <v/>
      </c>
      <c r="E289" s="391" t="n"/>
      <c r="F289" s="391" t="n"/>
      <c r="G289" s="391" t="n"/>
      <c r="H289" s="391" t="n"/>
      <c r="I289" s="391" t="n"/>
      <c r="J289" s="391" t="n"/>
      <c r="K289" s="391" t="n"/>
      <c r="L289" s="391" t="n"/>
      <c r="M289" s="391" t="n"/>
      <c r="N289" s="391" t="n"/>
      <c r="O289" s="392" t="n"/>
      <c r="P289" s="391" t="n"/>
      <c r="Q289" s="385" t="str">
        <f>IF($B289="","",IF($P289&lt;&gt;"AED",0,IF($F289="Income",$O289,IF($F289="Expense",-$O289,0))))</f>
        <v/>
      </c>
      <c r="R289" s="381" t="n"/>
      <c r="S289" s="381" t="n"/>
      <c r="T289" s="381" t="n"/>
      <c r="U289" s="381" t="n"/>
    </row>
    <row r="290" ht="15" customHeight="1" s="278">
      <c r="A290" s="399" t="str">
        <f>IF($B290="","","T"&amp;TEXT(ROW()-6,"0000"))</f>
        <v/>
      </c>
      <c r="B290" s="386" t="n"/>
      <c r="C290" s="399" t="str">
        <f>IF($B290="","",TEXT($B290,"YYYY-MM"))</f>
        <v/>
      </c>
      <c r="D290" s="400" t="str">
        <f>IF($B290="","",YEAR($B290))</f>
        <v/>
      </c>
      <c r="E290" s="391" t="n"/>
      <c r="F290" s="391" t="n"/>
      <c r="G290" s="391" t="n"/>
      <c r="H290" s="391" t="n"/>
      <c r="I290" s="391" t="n"/>
      <c r="J290" s="391" t="n"/>
      <c r="K290" s="391" t="n"/>
      <c r="L290" s="391" t="n"/>
      <c r="M290" s="391" t="n"/>
      <c r="N290" s="391" t="n"/>
      <c r="O290" s="392" t="n"/>
      <c r="P290" s="391" t="n"/>
      <c r="Q290" s="385" t="str">
        <f>IF($B290="","",IF($P290&lt;&gt;"AED",0,IF($F290="Income",$O290,IF($F290="Expense",-$O290,0))))</f>
        <v/>
      </c>
      <c r="R290" s="381" t="n"/>
      <c r="S290" s="381" t="n"/>
      <c r="T290" s="381" t="n"/>
      <c r="U290" s="381" t="n"/>
    </row>
    <row r="291" ht="15" customHeight="1" s="278">
      <c r="A291" s="399" t="str">
        <f>IF($B291="","","T"&amp;TEXT(ROW()-6,"0000"))</f>
        <v/>
      </c>
      <c r="B291" s="386" t="n"/>
      <c r="C291" s="399" t="str">
        <f>IF($B291="","",TEXT($B291,"YYYY-MM"))</f>
        <v/>
      </c>
      <c r="D291" s="400" t="str">
        <f>IF($B291="","",YEAR($B291))</f>
        <v/>
      </c>
      <c r="E291" s="391" t="n"/>
      <c r="F291" s="391" t="n"/>
      <c r="G291" s="391" t="n"/>
      <c r="H291" s="391" t="n"/>
      <c r="I291" s="391" t="n"/>
      <c r="J291" s="391" t="n"/>
      <c r="K291" s="391" t="n"/>
      <c r="L291" s="391" t="n"/>
      <c r="M291" s="391" t="n"/>
      <c r="N291" s="391" t="n"/>
      <c r="O291" s="392" t="n"/>
      <c r="P291" s="391" t="n"/>
      <c r="Q291" s="385" t="str">
        <f>IF($B291="","",IF($P291&lt;&gt;"AED",0,IF($F291="Income",$O291,IF($F291="Expense",-$O291,0))))</f>
        <v/>
      </c>
      <c r="R291" s="381" t="n"/>
      <c r="S291" s="381" t="n"/>
      <c r="T291" s="381" t="n"/>
      <c r="U291" s="381" t="n"/>
    </row>
    <row r="292" ht="15" customHeight="1" s="278">
      <c r="A292" s="399" t="str">
        <f>IF($B292="","","T"&amp;TEXT(ROW()-6,"0000"))</f>
        <v/>
      </c>
      <c r="B292" s="386" t="n"/>
      <c r="C292" s="399" t="str">
        <f>IF($B292="","",TEXT($B292,"YYYY-MM"))</f>
        <v/>
      </c>
      <c r="D292" s="400" t="str">
        <f>IF($B292="","",YEAR($B292))</f>
        <v/>
      </c>
      <c r="E292" s="391" t="n"/>
      <c r="F292" s="391" t="n"/>
      <c r="G292" s="391" t="n"/>
      <c r="H292" s="391" t="n"/>
      <c r="I292" s="391" t="n"/>
      <c r="J292" s="391" t="n"/>
      <c r="K292" s="391" t="n"/>
      <c r="L292" s="391" t="n"/>
      <c r="M292" s="391" t="n"/>
      <c r="N292" s="391" t="n"/>
      <c r="O292" s="392" t="n"/>
      <c r="P292" s="391" t="n"/>
      <c r="Q292" s="385" t="str">
        <f>IF($B292="","",IF($P292&lt;&gt;"AED",0,IF($F292="Income",$O292,IF($F292="Expense",-$O292,0))))</f>
        <v/>
      </c>
      <c r="R292" s="381" t="n"/>
      <c r="S292" s="381" t="n"/>
      <c r="T292" s="381" t="n"/>
      <c r="U292" s="381" t="n"/>
    </row>
    <row r="293" ht="15" customHeight="1" s="278">
      <c r="A293" s="399" t="str">
        <f>IF($B293="","","T"&amp;TEXT(ROW()-6,"0000"))</f>
        <v/>
      </c>
      <c r="B293" s="386" t="n"/>
      <c r="C293" s="399" t="str">
        <f>IF($B293="","",TEXT($B293,"YYYY-MM"))</f>
        <v/>
      </c>
      <c r="D293" s="400" t="str">
        <f>IF($B293="","",YEAR($B293))</f>
        <v/>
      </c>
      <c r="E293" s="391" t="n"/>
      <c r="F293" s="391" t="n"/>
      <c r="G293" s="391" t="n"/>
      <c r="H293" s="391" t="n"/>
      <c r="I293" s="391" t="n"/>
      <c r="J293" s="391" t="n"/>
      <c r="K293" s="391" t="n"/>
      <c r="L293" s="391" t="n"/>
      <c r="M293" s="391" t="n"/>
      <c r="N293" s="391" t="n"/>
      <c r="O293" s="392" t="n"/>
      <c r="P293" s="391" t="n"/>
      <c r="Q293" s="385" t="str">
        <f>IF($B293="","",IF($P293&lt;&gt;"AED",0,IF($F293="Income",$O293,IF($F293="Expense",-$O293,0))))</f>
        <v/>
      </c>
      <c r="R293" s="381" t="n"/>
      <c r="S293" s="381" t="n"/>
      <c r="T293" s="381" t="n"/>
      <c r="U293" s="381" t="n"/>
    </row>
    <row r="294" ht="15" customHeight="1" s="278">
      <c r="A294" s="399" t="str">
        <f>IF($B294="","","T"&amp;TEXT(ROW()-6,"0000"))</f>
        <v/>
      </c>
      <c r="B294" s="386" t="n"/>
      <c r="C294" s="399" t="str">
        <f>IF($B294="","",TEXT($B294,"YYYY-MM"))</f>
        <v/>
      </c>
      <c r="D294" s="400" t="str">
        <f>IF($B294="","",YEAR($B294))</f>
        <v/>
      </c>
      <c r="E294" s="391" t="n"/>
      <c r="F294" s="391" t="n"/>
      <c r="G294" s="391" t="n"/>
      <c r="H294" s="391" t="n"/>
      <c r="I294" s="391" t="n"/>
      <c r="J294" s="391" t="n"/>
      <c r="K294" s="391" t="n"/>
      <c r="L294" s="391" t="n"/>
      <c r="M294" s="391" t="n"/>
      <c r="N294" s="391" t="n"/>
      <c r="O294" s="392" t="n"/>
      <c r="P294" s="391" t="n"/>
      <c r="Q294" s="385" t="str">
        <f>IF($B294="","",IF($P294&lt;&gt;"AED",0,IF($F294="Income",$O294,IF($F294="Expense",-$O294,0))))</f>
        <v/>
      </c>
      <c r="R294" s="381" t="n"/>
      <c r="S294" s="381" t="n"/>
      <c r="T294" s="381" t="n"/>
      <c r="U294" s="381" t="n"/>
    </row>
    <row r="295" ht="15" customHeight="1" s="278">
      <c r="A295" s="399" t="str">
        <f>IF($B295="","","T"&amp;TEXT(ROW()-6,"0000"))</f>
        <v/>
      </c>
      <c r="B295" s="386" t="n"/>
      <c r="C295" s="399" t="str">
        <f>IF($B295="","",TEXT($B295,"YYYY-MM"))</f>
        <v/>
      </c>
      <c r="D295" s="400" t="str">
        <f>IF($B295="","",YEAR($B295))</f>
        <v/>
      </c>
      <c r="E295" s="391" t="n"/>
      <c r="F295" s="391" t="n"/>
      <c r="G295" s="391" t="n"/>
      <c r="H295" s="391" t="n"/>
      <c r="I295" s="391" t="n"/>
      <c r="J295" s="391" t="n"/>
      <c r="K295" s="391" t="n"/>
      <c r="L295" s="391" t="n"/>
      <c r="M295" s="391" t="n"/>
      <c r="N295" s="391" t="n"/>
      <c r="O295" s="392" t="n"/>
      <c r="P295" s="391" t="n"/>
      <c r="Q295" s="385" t="str">
        <f>IF($B295="","",IF($P295&lt;&gt;"AED",0,IF($F295="Income",$O295,IF($F295="Expense",-$O295,0))))</f>
        <v/>
      </c>
      <c r="R295" s="381" t="n"/>
      <c r="S295" s="381" t="n"/>
      <c r="T295" s="381" t="n"/>
      <c r="U295" s="381" t="n"/>
    </row>
    <row r="296" ht="15" customHeight="1" s="278">
      <c r="A296" s="399" t="str">
        <f>IF($B296="","","T"&amp;TEXT(ROW()-6,"0000"))</f>
        <v/>
      </c>
      <c r="B296" s="386" t="n"/>
      <c r="C296" s="399" t="str">
        <f>IF($B296="","",TEXT($B296,"YYYY-MM"))</f>
        <v/>
      </c>
      <c r="D296" s="400" t="str">
        <f>IF($B296="","",YEAR($B296))</f>
        <v/>
      </c>
      <c r="E296" s="391" t="n"/>
      <c r="F296" s="391" t="n"/>
      <c r="G296" s="391" t="n"/>
      <c r="H296" s="391" t="n"/>
      <c r="I296" s="391" t="n"/>
      <c r="J296" s="391" t="n"/>
      <c r="K296" s="391" t="n"/>
      <c r="L296" s="391" t="n"/>
      <c r="M296" s="391" t="n"/>
      <c r="N296" s="391" t="n"/>
      <c r="O296" s="392" t="n"/>
      <c r="P296" s="391" t="n"/>
      <c r="Q296" s="385" t="str">
        <f>IF($B296="","",IF($P296&lt;&gt;"AED",0,IF($F296="Income",$O296,IF($F296="Expense",-$O296,0))))</f>
        <v/>
      </c>
      <c r="R296" s="381" t="n"/>
      <c r="S296" s="381" t="n"/>
      <c r="T296" s="381" t="n"/>
      <c r="U296" s="381" t="n"/>
    </row>
    <row r="297" ht="15" customHeight="1" s="278">
      <c r="A297" s="399" t="str">
        <f>IF($B297="","","T"&amp;TEXT(ROW()-6,"0000"))</f>
        <v/>
      </c>
      <c r="B297" s="386" t="n"/>
      <c r="C297" s="399" t="str">
        <f>IF($B297="","",TEXT($B297,"YYYY-MM"))</f>
        <v/>
      </c>
      <c r="D297" s="400" t="str">
        <f>IF($B297="","",YEAR($B297))</f>
        <v/>
      </c>
      <c r="E297" s="391" t="n"/>
      <c r="F297" s="391" t="n"/>
      <c r="G297" s="391" t="n"/>
      <c r="H297" s="391" t="n"/>
      <c r="I297" s="391" t="n"/>
      <c r="J297" s="391" t="n"/>
      <c r="K297" s="391" t="n"/>
      <c r="L297" s="391" t="n"/>
      <c r="M297" s="391" t="n"/>
      <c r="N297" s="391" t="n"/>
      <c r="O297" s="392" t="n"/>
      <c r="P297" s="391" t="n"/>
      <c r="Q297" s="385" t="str">
        <f>IF($B297="","",IF($P297&lt;&gt;"AED",0,IF($F297="Income",$O297,IF($F297="Expense",-$O297,0))))</f>
        <v/>
      </c>
      <c r="R297" s="381" t="n"/>
      <c r="S297" s="381" t="n"/>
      <c r="T297" s="381" t="n"/>
      <c r="U297" s="381" t="n"/>
    </row>
    <row r="298" ht="15" customHeight="1" s="278">
      <c r="A298" s="399" t="str">
        <f>IF($B298="","","T"&amp;TEXT(ROW()-6,"0000"))</f>
        <v/>
      </c>
      <c r="B298" s="386" t="n"/>
      <c r="C298" s="399" t="str">
        <f>IF($B298="","",TEXT($B298,"YYYY-MM"))</f>
        <v/>
      </c>
      <c r="D298" s="400" t="str">
        <f>IF($B298="","",YEAR($B298))</f>
        <v/>
      </c>
      <c r="E298" s="391" t="n"/>
      <c r="F298" s="391" t="n"/>
      <c r="G298" s="391" t="n"/>
      <c r="H298" s="391" t="n"/>
      <c r="I298" s="391" t="n"/>
      <c r="J298" s="391" t="n"/>
      <c r="K298" s="391" t="n"/>
      <c r="L298" s="391" t="n"/>
      <c r="M298" s="391" t="n"/>
      <c r="N298" s="391" t="n"/>
      <c r="O298" s="392" t="n"/>
      <c r="P298" s="391" t="n"/>
      <c r="Q298" s="385" t="str">
        <f>IF($B298="","",IF($P298&lt;&gt;"AED",0,IF($F298="Income",$O298,IF($F298="Expense",-$O298,0))))</f>
        <v/>
      </c>
      <c r="R298" s="381" t="n"/>
      <c r="S298" s="381" t="n"/>
      <c r="T298" s="381" t="n"/>
      <c r="U298" s="381" t="n"/>
    </row>
    <row r="299" ht="15" customHeight="1" s="278">
      <c r="A299" s="399" t="str">
        <f>IF($B299="","","T"&amp;TEXT(ROW()-6,"0000"))</f>
        <v/>
      </c>
      <c r="B299" s="386" t="n"/>
      <c r="C299" s="399" t="str">
        <f>IF($B299="","",TEXT($B299,"YYYY-MM"))</f>
        <v/>
      </c>
      <c r="D299" s="400" t="str">
        <f>IF($B299="","",YEAR($B299))</f>
        <v/>
      </c>
      <c r="E299" s="391" t="n"/>
      <c r="F299" s="391" t="n"/>
      <c r="G299" s="391" t="n"/>
      <c r="H299" s="391" t="n"/>
      <c r="I299" s="391" t="n"/>
      <c r="J299" s="391" t="n"/>
      <c r="K299" s="391" t="n"/>
      <c r="L299" s="391" t="n"/>
      <c r="M299" s="391" t="n"/>
      <c r="N299" s="391" t="n"/>
      <c r="O299" s="392" t="n"/>
      <c r="P299" s="391" t="n"/>
      <c r="Q299" s="385" t="str">
        <f>IF($B299="","",IF($P299&lt;&gt;"AED",0,IF($F299="Income",$O299,IF($F299="Expense",-$O299,0))))</f>
        <v/>
      </c>
      <c r="R299" s="381" t="n"/>
      <c r="S299" s="381" t="n"/>
      <c r="T299" s="381" t="n"/>
      <c r="U299" s="381" t="n"/>
    </row>
    <row r="300" ht="15" customHeight="1" s="278">
      <c r="A300" s="399" t="str">
        <f>IF($B300="","","T"&amp;TEXT(ROW()-6,"0000"))</f>
        <v/>
      </c>
      <c r="B300" s="386" t="n"/>
      <c r="C300" s="399" t="str">
        <f>IF($B300="","",TEXT($B300,"YYYY-MM"))</f>
        <v/>
      </c>
      <c r="D300" s="400" t="str">
        <f>IF($B300="","",YEAR($B300))</f>
        <v/>
      </c>
      <c r="E300" s="391" t="n"/>
      <c r="F300" s="391" t="n"/>
      <c r="G300" s="391" t="n"/>
      <c r="H300" s="391" t="n"/>
      <c r="I300" s="391" t="n"/>
      <c r="J300" s="391" t="n"/>
      <c r="K300" s="391" t="n"/>
      <c r="L300" s="391" t="n"/>
      <c r="M300" s="391" t="n"/>
      <c r="N300" s="391" t="n"/>
      <c r="O300" s="392" t="n"/>
      <c r="P300" s="391" t="n"/>
      <c r="Q300" s="385" t="str">
        <f>IF($B300="","",IF($P300&lt;&gt;"AED",0,IF($F300="Income",$O300,IF($F300="Expense",-$O300,0))))</f>
        <v/>
      </c>
      <c r="R300" s="381" t="n"/>
      <c r="S300" s="381" t="n"/>
      <c r="T300" s="381" t="n"/>
      <c r="U300" s="381" t="n"/>
    </row>
    <row r="301" ht="15" customHeight="1" s="278">
      <c r="A301" s="399" t="str">
        <f>IF($B301="","","T"&amp;TEXT(ROW()-6,"0000"))</f>
        <v/>
      </c>
      <c r="B301" s="386" t="n"/>
      <c r="C301" s="399" t="str">
        <f>IF($B301="","",TEXT($B301,"YYYY-MM"))</f>
        <v/>
      </c>
      <c r="D301" s="400" t="str">
        <f>IF($B301="","",YEAR($B301))</f>
        <v/>
      </c>
      <c r="E301" s="391" t="n"/>
      <c r="F301" s="391" t="n"/>
      <c r="G301" s="391" t="n"/>
      <c r="H301" s="391" t="n"/>
      <c r="I301" s="391" t="n"/>
      <c r="J301" s="391" t="n"/>
      <c r="K301" s="391" t="n"/>
      <c r="L301" s="391" t="n"/>
      <c r="M301" s="391" t="n"/>
      <c r="N301" s="391" t="n"/>
      <c r="O301" s="392" t="n"/>
      <c r="P301" s="391" t="n"/>
      <c r="Q301" s="385" t="str">
        <f>IF($B301="","",IF($P301&lt;&gt;"AED",0,IF($F301="Income",$O301,IF($F301="Expense",-$O301,0))))</f>
        <v/>
      </c>
      <c r="R301" s="381" t="n"/>
      <c r="S301" s="381" t="n"/>
      <c r="T301" s="381" t="n"/>
      <c r="U301" s="381" t="n"/>
    </row>
    <row r="302" ht="15" customHeight="1" s="278">
      <c r="A302" s="399" t="str">
        <f>IF($B302="","","T"&amp;TEXT(ROW()-6,"0000"))</f>
        <v/>
      </c>
      <c r="B302" s="386" t="n"/>
      <c r="C302" s="399" t="str">
        <f>IF($B302="","",TEXT($B302,"YYYY-MM"))</f>
        <v/>
      </c>
      <c r="D302" s="400" t="str">
        <f>IF($B302="","",YEAR($B302))</f>
        <v/>
      </c>
      <c r="E302" s="391" t="n"/>
      <c r="F302" s="391" t="n"/>
      <c r="G302" s="391" t="n"/>
      <c r="H302" s="391" t="n"/>
      <c r="I302" s="391" t="n"/>
      <c r="J302" s="391" t="n"/>
      <c r="K302" s="391" t="n"/>
      <c r="L302" s="391" t="n"/>
      <c r="M302" s="391" t="n"/>
      <c r="N302" s="391" t="n"/>
      <c r="O302" s="392" t="n"/>
      <c r="P302" s="391" t="n"/>
      <c r="Q302" s="385" t="str">
        <f>IF($B302="","",IF($P302&lt;&gt;"AED",0,IF($F302="Income",$O302,IF($F302="Expense",-$O302,0))))</f>
        <v/>
      </c>
      <c r="R302" s="381" t="n"/>
      <c r="S302" s="381" t="n"/>
      <c r="T302" s="381" t="n"/>
      <c r="U302" s="381" t="n"/>
    </row>
    <row r="303" ht="15" customHeight="1" s="278">
      <c r="A303" s="399" t="str">
        <f>IF($B303="","","T"&amp;TEXT(ROW()-6,"0000"))</f>
        <v/>
      </c>
      <c r="B303" s="386" t="n"/>
      <c r="C303" s="399" t="str">
        <f>IF($B303="","",TEXT($B303,"YYYY-MM"))</f>
        <v/>
      </c>
      <c r="D303" s="400" t="str">
        <f>IF($B303="","",YEAR($B303))</f>
        <v/>
      </c>
      <c r="E303" s="391" t="n"/>
      <c r="F303" s="391" t="n"/>
      <c r="G303" s="391" t="n"/>
      <c r="H303" s="391" t="n"/>
      <c r="I303" s="391" t="n"/>
      <c r="J303" s="391" t="n"/>
      <c r="K303" s="391" t="n"/>
      <c r="L303" s="391" t="n"/>
      <c r="M303" s="391" t="n"/>
      <c r="N303" s="391" t="n"/>
      <c r="O303" s="392" t="n"/>
      <c r="P303" s="391" t="n"/>
      <c r="Q303" s="385" t="str">
        <f>IF($B303="","",IF($P303&lt;&gt;"AED",0,IF($F303="Income",$O303,IF($F303="Expense",-$O303,0))))</f>
        <v/>
      </c>
      <c r="R303" s="381" t="n"/>
      <c r="S303" s="381" t="n"/>
      <c r="T303" s="381" t="n"/>
      <c r="U303" s="381" t="n"/>
    </row>
    <row r="304" ht="15" customHeight="1" s="278">
      <c r="A304" s="399" t="str">
        <f>IF($B304="","","T"&amp;TEXT(ROW()-6,"0000"))</f>
        <v/>
      </c>
      <c r="B304" s="386" t="n"/>
      <c r="C304" s="399" t="str">
        <f>IF($B304="","",TEXT($B304,"YYYY-MM"))</f>
        <v/>
      </c>
      <c r="D304" s="400" t="str">
        <f>IF($B304="","",YEAR($B304))</f>
        <v/>
      </c>
      <c r="E304" s="391" t="n"/>
      <c r="F304" s="391" t="n"/>
      <c r="G304" s="391" t="n"/>
      <c r="H304" s="391" t="n"/>
      <c r="I304" s="391" t="n"/>
      <c r="J304" s="391" t="n"/>
      <c r="K304" s="391" t="n"/>
      <c r="L304" s="391" t="n"/>
      <c r="M304" s="391" t="n"/>
      <c r="N304" s="391" t="n"/>
      <c r="O304" s="392" t="n"/>
      <c r="P304" s="391" t="n"/>
      <c r="Q304" s="385" t="str">
        <f>IF($B304="","",IF($P304&lt;&gt;"AED",0,IF($F304="Income",$O304,IF($F304="Expense",-$O304,0))))</f>
        <v/>
      </c>
      <c r="R304" s="381" t="n"/>
      <c r="S304" s="381" t="n"/>
      <c r="T304" s="381" t="n"/>
      <c r="U304" s="381" t="n"/>
    </row>
    <row r="305" ht="15" customHeight="1" s="278">
      <c r="A305" s="399" t="str">
        <f>IF($B305="","","T"&amp;TEXT(ROW()-6,"0000"))</f>
        <v/>
      </c>
      <c r="B305" s="386" t="n"/>
      <c r="C305" s="399" t="str">
        <f>IF($B305="","",TEXT($B305,"YYYY-MM"))</f>
        <v/>
      </c>
      <c r="D305" s="400" t="str">
        <f>IF($B305="","",YEAR($B305))</f>
        <v/>
      </c>
      <c r="E305" s="391" t="n"/>
      <c r="F305" s="391" t="n"/>
      <c r="G305" s="391" t="n"/>
      <c r="H305" s="391" t="n"/>
      <c r="I305" s="391" t="n"/>
      <c r="J305" s="391" t="n"/>
      <c r="K305" s="391" t="n"/>
      <c r="L305" s="391" t="n"/>
      <c r="M305" s="391" t="n"/>
      <c r="N305" s="391" t="n"/>
      <c r="O305" s="392" t="n"/>
      <c r="P305" s="391" t="n"/>
      <c r="Q305" s="385" t="str">
        <f>IF($B305="","",IF($P305&lt;&gt;"AED",0,IF($F305="Income",$O305,IF($F305="Expense",-$O305,0))))</f>
        <v/>
      </c>
      <c r="R305" s="381" t="n"/>
      <c r="S305" s="381" t="n"/>
      <c r="T305" s="381" t="n"/>
      <c r="U305" s="381" t="n"/>
    </row>
    <row r="306" ht="15" customHeight="1" s="278">
      <c r="A306" s="399" t="str">
        <f>IF($B306="","","T"&amp;TEXT(ROW()-6,"0000"))</f>
        <v/>
      </c>
      <c r="B306" s="386" t="n"/>
      <c r="C306" s="399" t="str">
        <f>IF($B306="","",TEXT($B306,"YYYY-MM"))</f>
        <v/>
      </c>
      <c r="D306" s="400" t="str">
        <f>IF($B306="","",YEAR($B306))</f>
        <v/>
      </c>
      <c r="E306" s="391" t="n"/>
      <c r="F306" s="391" t="n"/>
      <c r="G306" s="391" t="n"/>
      <c r="H306" s="391" t="n"/>
      <c r="I306" s="391" t="n"/>
      <c r="J306" s="391" t="n"/>
      <c r="K306" s="391" t="n"/>
      <c r="L306" s="391" t="n"/>
      <c r="M306" s="391" t="n"/>
      <c r="N306" s="391" t="n"/>
      <c r="O306" s="392" t="n"/>
      <c r="P306" s="391" t="n"/>
      <c r="Q306" s="385" t="str">
        <f>IF($B306="","",IF($P306&lt;&gt;"AED",0,IF($F306="Income",$O306,IF($F306="Expense",-$O306,0))))</f>
        <v/>
      </c>
      <c r="R306" s="381" t="n"/>
      <c r="S306" s="381" t="n"/>
      <c r="T306" s="381" t="n"/>
      <c r="U306" s="381" t="n"/>
    </row>
    <row r="307" ht="15" customHeight="1" s="278">
      <c r="A307" s="399" t="str">
        <f>IF($B307="","","T"&amp;TEXT(ROW()-6,"0000"))</f>
        <v/>
      </c>
      <c r="B307" s="386" t="n"/>
      <c r="C307" s="399" t="str">
        <f>IF($B307="","",TEXT($B307,"YYYY-MM"))</f>
        <v/>
      </c>
      <c r="D307" s="400" t="str">
        <f>IF($B307="","",YEAR($B307))</f>
        <v/>
      </c>
      <c r="E307" s="391" t="n"/>
      <c r="F307" s="391" t="n"/>
      <c r="G307" s="391" t="n"/>
      <c r="H307" s="391" t="n"/>
      <c r="I307" s="391" t="n"/>
      <c r="J307" s="391" t="n"/>
      <c r="K307" s="391" t="n"/>
      <c r="L307" s="391" t="n"/>
      <c r="M307" s="391" t="n"/>
      <c r="N307" s="391" t="n"/>
      <c r="O307" s="392" t="n"/>
      <c r="P307" s="391" t="n"/>
      <c r="Q307" s="385" t="str">
        <f>IF($B307="","",IF($P307&lt;&gt;"AED",0,IF($F307="Income",$O307,IF($F307="Expense",-$O307,0))))</f>
        <v/>
      </c>
      <c r="R307" s="381" t="n"/>
      <c r="S307" s="381" t="n"/>
      <c r="T307" s="381" t="n"/>
      <c r="U307" s="381" t="n"/>
    </row>
    <row r="308" ht="15" customHeight="1" s="278">
      <c r="A308" s="399" t="str">
        <f>IF($B308="","","T"&amp;TEXT(ROW()-6,"0000"))</f>
        <v/>
      </c>
      <c r="B308" s="386" t="n"/>
      <c r="C308" s="399" t="str">
        <f>IF($B308="","",TEXT($B308,"YYYY-MM"))</f>
        <v/>
      </c>
      <c r="D308" s="400" t="str">
        <f>IF($B308="","",YEAR($B308))</f>
        <v/>
      </c>
      <c r="E308" s="391" t="n"/>
      <c r="F308" s="391" t="n"/>
      <c r="G308" s="391" t="n"/>
      <c r="H308" s="391" t="n"/>
      <c r="I308" s="391" t="n"/>
      <c r="J308" s="391" t="n"/>
      <c r="K308" s="391" t="n"/>
      <c r="L308" s="391" t="n"/>
      <c r="M308" s="391" t="n"/>
      <c r="N308" s="391" t="n"/>
      <c r="O308" s="392" t="n"/>
      <c r="P308" s="391" t="n"/>
      <c r="Q308" s="385" t="str">
        <f>IF($B308="","",IF($P308&lt;&gt;"AED",0,IF($F308="Income",$O308,IF($F308="Expense",-$O308,0))))</f>
        <v/>
      </c>
      <c r="R308" s="381" t="n"/>
      <c r="S308" s="381" t="n"/>
      <c r="T308" s="381" t="n"/>
      <c r="U308" s="381" t="n"/>
    </row>
    <row r="309" ht="15" customHeight="1" s="278">
      <c r="A309" s="399" t="str">
        <f>IF($B309="","","T"&amp;TEXT(ROW()-6,"0000"))</f>
        <v/>
      </c>
      <c r="B309" s="386" t="n"/>
      <c r="C309" s="399" t="str">
        <f>IF($B309="","",TEXT($B309,"YYYY-MM"))</f>
        <v/>
      </c>
      <c r="D309" s="400" t="str">
        <f>IF($B309="","",YEAR($B309))</f>
        <v/>
      </c>
      <c r="E309" s="391" t="n"/>
      <c r="F309" s="391" t="n"/>
      <c r="G309" s="391" t="n"/>
      <c r="H309" s="391" t="n"/>
      <c r="I309" s="391" t="n"/>
      <c r="J309" s="391" t="n"/>
      <c r="K309" s="391" t="n"/>
      <c r="L309" s="391" t="n"/>
      <c r="M309" s="391" t="n"/>
      <c r="N309" s="391" t="n"/>
      <c r="O309" s="392" t="n"/>
      <c r="P309" s="391" t="n"/>
      <c r="Q309" s="385" t="str">
        <f>IF($B309="","",IF($P309&lt;&gt;"AED",0,IF($F309="Income",$O309,IF($F309="Expense",-$O309,0))))</f>
        <v/>
      </c>
      <c r="R309" s="381" t="n"/>
      <c r="S309" s="381" t="n"/>
      <c r="T309" s="381" t="n"/>
      <c r="U309" s="381" t="n"/>
    </row>
    <row r="310" ht="15" customHeight="1" s="278">
      <c r="A310" s="399" t="str">
        <f>IF($B310="","","T"&amp;TEXT(ROW()-6,"0000"))</f>
        <v/>
      </c>
      <c r="B310" s="386" t="n"/>
      <c r="C310" s="399" t="str">
        <f>IF($B310="","",TEXT($B310,"YYYY-MM"))</f>
        <v/>
      </c>
      <c r="D310" s="400" t="str">
        <f>IF($B310="","",YEAR($B310))</f>
        <v/>
      </c>
      <c r="E310" s="391" t="n"/>
      <c r="F310" s="391" t="n"/>
      <c r="G310" s="391" t="n"/>
      <c r="H310" s="391" t="n"/>
      <c r="I310" s="391" t="n"/>
      <c r="J310" s="391" t="n"/>
      <c r="K310" s="391" t="n"/>
      <c r="L310" s="391" t="n"/>
      <c r="M310" s="391" t="n"/>
      <c r="N310" s="391" t="n"/>
      <c r="O310" s="392" t="n"/>
      <c r="P310" s="391" t="n"/>
      <c r="Q310" s="385" t="str">
        <f>IF($B310="","",IF($P310&lt;&gt;"AED",0,IF($F310="Income",$O310,IF($F310="Expense",-$O310,0))))</f>
        <v/>
      </c>
      <c r="R310" s="381" t="n"/>
      <c r="S310" s="381" t="n"/>
      <c r="T310" s="381" t="n"/>
      <c r="U310" s="381" t="n"/>
    </row>
    <row r="311" ht="15" customHeight="1" s="278">
      <c r="A311" s="399" t="str">
        <f>IF($B311="","","T"&amp;TEXT(ROW()-6,"0000"))</f>
        <v/>
      </c>
      <c r="B311" s="386" t="n"/>
      <c r="C311" s="399" t="str">
        <f>IF($B311="","",TEXT($B311,"YYYY-MM"))</f>
        <v/>
      </c>
      <c r="D311" s="400" t="str">
        <f>IF($B311="","",YEAR($B311))</f>
        <v/>
      </c>
      <c r="E311" s="391" t="n"/>
      <c r="F311" s="391" t="n"/>
      <c r="G311" s="391" t="n"/>
      <c r="H311" s="391" t="n"/>
      <c r="I311" s="391" t="n"/>
      <c r="J311" s="391" t="n"/>
      <c r="K311" s="391" t="n"/>
      <c r="L311" s="391" t="n"/>
      <c r="M311" s="391" t="n"/>
      <c r="N311" s="391" t="n"/>
      <c r="O311" s="392" t="n"/>
      <c r="P311" s="391" t="n"/>
      <c r="Q311" s="385" t="str">
        <f>IF($B311="","",IF($P311&lt;&gt;"AED",0,IF($F311="Income",$O311,IF($F311="Expense",-$O311,0))))</f>
        <v/>
      </c>
      <c r="R311" s="381" t="n"/>
      <c r="S311" s="381" t="n"/>
      <c r="T311" s="381" t="n"/>
      <c r="U311" s="381" t="n"/>
    </row>
    <row r="312" ht="15" customHeight="1" s="278">
      <c r="A312" s="399" t="str">
        <f>IF($B312="","","T"&amp;TEXT(ROW()-6,"0000"))</f>
        <v/>
      </c>
      <c r="B312" s="386" t="n"/>
      <c r="C312" s="399" t="str">
        <f>IF($B312="","",TEXT($B312,"YYYY-MM"))</f>
        <v/>
      </c>
      <c r="D312" s="400" t="str">
        <f>IF($B312="","",YEAR($B312))</f>
        <v/>
      </c>
      <c r="E312" s="391" t="n"/>
      <c r="F312" s="391" t="n"/>
      <c r="G312" s="391" t="n"/>
      <c r="H312" s="391" t="n"/>
      <c r="I312" s="391" t="n"/>
      <c r="J312" s="391" t="n"/>
      <c r="K312" s="391" t="n"/>
      <c r="L312" s="391" t="n"/>
      <c r="M312" s="391" t="n"/>
      <c r="N312" s="391" t="n"/>
      <c r="O312" s="392" t="n"/>
      <c r="P312" s="391" t="n"/>
      <c r="Q312" s="385" t="str">
        <f>IF($B312="","",IF($P312&lt;&gt;"AED",0,IF($F312="Income",$O312,IF($F312="Expense",-$O312,0))))</f>
        <v/>
      </c>
      <c r="R312" s="381" t="n"/>
      <c r="S312" s="381" t="n"/>
      <c r="T312" s="381" t="n"/>
      <c r="U312" s="381" t="n"/>
    </row>
    <row r="313" ht="15" customHeight="1" s="278">
      <c r="A313" s="399" t="str">
        <f>IF($B313="","","T"&amp;TEXT(ROW()-6,"0000"))</f>
        <v/>
      </c>
      <c r="B313" s="386" t="n"/>
      <c r="C313" s="399" t="str">
        <f>IF($B313="","",TEXT($B313,"YYYY-MM"))</f>
        <v/>
      </c>
      <c r="D313" s="400" t="str">
        <f>IF($B313="","",YEAR($B313))</f>
        <v/>
      </c>
      <c r="E313" s="391" t="n"/>
      <c r="F313" s="391" t="n"/>
      <c r="G313" s="391" t="n"/>
      <c r="H313" s="391" t="n"/>
      <c r="I313" s="391" t="n"/>
      <c r="J313" s="391" t="n"/>
      <c r="K313" s="391" t="n"/>
      <c r="L313" s="391" t="n"/>
      <c r="M313" s="391" t="n"/>
      <c r="N313" s="391" t="n"/>
      <c r="O313" s="392" t="n"/>
      <c r="P313" s="391" t="n"/>
      <c r="Q313" s="385" t="str">
        <f>IF($B313="","",IF($P313&lt;&gt;"AED",0,IF($F313="Income",$O313,IF($F313="Expense",-$O313,0))))</f>
        <v/>
      </c>
      <c r="R313" s="381" t="n"/>
      <c r="S313" s="381" t="n"/>
      <c r="T313" s="381" t="n"/>
      <c r="U313" s="381" t="n"/>
    </row>
    <row r="314" ht="15" customHeight="1" s="278">
      <c r="A314" s="399" t="str">
        <f>IF($B314="","","T"&amp;TEXT(ROW()-6,"0000"))</f>
        <v/>
      </c>
      <c r="B314" s="386" t="n"/>
      <c r="C314" s="399" t="str">
        <f>IF($B314="","",TEXT($B314,"YYYY-MM"))</f>
        <v/>
      </c>
      <c r="D314" s="400" t="str">
        <f>IF($B314="","",YEAR($B314))</f>
        <v/>
      </c>
      <c r="E314" s="391" t="n"/>
      <c r="F314" s="391" t="n"/>
      <c r="G314" s="391" t="n"/>
      <c r="H314" s="391" t="n"/>
      <c r="I314" s="391" t="n"/>
      <c r="J314" s="391" t="n"/>
      <c r="K314" s="391" t="n"/>
      <c r="L314" s="391" t="n"/>
      <c r="M314" s="391" t="n"/>
      <c r="N314" s="391" t="n"/>
      <c r="O314" s="392" t="n"/>
      <c r="P314" s="391" t="n"/>
      <c r="Q314" s="385" t="str">
        <f>IF($B314="","",IF($P314&lt;&gt;"AED",0,IF($F314="Income",$O314,IF($F314="Expense",-$O314,0))))</f>
        <v/>
      </c>
      <c r="R314" s="381" t="n"/>
      <c r="S314" s="381" t="n"/>
      <c r="T314" s="381" t="n"/>
      <c r="U314" s="381" t="n"/>
    </row>
    <row r="315" ht="15" customHeight="1" s="278">
      <c r="A315" s="399" t="str">
        <f>IF($B315="","","T"&amp;TEXT(ROW()-6,"0000"))</f>
        <v/>
      </c>
      <c r="B315" s="386" t="n"/>
      <c r="C315" s="399" t="str">
        <f>IF($B315="","",TEXT($B315,"YYYY-MM"))</f>
        <v/>
      </c>
      <c r="D315" s="400" t="str">
        <f>IF($B315="","",YEAR($B315))</f>
        <v/>
      </c>
      <c r="E315" s="391" t="n"/>
      <c r="F315" s="391" t="n"/>
      <c r="G315" s="391" t="n"/>
      <c r="H315" s="391" t="n"/>
      <c r="I315" s="391" t="n"/>
      <c r="J315" s="391" t="n"/>
      <c r="K315" s="391" t="n"/>
      <c r="L315" s="391" t="n"/>
      <c r="M315" s="391" t="n"/>
      <c r="N315" s="391" t="n"/>
      <c r="O315" s="392" t="n"/>
      <c r="P315" s="391" t="n"/>
      <c r="Q315" s="385" t="str">
        <f>IF($B315="","",IF($P315&lt;&gt;"AED",0,IF($F315="Income",$O315,IF($F315="Expense",-$O315,0))))</f>
        <v/>
      </c>
      <c r="R315" s="381" t="n"/>
      <c r="S315" s="381" t="n"/>
      <c r="T315" s="381" t="n"/>
      <c r="U315" s="381" t="n"/>
    </row>
    <row r="316" ht="15" customHeight="1" s="278">
      <c r="A316" s="399" t="str">
        <f>IF($B316="","","T"&amp;TEXT(ROW()-6,"0000"))</f>
        <v/>
      </c>
      <c r="B316" s="386" t="n"/>
      <c r="C316" s="399" t="str">
        <f>IF($B316="","",TEXT($B316,"YYYY-MM"))</f>
        <v/>
      </c>
      <c r="D316" s="400" t="str">
        <f>IF($B316="","",YEAR($B316))</f>
        <v/>
      </c>
      <c r="E316" s="391" t="n"/>
      <c r="F316" s="391" t="n"/>
      <c r="G316" s="391" t="n"/>
      <c r="H316" s="391" t="n"/>
      <c r="I316" s="391" t="n"/>
      <c r="J316" s="391" t="n"/>
      <c r="K316" s="391" t="n"/>
      <c r="L316" s="391" t="n"/>
      <c r="M316" s="391" t="n"/>
      <c r="N316" s="391" t="n"/>
      <c r="O316" s="392" t="n"/>
      <c r="P316" s="391" t="n"/>
      <c r="Q316" s="385" t="str">
        <f>IF($B316="","",IF($P316&lt;&gt;"AED",0,IF($F316="Income",$O316,IF($F316="Expense",-$O316,0))))</f>
        <v/>
      </c>
      <c r="R316" s="381" t="n"/>
      <c r="S316" s="381" t="n"/>
      <c r="T316" s="381" t="n"/>
      <c r="U316" s="381" t="n"/>
    </row>
    <row r="317" ht="15" customHeight="1" s="278">
      <c r="A317" s="399" t="str">
        <f>IF($B317="","","T"&amp;TEXT(ROW()-6,"0000"))</f>
        <v/>
      </c>
      <c r="B317" s="386" t="n"/>
      <c r="C317" s="399" t="str">
        <f>IF($B317="","",TEXT($B317,"YYYY-MM"))</f>
        <v/>
      </c>
      <c r="D317" s="400" t="str">
        <f>IF($B317="","",YEAR($B317))</f>
        <v/>
      </c>
      <c r="E317" s="391" t="n"/>
      <c r="F317" s="391" t="n"/>
      <c r="G317" s="391" t="n"/>
      <c r="H317" s="391" t="n"/>
      <c r="I317" s="391" t="n"/>
      <c r="J317" s="391" t="n"/>
      <c r="K317" s="391" t="n"/>
      <c r="L317" s="391" t="n"/>
      <c r="M317" s="391" t="n"/>
      <c r="N317" s="391" t="n"/>
      <c r="O317" s="392" t="n"/>
      <c r="P317" s="391" t="n"/>
      <c r="Q317" s="385" t="str">
        <f>IF($B317="","",IF($P317&lt;&gt;"AED",0,IF($F317="Income",$O317,IF($F317="Expense",-$O317,0))))</f>
        <v/>
      </c>
      <c r="R317" s="381" t="n"/>
      <c r="S317" s="381" t="n"/>
      <c r="T317" s="381" t="n"/>
      <c r="U317" s="381" t="n"/>
    </row>
    <row r="318" ht="15" customHeight="1" s="278">
      <c r="A318" s="399" t="str">
        <f>IF($B318="","","T"&amp;TEXT(ROW()-6,"0000"))</f>
        <v/>
      </c>
      <c r="B318" s="386" t="n"/>
      <c r="C318" s="399" t="str">
        <f>IF($B318="","",TEXT($B318,"YYYY-MM"))</f>
        <v/>
      </c>
      <c r="D318" s="400" t="str">
        <f>IF($B318="","",YEAR($B318))</f>
        <v/>
      </c>
      <c r="E318" s="391" t="n"/>
      <c r="F318" s="391" t="n"/>
      <c r="G318" s="391" t="n"/>
      <c r="H318" s="391" t="n"/>
      <c r="I318" s="391" t="n"/>
      <c r="J318" s="391" t="n"/>
      <c r="K318" s="391" t="n"/>
      <c r="L318" s="391" t="n"/>
      <c r="M318" s="391" t="n"/>
      <c r="N318" s="391" t="n"/>
      <c r="O318" s="392" t="n"/>
      <c r="P318" s="391" t="n"/>
      <c r="Q318" s="385" t="str">
        <f>IF($B318="","",IF($P318&lt;&gt;"AED",0,IF($F318="Income",$O318,IF($F318="Expense",-$O318,0))))</f>
        <v/>
      </c>
      <c r="R318" s="381" t="n"/>
      <c r="S318" s="381" t="n"/>
      <c r="T318" s="381" t="n"/>
      <c r="U318" s="381" t="n"/>
    </row>
    <row r="319" ht="15" customHeight="1" s="278">
      <c r="A319" s="399" t="str">
        <f>IF($B319="","","T"&amp;TEXT(ROW()-6,"0000"))</f>
        <v/>
      </c>
      <c r="B319" s="386" t="n"/>
      <c r="C319" s="399" t="str">
        <f>IF($B319="","",TEXT($B319,"YYYY-MM"))</f>
        <v/>
      </c>
      <c r="D319" s="400" t="str">
        <f>IF($B319="","",YEAR($B319))</f>
        <v/>
      </c>
      <c r="E319" s="391" t="n"/>
      <c r="F319" s="391" t="n"/>
      <c r="G319" s="391" t="n"/>
      <c r="H319" s="391" t="n"/>
      <c r="I319" s="391" t="n"/>
      <c r="J319" s="391" t="n"/>
      <c r="K319" s="391" t="n"/>
      <c r="L319" s="391" t="n"/>
      <c r="M319" s="391" t="n"/>
      <c r="N319" s="391" t="n"/>
      <c r="O319" s="392" t="n"/>
      <c r="P319" s="391" t="n"/>
      <c r="Q319" s="385" t="str">
        <f>IF($B319="","",IF($P319&lt;&gt;"AED",0,IF($F319="Income",$O319,IF($F319="Expense",-$O319,0))))</f>
        <v/>
      </c>
      <c r="R319" s="381" t="n"/>
      <c r="S319" s="381" t="n"/>
      <c r="T319" s="381" t="n"/>
      <c r="U319" s="381" t="n"/>
    </row>
    <row r="320" ht="15" customHeight="1" s="278">
      <c r="A320" s="399" t="str">
        <f>IF($B320="","","T"&amp;TEXT(ROW()-6,"0000"))</f>
        <v/>
      </c>
      <c r="B320" s="386" t="n"/>
      <c r="C320" s="399" t="str">
        <f>IF($B320="","",TEXT($B320,"YYYY-MM"))</f>
        <v/>
      </c>
      <c r="D320" s="400" t="str">
        <f>IF($B320="","",YEAR($B320))</f>
        <v/>
      </c>
      <c r="E320" s="391" t="n"/>
      <c r="F320" s="391" t="n"/>
      <c r="G320" s="391" t="n"/>
      <c r="H320" s="391" t="n"/>
      <c r="I320" s="391" t="n"/>
      <c r="J320" s="391" t="n"/>
      <c r="K320" s="391" t="n"/>
      <c r="L320" s="391" t="n"/>
      <c r="M320" s="391" t="n"/>
      <c r="N320" s="391" t="n"/>
      <c r="O320" s="392" t="n"/>
      <c r="P320" s="391" t="n"/>
      <c r="Q320" s="385" t="str">
        <f>IF($B320="","",IF($P320&lt;&gt;"AED",0,IF($F320="Income",$O320,IF($F320="Expense",-$O320,0))))</f>
        <v/>
      </c>
      <c r="R320" s="381" t="n"/>
      <c r="S320" s="381" t="n"/>
      <c r="T320" s="381" t="n"/>
      <c r="U320" s="381" t="n"/>
    </row>
    <row r="321" ht="15" customHeight="1" s="278">
      <c r="A321" s="399" t="str">
        <f>IF($B321="","","T"&amp;TEXT(ROW()-6,"0000"))</f>
        <v/>
      </c>
      <c r="B321" s="386" t="n"/>
      <c r="C321" s="399" t="str">
        <f>IF($B321="","",TEXT($B321,"YYYY-MM"))</f>
        <v/>
      </c>
      <c r="D321" s="400" t="str">
        <f>IF($B321="","",YEAR($B321))</f>
        <v/>
      </c>
      <c r="E321" s="391" t="n"/>
      <c r="F321" s="391" t="n"/>
      <c r="G321" s="391" t="n"/>
      <c r="H321" s="391" t="n"/>
      <c r="I321" s="391" t="n"/>
      <c r="J321" s="391" t="n"/>
      <c r="K321" s="391" t="n"/>
      <c r="L321" s="391" t="n"/>
      <c r="M321" s="391" t="n"/>
      <c r="N321" s="391" t="n"/>
      <c r="O321" s="392" t="n"/>
      <c r="P321" s="391" t="n"/>
      <c r="Q321" s="385" t="str">
        <f>IF($B321="","",IF($P321&lt;&gt;"AED",0,IF($F321="Income",$O321,IF($F321="Expense",-$O321,0))))</f>
        <v/>
      </c>
      <c r="R321" s="381" t="n"/>
      <c r="S321" s="381" t="n"/>
      <c r="T321" s="381" t="n"/>
      <c r="U321" s="381" t="n"/>
    </row>
    <row r="322" ht="15" customHeight="1" s="278">
      <c r="A322" s="399" t="str">
        <f>IF($B322="","","T"&amp;TEXT(ROW()-6,"0000"))</f>
        <v/>
      </c>
      <c r="B322" s="386" t="n"/>
      <c r="C322" s="399" t="str">
        <f>IF($B322="","",TEXT($B322,"YYYY-MM"))</f>
        <v/>
      </c>
      <c r="D322" s="400" t="str">
        <f>IF($B322="","",YEAR($B322))</f>
        <v/>
      </c>
      <c r="E322" s="391" t="n"/>
      <c r="F322" s="391" t="n"/>
      <c r="G322" s="391" t="n"/>
      <c r="H322" s="391" t="n"/>
      <c r="I322" s="391" t="n"/>
      <c r="J322" s="391" t="n"/>
      <c r="K322" s="391" t="n"/>
      <c r="L322" s="391" t="n"/>
      <c r="M322" s="391" t="n"/>
      <c r="N322" s="391" t="n"/>
      <c r="O322" s="392" t="n"/>
      <c r="P322" s="391" t="n"/>
      <c r="Q322" s="385" t="str">
        <f>IF($B322="","",IF($P322&lt;&gt;"AED",0,IF($F322="Income",$O322,IF($F322="Expense",-$O322,0))))</f>
        <v/>
      </c>
      <c r="R322" s="381" t="n"/>
      <c r="S322" s="381" t="n"/>
      <c r="T322" s="381" t="n"/>
      <c r="U322" s="381" t="n"/>
    </row>
    <row r="323" ht="15" customHeight="1" s="278">
      <c r="A323" s="399" t="str">
        <f>IF($B323="","","T"&amp;TEXT(ROW()-6,"0000"))</f>
        <v/>
      </c>
      <c r="B323" s="386" t="n"/>
      <c r="C323" s="399" t="str">
        <f>IF($B323="","",TEXT($B323,"YYYY-MM"))</f>
        <v/>
      </c>
      <c r="D323" s="400" t="str">
        <f>IF($B323="","",YEAR($B323))</f>
        <v/>
      </c>
      <c r="E323" s="391" t="n"/>
      <c r="F323" s="391" t="n"/>
      <c r="G323" s="391" t="n"/>
      <c r="H323" s="391" t="n"/>
      <c r="I323" s="391" t="n"/>
      <c r="J323" s="391" t="n"/>
      <c r="K323" s="391" t="n"/>
      <c r="L323" s="391" t="n"/>
      <c r="M323" s="391" t="n"/>
      <c r="N323" s="391" t="n"/>
      <c r="O323" s="392" t="n"/>
      <c r="P323" s="391" t="n"/>
      <c r="Q323" s="385" t="str">
        <f>IF($B323="","",IF($P323&lt;&gt;"AED",0,IF($F323="Income",$O323,IF($F323="Expense",-$O323,0))))</f>
        <v/>
      </c>
      <c r="R323" s="381" t="n"/>
      <c r="S323" s="381" t="n"/>
      <c r="T323" s="381" t="n"/>
      <c r="U323" s="381" t="n"/>
    </row>
    <row r="324" ht="15" customHeight="1" s="278">
      <c r="A324" s="399" t="str">
        <f>IF($B324="","","T"&amp;TEXT(ROW()-6,"0000"))</f>
        <v/>
      </c>
      <c r="B324" s="386" t="n"/>
      <c r="C324" s="399" t="str">
        <f>IF($B324="","",TEXT($B324,"YYYY-MM"))</f>
        <v/>
      </c>
      <c r="D324" s="400" t="str">
        <f>IF($B324="","",YEAR($B324))</f>
        <v/>
      </c>
      <c r="E324" s="391" t="n"/>
      <c r="F324" s="391" t="n"/>
      <c r="G324" s="391" t="n"/>
      <c r="H324" s="391" t="n"/>
      <c r="I324" s="391" t="n"/>
      <c r="J324" s="391" t="n"/>
      <c r="K324" s="391" t="n"/>
      <c r="L324" s="391" t="n"/>
      <c r="M324" s="391" t="n"/>
      <c r="N324" s="391" t="n"/>
      <c r="O324" s="392" t="n"/>
      <c r="P324" s="391" t="n"/>
      <c r="Q324" s="385" t="str">
        <f>IF($B324="","",IF($P324&lt;&gt;"AED",0,IF($F324="Income",$O324,IF($F324="Expense",-$O324,0))))</f>
        <v/>
      </c>
      <c r="R324" s="381" t="n"/>
      <c r="S324" s="381" t="n"/>
      <c r="T324" s="381" t="n"/>
      <c r="U324" s="381" t="n"/>
    </row>
    <row r="325" ht="15" customHeight="1" s="278">
      <c r="A325" s="399" t="str">
        <f>IF($B325="","","T"&amp;TEXT(ROW()-6,"0000"))</f>
        <v/>
      </c>
      <c r="B325" s="386" t="n"/>
      <c r="C325" s="399" t="str">
        <f>IF($B325="","",TEXT($B325,"YYYY-MM"))</f>
        <v/>
      </c>
      <c r="D325" s="400" t="str">
        <f>IF($B325="","",YEAR($B325))</f>
        <v/>
      </c>
      <c r="E325" s="391" t="n"/>
      <c r="F325" s="391" t="n"/>
      <c r="G325" s="391" t="n"/>
      <c r="H325" s="391" t="n"/>
      <c r="I325" s="391" t="n"/>
      <c r="J325" s="391" t="n"/>
      <c r="K325" s="391" t="n"/>
      <c r="L325" s="391" t="n"/>
      <c r="M325" s="391" t="n"/>
      <c r="N325" s="391" t="n"/>
      <c r="O325" s="392" t="n"/>
      <c r="P325" s="391" t="n"/>
      <c r="Q325" s="385" t="str">
        <f>IF($B325="","",IF($P325&lt;&gt;"AED",0,IF($F325="Income",$O325,IF($F325="Expense",-$O325,0))))</f>
        <v/>
      </c>
      <c r="R325" s="381" t="n"/>
      <c r="S325" s="381" t="n"/>
      <c r="T325" s="381" t="n"/>
      <c r="U325" s="381" t="n"/>
    </row>
    <row r="326" ht="15" customHeight="1" s="278">
      <c r="A326" s="399" t="str">
        <f>IF($B326="","","T"&amp;TEXT(ROW()-6,"0000"))</f>
        <v/>
      </c>
      <c r="B326" s="386" t="n"/>
      <c r="C326" s="399" t="str">
        <f>IF($B326="","",TEXT($B326,"YYYY-MM"))</f>
        <v/>
      </c>
      <c r="D326" s="400" t="str">
        <f>IF($B326="","",YEAR($B326))</f>
        <v/>
      </c>
      <c r="E326" s="391" t="n"/>
      <c r="F326" s="391" t="n"/>
      <c r="G326" s="391" t="n"/>
      <c r="H326" s="391" t="n"/>
      <c r="I326" s="391" t="n"/>
      <c r="J326" s="391" t="n"/>
      <c r="K326" s="391" t="n"/>
      <c r="L326" s="391" t="n"/>
      <c r="M326" s="391" t="n"/>
      <c r="N326" s="391" t="n"/>
      <c r="O326" s="392" t="n"/>
      <c r="P326" s="391" t="n"/>
      <c r="Q326" s="385" t="str">
        <f>IF($B326="","",IF($P326&lt;&gt;"AED",0,IF($F326="Income",$O326,IF($F326="Expense",-$O326,0))))</f>
        <v/>
      </c>
      <c r="R326" s="381" t="n"/>
      <c r="S326" s="381" t="n"/>
      <c r="T326" s="381" t="n"/>
      <c r="U326" s="381" t="n"/>
    </row>
    <row r="327" ht="15" customHeight="1" s="278">
      <c r="A327" s="399" t="str">
        <f>IF($B327="","","T"&amp;TEXT(ROW()-6,"0000"))</f>
        <v/>
      </c>
      <c r="B327" s="386" t="n"/>
      <c r="C327" s="399" t="str">
        <f>IF($B327="","",TEXT($B327,"YYYY-MM"))</f>
        <v/>
      </c>
      <c r="D327" s="400" t="str">
        <f>IF($B327="","",YEAR($B327))</f>
        <v/>
      </c>
      <c r="E327" s="391" t="n"/>
      <c r="F327" s="391" t="n"/>
      <c r="G327" s="391" t="n"/>
      <c r="H327" s="391" t="n"/>
      <c r="I327" s="391" t="n"/>
      <c r="J327" s="391" t="n"/>
      <c r="K327" s="391" t="n"/>
      <c r="L327" s="391" t="n"/>
      <c r="M327" s="391" t="n"/>
      <c r="N327" s="391" t="n"/>
      <c r="O327" s="392" t="n"/>
      <c r="P327" s="391" t="n"/>
      <c r="Q327" s="385" t="str">
        <f>IF($B327="","",IF($P327&lt;&gt;"AED",0,IF($F327="Income",$O327,IF($F327="Expense",-$O327,0))))</f>
        <v/>
      </c>
      <c r="R327" s="381" t="n"/>
      <c r="S327" s="381" t="n"/>
      <c r="T327" s="381" t="n"/>
      <c r="U327" s="381" t="n"/>
    </row>
    <row r="328" ht="15" customHeight="1" s="278">
      <c r="A328" s="399" t="str">
        <f>IF($B328="","","T"&amp;TEXT(ROW()-6,"0000"))</f>
        <v/>
      </c>
      <c r="B328" s="386" t="n"/>
      <c r="C328" s="399" t="str">
        <f>IF($B328="","",TEXT($B328,"YYYY-MM"))</f>
        <v/>
      </c>
      <c r="D328" s="400" t="str">
        <f>IF($B328="","",YEAR($B328))</f>
        <v/>
      </c>
      <c r="E328" s="391" t="n"/>
      <c r="F328" s="391" t="n"/>
      <c r="G328" s="391" t="n"/>
      <c r="H328" s="391" t="n"/>
      <c r="I328" s="391" t="n"/>
      <c r="J328" s="391" t="n"/>
      <c r="K328" s="391" t="n"/>
      <c r="L328" s="391" t="n"/>
      <c r="M328" s="391" t="n"/>
      <c r="N328" s="391" t="n"/>
      <c r="O328" s="392" t="n"/>
      <c r="P328" s="391" t="n"/>
      <c r="Q328" s="385" t="str">
        <f>IF($B328="","",IF($P328&lt;&gt;"AED",0,IF($F328="Income",$O328,IF($F328="Expense",-$O328,0))))</f>
        <v/>
      </c>
      <c r="R328" s="381" t="n"/>
      <c r="S328" s="381" t="n"/>
      <c r="T328" s="381" t="n"/>
      <c r="U328" s="381" t="n"/>
    </row>
    <row r="329" ht="15" customHeight="1" s="278">
      <c r="A329" s="399" t="str">
        <f>IF($B329="","","T"&amp;TEXT(ROW()-6,"0000"))</f>
        <v/>
      </c>
      <c r="B329" s="386" t="n"/>
      <c r="C329" s="399" t="str">
        <f>IF($B329="","",TEXT($B329,"YYYY-MM"))</f>
        <v/>
      </c>
      <c r="D329" s="400" t="str">
        <f>IF($B329="","",YEAR($B329))</f>
        <v/>
      </c>
      <c r="E329" s="391" t="n"/>
      <c r="F329" s="391" t="n"/>
      <c r="G329" s="391" t="n"/>
      <c r="H329" s="391" t="n"/>
      <c r="I329" s="391" t="n"/>
      <c r="J329" s="391" t="n"/>
      <c r="K329" s="391" t="n"/>
      <c r="L329" s="391" t="n"/>
      <c r="M329" s="391" t="n"/>
      <c r="N329" s="391" t="n"/>
      <c r="O329" s="392" t="n"/>
      <c r="P329" s="391" t="n"/>
      <c r="Q329" s="385" t="str">
        <f>IF($B329="","",IF($P329&lt;&gt;"AED",0,IF($F329="Income",$O329,IF($F329="Expense",-$O329,0))))</f>
        <v/>
      </c>
      <c r="R329" s="381" t="n"/>
      <c r="S329" s="381" t="n"/>
      <c r="T329" s="381" t="n"/>
      <c r="U329" s="381" t="n"/>
    </row>
    <row r="330" ht="15" customHeight="1" s="278">
      <c r="A330" s="399" t="str">
        <f>IF($B330="","","T"&amp;TEXT(ROW()-6,"0000"))</f>
        <v/>
      </c>
      <c r="B330" s="386" t="n"/>
      <c r="C330" s="399" t="str">
        <f>IF($B330="","",TEXT($B330,"YYYY-MM"))</f>
        <v/>
      </c>
      <c r="D330" s="400" t="str">
        <f>IF($B330="","",YEAR($B330))</f>
        <v/>
      </c>
      <c r="E330" s="391" t="n"/>
      <c r="F330" s="391" t="n"/>
      <c r="G330" s="391" t="n"/>
      <c r="H330" s="391" t="n"/>
      <c r="I330" s="391" t="n"/>
      <c r="J330" s="391" t="n"/>
      <c r="K330" s="391" t="n"/>
      <c r="L330" s="391" t="n"/>
      <c r="M330" s="391" t="n"/>
      <c r="N330" s="391" t="n"/>
      <c r="O330" s="392" t="n"/>
      <c r="P330" s="391" t="n"/>
      <c r="Q330" s="385" t="str">
        <f>IF($B330="","",IF($P330&lt;&gt;"AED",0,IF($F330="Income",$O330,IF($F330="Expense",-$O330,0))))</f>
        <v/>
      </c>
      <c r="R330" s="381" t="n"/>
      <c r="S330" s="381" t="n"/>
      <c r="T330" s="381" t="n"/>
      <c r="U330" s="381" t="n"/>
    </row>
    <row r="331" ht="15" customHeight="1" s="278">
      <c r="A331" s="399" t="str">
        <f>IF($B331="","","T"&amp;TEXT(ROW()-6,"0000"))</f>
        <v/>
      </c>
      <c r="B331" s="386" t="n"/>
      <c r="C331" s="399" t="str">
        <f>IF($B331="","",TEXT($B331,"YYYY-MM"))</f>
        <v/>
      </c>
      <c r="D331" s="400" t="str">
        <f>IF($B331="","",YEAR($B331))</f>
        <v/>
      </c>
      <c r="E331" s="391" t="n"/>
      <c r="F331" s="391" t="n"/>
      <c r="G331" s="391" t="n"/>
      <c r="H331" s="391" t="n"/>
      <c r="I331" s="391" t="n"/>
      <c r="J331" s="391" t="n"/>
      <c r="K331" s="391" t="n"/>
      <c r="L331" s="391" t="n"/>
      <c r="M331" s="391" t="n"/>
      <c r="N331" s="391" t="n"/>
      <c r="O331" s="392" t="n"/>
      <c r="P331" s="391" t="n"/>
      <c r="Q331" s="385" t="str">
        <f>IF($B331="","",IF($P331&lt;&gt;"AED",0,IF($F331="Income",$O331,IF($F331="Expense",-$O331,0))))</f>
        <v/>
      </c>
      <c r="R331" s="381" t="n"/>
      <c r="S331" s="381" t="n"/>
      <c r="T331" s="381" t="n"/>
      <c r="U331" s="381" t="n"/>
    </row>
    <row r="332" ht="15" customHeight="1" s="278">
      <c r="A332" s="399" t="str">
        <f>IF($B332="","","T"&amp;TEXT(ROW()-6,"0000"))</f>
        <v/>
      </c>
      <c r="B332" s="386" t="n"/>
      <c r="C332" s="399" t="str">
        <f>IF($B332="","",TEXT($B332,"YYYY-MM"))</f>
        <v/>
      </c>
      <c r="D332" s="400" t="str">
        <f>IF($B332="","",YEAR($B332))</f>
        <v/>
      </c>
      <c r="E332" s="391" t="n"/>
      <c r="F332" s="391" t="n"/>
      <c r="G332" s="391" t="n"/>
      <c r="H332" s="391" t="n"/>
      <c r="I332" s="391" t="n"/>
      <c r="J332" s="391" t="n"/>
      <c r="K332" s="391" t="n"/>
      <c r="L332" s="391" t="n"/>
      <c r="M332" s="391" t="n"/>
      <c r="N332" s="391" t="n"/>
      <c r="O332" s="392" t="n"/>
      <c r="P332" s="391" t="n"/>
      <c r="Q332" s="385" t="str">
        <f>IF($B332="","",IF($P332&lt;&gt;"AED",0,IF($F332="Income",$O332,IF($F332="Expense",-$O332,0))))</f>
        <v/>
      </c>
      <c r="R332" s="381" t="n"/>
      <c r="S332" s="381" t="n"/>
      <c r="T332" s="381" t="n"/>
      <c r="U332" s="381" t="n"/>
    </row>
    <row r="333" ht="15" customHeight="1" s="278">
      <c r="A333" s="399" t="str">
        <f>IF($B333="","","T"&amp;TEXT(ROW()-6,"0000"))</f>
        <v/>
      </c>
      <c r="B333" s="386" t="n"/>
      <c r="C333" s="399" t="str">
        <f>IF($B333="","",TEXT($B333,"YYYY-MM"))</f>
        <v/>
      </c>
      <c r="D333" s="400" t="str">
        <f>IF($B333="","",YEAR($B333))</f>
        <v/>
      </c>
      <c r="E333" s="391" t="n"/>
      <c r="F333" s="391" t="n"/>
      <c r="G333" s="391" t="n"/>
      <c r="H333" s="391" t="n"/>
      <c r="I333" s="391" t="n"/>
      <c r="J333" s="391" t="n"/>
      <c r="K333" s="391" t="n"/>
      <c r="L333" s="391" t="n"/>
      <c r="M333" s="391" t="n"/>
      <c r="N333" s="391" t="n"/>
      <c r="O333" s="392" t="n"/>
      <c r="P333" s="391" t="n"/>
      <c r="Q333" s="385" t="str">
        <f>IF($B333="","",IF($P333&lt;&gt;"AED",0,IF($F333="Income",$O333,IF($F333="Expense",-$O333,0))))</f>
        <v/>
      </c>
      <c r="R333" s="381" t="n"/>
      <c r="S333" s="381" t="n"/>
      <c r="T333" s="381" t="n"/>
      <c r="U333" s="381" t="n"/>
    </row>
    <row r="334" ht="15" customHeight="1" s="278">
      <c r="A334" s="399" t="str">
        <f>IF($B334="","","T"&amp;TEXT(ROW()-6,"0000"))</f>
        <v/>
      </c>
      <c r="B334" s="386" t="n"/>
      <c r="C334" s="399" t="str">
        <f>IF($B334="","",TEXT($B334,"YYYY-MM"))</f>
        <v/>
      </c>
      <c r="D334" s="400" t="str">
        <f>IF($B334="","",YEAR($B334))</f>
        <v/>
      </c>
      <c r="E334" s="391" t="n"/>
      <c r="F334" s="391" t="n"/>
      <c r="G334" s="391" t="n"/>
      <c r="H334" s="391" t="n"/>
      <c r="I334" s="391" t="n"/>
      <c r="J334" s="391" t="n"/>
      <c r="K334" s="391" t="n"/>
      <c r="L334" s="391" t="n"/>
      <c r="M334" s="391" t="n"/>
      <c r="N334" s="391" t="n"/>
      <c r="O334" s="392" t="n"/>
      <c r="P334" s="391" t="n"/>
      <c r="Q334" s="385" t="str">
        <f>IF($B334="","",IF($P334&lt;&gt;"AED",0,IF($F334="Income",$O334,IF($F334="Expense",-$O334,0))))</f>
        <v/>
      </c>
      <c r="R334" s="381" t="n"/>
      <c r="S334" s="381" t="n"/>
      <c r="T334" s="381" t="n"/>
      <c r="U334" s="381" t="n"/>
    </row>
    <row r="335" ht="15" customHeight="1" s="278">
      <c r="A335" s="399" t="str">
        <f>IF($B335="","","T"&amp;TEXT(ROW()-6,"0000"))</f>
        <v/>
      </c>
      <c r="B335" s="386" t="n"/>
      <c r="C335" s="399" t="str">
        <f>IF($B335="","",TEXT($B335,"YYYY-MM"))</f>
        <v/>
      </c>
      <c r="D335" s="400" t="str">
        <f>IF($B335="","",YEAR($B335))</f>
        <v/>
      </c>
      <c r="E335" s="391" t="n"/>
      <c r="F335" s="391" t="n"/>
      <c r="G335" s="391" t="n"/>
      <c r="H335" s="391" t="n"/>
      <c r="I335" s="391" t="n"/>
      <c r="J335" s="391" t="n"/>
      <c r="K335" s="391" t="n"/>
      <c r="L335" s="391" t="n"/>
      <c r="M335" s="391" t="n"/>
      <c r="N335" s="391" t="n"/>
      <c r="O335" s="392" t="n"/>
      <c r="P335" s="391" t="n"/>
      <c r="Q335" s="385" t="str">
        <f>IF($B335="","",IF($P335&lt;&gt;"AED",0,IF($F335="Income",$O335,IF($F335="Expense",-$O335,0))))</f>
        <v/>
      </c>
      <c r="R335" s="381" t="n"/>
      <c r="S335" s="381" t="n"/>
      <c r="T335" s="381" t="n"/>
      <c r="U335" s="381" t="n"/>
    </row>
    <row r="336" ht="15" customHeight="1" s="278">
      <c r="A336" s="399" t="str">
        <f>IF($B336="","","T"&amp;TEXT(ROW()-6,"0000"))</f>
        <v/>
      </c>
      <c r="B336" s="386" t="n"/>
      <c r="C336" s="399" t="str">
        <f>IF($B336="","",TEXT($B336,"YYYY-MM"))</f>
        <v/>
      </c>
      <c r="D336" s="400" t="str">
        <f>IF($B336="","",YEAR($B336))</f>
        <v/>
      </c>
      <c r="E336" s="391" t="n"/>
      <c r="F336" s="391" t="n"/>
      <c r="G336" s="391" t="n"/>
      <c r="H336" s="391" t="n"/>
      <c r="I336" s="391" t="n"/>
      <c r="J336" s="391" t="n"/>
      <c r="K336" s="391" t="n"/>
      <c r="L336" s="391" t="n"/>
      <c r="M336" s="391" t="n"/>
      <c r="N336" s="391" t="n"/>
      <c r="O336" s="392" t="n"/>
      <c r="P336" s="391" t="n"/>
      <c r="Q336" s="385" t="str">
        <f>IF($B336="","",IF($P336&lt;&gt;"AED",0,IF($F336="Income",$O336,IF($F336="Expense",-$O336,0))))</f>
        <v/>
      </c>
      <c r="R336" s="381" t="n"/>
      <c r="S336" s="381" t="n"/>
      <c r="T336" s="381" t="n"/>
      <c r="U336" s="381" t="n"/>
    </row>
    <row r="337" ht="15" customHeight="1" s="278">
      <c r="A337" s="399" t="str">
        <f>IF($B337="","","T"&amp;TEXT(ROW()-6,"0000"))</f>
        <v/>
      </c>
      <c r="B337" s="386" t="n"/>
      <c r="C337" s="399" t="str">
        <f>IF($B337="","",TEXT($B337,"YYYY-MM"))</f>
        <v/>
      </c>
      <c r="D337" s="400" t="str">
        <f>IF($B337="","",YEAR($B337))</f>
        <v/>
      </c>
      <c r="E337" s="391" t="n"/>
      <c r="F337" s="391" t="n"/>
      <c r="G337" s="391" t="n"/>
      <c r="H337" s="391" t="n"/>
      <c r="I337" s="391" t="n"/>
      <c r="J337" s="391" t="n"/>
      <c r="K337" s="391" t="n"/>
      <c r="L337" s="391" t="n"/>
      <c r="M337" s="391" t="n"/>
      <c r="N337" s="391" t="n"/>
      <c r="O337" s="392" t="n"/>
      <c r="P337" s="391" t="n"/>
      <c r="Q337" s="385" t="str">
        <f>IF($B337="","",IF($P337&lt;&gt;"AED",0,IF($F337="Income",$O337,IF($F337="Expense",-$O337,0))))</f>
        <v/>
      </c>
      <c r="R337" s="381" t="n"/>
      <c r="S337" s="381" t="n"/>
      <c r="T337" s="381" t="n"/>
      <c r="U337" s="381" t="n"/>
    </row>
    <row r="338" ht="15" customHeight="1" s="278">
      <c r="A338" s="399" t="str">
        <f>IF($B338="","","T"&amp;TEXT(ROW()-6,"0000"))</f>
        <v/>
      </c>
      <c r="B338" s="386" t="n"/>
      <c r="C338" s="399" t="str">
        <f>IF($B338="","",TEXT($B338,"YYYY-MM"))</f>
        <v/>
      </c>
      <c r="D338" s="400" t="str">
        <f>IF($B338="","",YEAR($B338))</f>
        <v/>
      </c>
      <c r="E338" s="391" t="n"/>
      <c r="F338" s="391" t="n"/>
      <c r="G338" s="391" t="n"/>
      <c r="H338" s="391" t="n"/>
      <c r="I338" s="391" t="n"/>
      <c r="J338" s="391" t="n"/>
      <c r="K338" s="391" t="n"/>
      <c r="L338" s="391" t="n"/>
      <c r="M338" s="391" t="n"/>
      <c r="N338" s="391" t="n"/>
      <c r="O338" s="392" t="n"/>
      <c r="P338" s="391" t="n"/>
      <c r="Q338" s="385" t="str">
        <f>IF($B338="","",IF($P338&lt;&gt;"AED",0,IF($F338="Income",$O338,IF($F338="Expense",-$O338,0))))</f>
        <v/>
      </c>
      <c r="R338" s="381" t="n"/>
      <c r="S338" s="381" t="n"/>
      <c r="T338" s="381" t="n"/>
      <c r="U338" s="381" t="n"/>
    </row>
    <row r="339" ht="15" customHeight="1" s="278">
      <c r="A339" s="399" t="str">
        <f>IF($B339="","","T"&amp;TEXT(ROW()-6,"0000"))</f>
        <v/>
      </c>
      <c r="B339" s="386" t="n"/>
      <c r="C339" s="399" t="str">
        <f>IF($B339="","",TEXT($B339,"YYYY-MM"))</f>
        <v/>
      </c>
      <c r="D339" s="400" t="str">
        <f>IF($B339="","",YEAR($B339))</f>
        <v/>
      </c>
      <c r="E339" s="391" t="n"/>
      <c r="F339" s="391" t="n"/>
      <c r="G339" s="391" t="n"/>
      <c r="H339" s="391" t="n"/>
      <c r="I339" s="391" t="n"/>
      <c r="J339" s="391" t="n"/>
      <c r="K339" s="391" t="n"/>
      <c r="L339" s="391" t="n"/>
      <c r="M339" s="391" t="n"/>
      <c r="N339" s="391" t="n"/>
      <c r="O339" s="392" t="n"/>
      <c r="P339" s="391" t="n"/>
      <c r="Q339" s="385" t="str">
        <f>IF($B339="","",IF($P339&lt;&gt;"AED",0,IF($F339="Income",$O339,IF($F339="Expense",-$O339,0))))</f>
        <v/>
      </c>
      <c r="R339" s="381" t="n"/>
      <c r="S339" s="381" t="n"/>
      <c r="T339" s="381" t="n"/>
      <c r="U339" s="381" t="n"/>
    </row>
    <row r="340" ht="15" customHeight="1" s="278">
      <c r="A340" s="399" t="str">
        <f>IF($B340="","","T"&amp;TEXT(ROW()-6,"0000"))</f>
        <v/>
      </c>
      <c r="B340" s="386" t="n"/>
      <c r="C340" s="399" t="str">
        <f>IF($B340="","",TEXT($B340,"YYYY-MM"))</f>
        <v/>
      </c>
      <c r="D340" s="400" t="str">
        <f>IF($B340="","",YEAR($B340))</f>
        <v/>
      </c>
      <c r="E340" s="391" t="n"/>
      <c r="F340" s="391" t="n"/>
      <c r="G340" s="391" t="n"/>
      <c r="H340" s="391" t="n"/>
      <c r="I340" s="391" t="n"/>
      <c r="J340" s="391" t="n"/>
      <c r="K340" s="391" t="n"/>
      <c r="L340" s="391" t="n"/>
      <c r="M340" s="391" t="n"/>
      <c r="N340" s="391" t="n"/>
      <c r="O340" s="392" t="n"/>
      <c r="P340" s="391" t="n"/>
      <c r="Q340" s="385" t="str">
        <f>IF($B340="","",IF($P340&lt;&gt;"AED",0,IF($F340="Income",$O340,IF($F340="Expense",-$O340,0))))</f>
        <v/>
      </c>
      <c r="R340" s="381" t="n"/>
      <c r="S340" s="381" t="n"/>
      <c r="T340" s="381" t="n"/>
      <c r="U340" s="381" t="n"/>
    </row>
    <row r="341" ht="15" customHeight="1" s="278">
      <c r="A341" s="399" t="str">
        <f>IF($B341="","","T"&amp;TEXT(ROW()-6,"0000"))</f>
        <v/>
      </c>
      <c r="B341" s="386" t="n"/>
      <c r="C341" s="399" t="str">
        <f>IF($B341="","",TEXT($B341,"YYYY-MM"))</f>
        <v/>
      </c>
      <c r="D341" s="400" t="str">
        <f>IF($B341="","",YEAR($B341))</f>
        <v/>
      </c>
      <c r="E341" s="391" t="n"/>
      <c r="F341" s="391" t="n"/>
      <c r="G341" s="391" t="n"/>
      <c r="H341" s="391" t="n"/>
      <c r="I341" s="391" t="n"/>
      <c r="J341" s="391" t="n"/>
      <c r="K341" s="391" t="n"/>
      <c r="L341" s="391" t="n"/>
      <c r="M341" s="391" t="n"/>
      <c r="N341" s="391" t="n"/>
      <c r="O341" s="392" t="n"/>
      <c r="P341" s="391" t="n"/>
      <c r="Q341" s="385" t="str">
        <f>IF($B341="","",IF($P341&lt;&gt;"AED",0,IF($F341="Income",$O341,IF($F341="Expense",-$O341,0))))</f>
        <v/>
      </c>
      <c r="R341" s="381" t="n"/>
      <c r="S341" s="381" t="n"/>
      <c r="T341" s="381" t="n"/>
      <c r="U341" s="381" t="n"/>
    </row>
    <row r="342" ht="15" customHeight="1" s="278">
      <c r="A342" s="399" t="str">
        <f>IF($B342="","","T"&amp;TEXT(ROW()-6,"0000"))</f>
        <v/>
      </c>
      <c r="B342" s="386" t="n"/>
      <c r="C342" s="399" t="str">
        <f>IF($B342="","",TEXT($B342,"YYYY-MM"))</f>
        <v/>
      </c>
      <c r="D342" s="400" t="str">
        <f>IF($B342="","",YEAR($B342))</f>
        <v/>
      </c>
      <c r="E342" s="391" t="n"/>
      <c r="F342" s="391" t="n"/>
      <c r="G342" s="391" t="n"/>
      <c r="H342" s="391" t="n"/>
      <c r="I342" s="391" t="n"/>
      <c r="J342" s="391" t="n"/>
      <c r="K342" s="391" t="n"/>
      <c r="L342" s="391" t="n"/>
      <c r="M342" s="391" t="n"/>
      <c r="N342" s="391" t="n"/>
      <c r="O342" s="392" t="n"/>
      <c r="P342" s="391" t="n"/>
      <c r="Q342" s="385" t="str">
        <f>IF($B342="","",IF($P342&lt;&gt;"AED",0,IF($F342="Income",$O342,IF($F342="Expense",-$O342,0))))</f>
        <v/>
      </c>
      <c r="R342" s="381" t="n"/>
      <c r="S342" s="381" t="n"/>
      <c r="T342" s="381" t="n"/>
      <c r="U342" s="381" t="n"/>
    </row>
    <row r="343" ht="15" customHeight="1" s="278">
      <c r="A343" s="399" t="str">
        <f>IF($B343="","","T"&amp;TEXT(ROW()-6,"0000"))</f>
        <v/>
      </c>
      <c r="B343" s="386" t="n"/>
      <c r="C343" s="399" t="str">
        <f>IF($B343="","",TEXT($B343,"YYYY-MM"))</f>
        <v/>
      </c>
      <c r="D343" s="400" t="str">
        <f>IF($B343="","",YEAR($B343))</f>
        <v/>
      </c>
      <c r="E343" s="391" t="n"/>
      <c r="F343" s="391" t="n"/>
      <c r="G343" s="391" t="n"/>
      <c r="H343" s="391" t="n"/>
      <c r="I343" s="391" t="n"/>
      <c r="J343" s="391" t="n"/>
      <c r="K343" s="391" t="n"/>
      <c r="L343" s="391" t="n"/>
      <c r="M343" s="391" t="n"/>
      <c r="N343" s="391" t="n"/>
      <c r="O343" s="392" t="n"/>
      <c r="P343" s="391" t="n"/>
      <c r="Q343" s="385" t="str">
        <f>IF($B343="","",IF($P343&lt;&gt;"AED",0,IF($F343="Income",$O343,IF($F343="Expense",-$O343,0))))</f>
        <v/>
      </c>
      <c r="R343" s="381" t="n"/>
      <c r="S343" s="381" t="n"/>
      <c r="T343" s="381" t="n"/>
      <c r="U343" s="381" t="n"/>
    </row>
    <row r="344" ht="15" customHeight="1" s="278">
      <c r="A344" s="399" t="str">
        <f>IF($B344="","","T"&amp;TEXT(ROW()-6,"0000"))</f>
        <v/>
      </c>
      <c r="B344" s="386" t="n"/>
      <c r="C344" s="399" t="str">
        <f>IF($B344="","",TEXT($B344,"YYYY-MM"))</f>
        <v/>
      </c>
      <c r="D344" s="400" t="str">
        <f>IF($B344="","",YEAR($B344))</f>
        <v/>
      </c>
      <c r="E344" s="391" t="n"/>
      <c r="F344" s="391" t="n"/>
      <c r="G344" s="391" t="n"/>
      <c r="H344" s="391" t="n"/>
      <c r="I344" s="391" t="n"/>
      <c r="J344" s="391" t="n"/>
      <c r="K344" s="391" t="n"/>
      <c r="L344" s="391" t="n"/>
      <c r="M344" s="391" t="n"/>
      <c r="N344" s="391" t="n"/>
      <c r="O344" s="392" t="n"/>
      <c r="P344" s="391" t="n"/>
      <c r="Q344" s="385" t="str">
        <f>IF($B344="","",IF($P344&lt;&gt;"AED",0,IF($F344="Income",$O344,IF($F344="Expense",-$O344,0))))</f>
        <v/>
      </c>
      <c r="R344" s="381" t="n"/>
      <c r="S344" s="381" t="n"/>
      <c r="T344" s="381" t="n"/>
      <c r="U344" s="381" t="n"/>
    </row>
    <row r="345" ht="15" customHeight="1" s="278">
      <c r="A345" s="399" t="str">
        <f>IF($B345="","","T"&amp;TEXT(ROW()-6,"0000"))</f>
        <v/>
      </c>
      <c r="B345" s="386" t="n"/>
      <c r="C345" s="399" t="str">
        <f>IF($B345="","",TEXT($B345,"YYYY-MM"))</f>
        <v/>
      </c>
      <c r="D345" s="400" t="str">
        <f>IF($B345="","",YEAR($B345))</f>
        <v/>
      </c>
      <c r="E345" s="391" t="n"/>
      <c r="F345" s="391" t="n"/>
      <c r="G345" s="391" t="n"/>
      <c r="H345" s="391" t="n"/>
      <c r="I345" s="391" t="n"/>
      <c r="J345" s="391" t="n"/>
      <c r="K345" s="391" t="n"/>
      <c r="L345" s="391" t="n"/>
      <c r="M345" s="391" t="n"/>
      <c r="N345" s="391" t="n"/>
      <c r="O345" s="392" t="n"/>
      <c r="P345" s="391" t="n"/>
      <c r="Q345" s="385" t="str">
        <f>IF($B345="","",IF($P345&lt;&gt;"AED",0,IF($F345="Income",$O345,IF($F345="Expense",-$O345,0))))</f>
        <v/>
      </c>
      <c r="R345" s="381" t="n"/>
      <c r="S345" s="381" t="n"/>
      <c r="T345" s="381" t="n"/>
      <c r="U345" s="381" t="n"/>
    </row>
    <row r="346" ht="15" customHeight="1" s="278">
      <c r="A346" s="399" t="str">
        <f>IF($B346="","","T"&amp;TEXT(ROW()-6,"0000"))</f>
        <v/>
      </c>
      <c r="B346" s="386" t="n"/>
      <c r="C346" s="399" t="str">
        <f>IF($B346="","",TEXT($B346,"YYYY-MM"))</f>
        <v/>
      </c>
      <c r="D346" s="400" t="str">
        <f>IF($B346="","",YEAR($B346))</f>
        <v/>
      </c>
      <c r="E346" s="391" t="n"/>
      <c r="F346" s="391" t="n"/>
      <c r="G346" s="391" t="n"/>
      <c r="H346" s="391" t="n"/>
      <c r="I346" s="391" t="n"/>
      <c r="J346" s="391" t="n"/>
      <c r="K346" s="391" t="n"/>
      <c r="L346" s="391" t="n"/>
      <c r="M346" s="391" t="n"/>
      <c r="N346" s="391" t="n"/>
      <c r="O346" s="392" t="n"/>
      <c r="P346" s="391" t="n"/>
      <c r="Q346" s="385" t="str">
        <f>IF($B346="","",IF($P346&lt;&gt;"AED",0,IF($F346="Income",$O346,IF($F346="Expense",-$O346,0))))</f>
        <v/>
      </c>
      <c r="R346" s="381" t="n"/>
      <c r="S346" s="381" t="n"/>
      <c r="T346" s="381" t="n"/>
      <c r="U346" s="381" t="n"/>
    </row>
    <row r="347" ht="15" customHeight="1" s="278">
      <c r="A347" s="399" t="str">
        <f>IF($B347="","","T"&amp;TEXT(ROW()-6,"0000"))</f>
        <v/>
      </c>
      <c r="B347" s="386" t="n"/>
      <c r="C347" s="399" t="str">
        <f>IF($B347="","",TEXT($B347,"YYYY-MM"))</f>
        <v/>
      </c>
      <c r="D347" s="400" t="str">
        <f>IF($B347="","",YEAR($B347))</f>
        <v/>
      </c>
      <c r="E347" s="391" t="n"/>
      <c r="F347" s="391" t="n"/>
      <c r="G347" s="391" t="n"/>
      <c r="H347" s="391" t="n"/>
      <c r="I347" s="391" t="n"/>
      <c r="J347" s="391" t="n"/>
      <c r="K347" s="391" t="n"/>
      <c r="L347" s="391" t="n"/>
      <c r="M347" s="391" t="n"/>
      <c r="N347" s="391" t="n"/>
      <c r="O347" s="392" t="n"/>
      <c r="P347" s="391" t="n"/>
      <c r="Q347" s="385" t="str">
        <f>IF($B347="","",IF($P347&lt;&gt;"AED",0,IF($F347="Income",$O347,IF($F347="Expense",-$O347,0))))</f>
        <v/>
      </c>
      <c r="R347" s="381" t="n"/>
      <c r="S347" s="381" t="n"/>
      <c r="T347" s="381" t="n"/>
      <c r="U347" s="381" t="n"/>
    </row>
    <row r="348" ht="15" customHeight="1" s="278">
      <c r="A348" s="399" t="str">
        <f>IF($B348="","","T"&amp;TEXT(ROW()-6,"0000"))</f>
        <v/>
      </c>
      <c r="B348" s="386" t="n"/>
      <c r="C348" s="399" t="str">
        <f>IF($B348="","",TEXT($B348,"YYYY-MM"))</f>
        <v/>
      </c>
      <c r="D348" s="400" t="str">
        <f>IF($B348="","",YEAR($B348))</f>
        <v/>
      </c>
      <c r="E348" s="391" t="n"/>
      <c r="F348" s="391" t="n"/>
      <c r="G348" s="391" t="n"/>
      <c r="H348" s="391" t="n"/>
      <c r="I348" s="391" t="n"/>
      <c r="J348" s="391" t="n"/>
      <c r="K348" s="391" t="n"/>
      <c r="L348" s="391" t="n"/>
      <c r="M348" s="391" t="n"/>
      <c r="N348" s="391" t="n"/>
      <c r="O348" s="392" t="n"/>
      <c r="P348" s="391" t="n"/>
      <c r="Q348" s="385" t="str">
        <f>IF($B348="","",IF($P348&lt;&gt;"AED",0,IF($F348="Income",$O348,IF($F348="Expense",-$O348,0))))</f>
        <v/>
      </c>
      <c r="R348" s="381" t="n"/>
      <c r="S348" s="381" t="n"/>
      <c r="T348" s="381" t="n"/>
      <c r="U348" s="381" t="n"/>
    </row>
    <row r="349" ht="15" customHeight="1" s="278">
      <c r="A349" s="399" t="str">
        <f>IF($B349="","","T"&amp;TEXT(ROW()-6,"0000"))</f>
        <v/>
      </c>
      <c r="B349" s="386" t="n"/>
      <c r="C349" s="399" t="str">
        <f>IF($B349="","",TEXT($B349,"YYYY-MM"))</f>
        <v/>
      </c>
      <c r="D349" s="400" t="str">
        <f>IF($B349="","",YEAR($B349))</f>
        <v/>
      </c>
      <c r="E349" s="391" t="n"/>
      <c r="F349" s="391" t="n"/>
      <c r="G349" s="391" t="n"/>
      <c r="H349" s="391" t="n"/>
      <c r="I349" s="391" t="n"/>
      <c r="J349" s="391" t="n"/>
      <c r="K349" s="391" t="n"/>
      <c r="L349" s="391" t="n"/>
      <c r="M349" s="391" t="n"/>
      <c r="N349" s="391" t="n"/>
      <c r="O349" s="392" t="n"/>
      <c r="P349" s="391" t="n"/>
      <c r="Q349" s="385" t="str">
        <f>IF($B349="","",IF($P349&lt;&gt;"AED",0,IF($F349="Income",$O349,IF($F349="Expense",-$O349,0))))</f>
        <v/>
      </c>
      <c r="R349" s="381" t="n"/>
      <c r="S349" s="381" t="n"/>
      <c r="T349" s="381" t="n"/>
      <c r="U349" s="381" t="n"/>
    </row>
    <row r="350" ht="15" customHeight="1" s="278">
      <c r="A350" s="399" t="str">
        <f>IF($B350="","","T"&amp;TEXT(ROW()-6,"0000"))</f>
        <v/>
      </c>
      <c r="B350" s="386" t="n"/>
      <c r="C350" s="399" t="str">
        <f>IF($B350="","",TEXT($B350,"YYYY-MM"))</f>
        <v/>
      </c>
      <c r="D350" s="400" t="str">
        <f>IF($B350="","",YEAR($B350))</f>
        <v/>
      </c>
      <c r="E350" s="391" t="n"/>
      <c r="F350" s="391" t="n"/>
      <c r="G350" s="391" t="n"/>
      <c r="H350" s="391" t="n"/>
      <c r="I350" s="391" t="n"/>
      <c r="J350" s="391" t="n"/>
      <c r="K350" s="391" t="n"/>
      <c r="L350" s="391" t="n"/>
      <c r="M350" s="391" t="n"/>
      <c r="N350" s="391" t="n"/>
      <c r="O350" s="392" t="n"/>
      <c r="P350" s="391" t="n"/>
      <c r="Q350" s="385" t="str">
        <f>IF($B350="","",IF($P350&lt;&gt;"AED",0,IF($F350="Income",$O350,IF($F350="Expense",-$O350,0))))</f>
        <v/>
      </c>
      <c r="R350" s="381" t="n"/>
      <c r="S350" s="381" t="n"/>
      <c r="T350" s="381" t="n"/>
      <c r="U350" s="381" t="n"/>
    </row>
    <row r="351" ht="15" customHeight="1" s="278">
      <c r="A351" s="399" t="str">
        <f>IF($B351="","","T"&amp;TEXT(ROW()-6,"0000"))</f>
        <v/>
      </c>
      <c r="B351" s="386" t="n"/>
      <c r="C351" s="399" t="str">
        <f>IF($B351="","",TEXT($B351,"YYYY-MM"))</f>
        <v/>
      </c>
      <c r="D351" s="400" t="str">
        <f>IF($B351="","",YEAR($B351))</f>
        <v/>
      </c>
      <c r="E351" s="391" t="n"/>
      <c r="F351" s="391" t="n"/>
      <c r="G351" s="391" t="n"/>
      <c r="H351" s="391" t="n"/>
      <c r="I351" s="391" t="n"/>
      <c r="J351" s="391" t="n"/>
      <c r="K351" s="391" t="n"/>
      <c r="L351" s="391" t="n"/>
      <c r="M351" s="391" t="n"/>
      <c r="N351" s="391" t="n"/>
      <c r="O351" s="392" t="n"/>
      <c r="P351" s="391" t="n"/>
      <c r="Q351" s="385" t="str">
        <f>IF($B351="","",IF($P351&lt;&gt;"AED",0,IF($F351="Income",$O351,IF($F351="Expense",-$O351,0))))</f>
        <v/>
      </c>
      <c r="R351" s="381" t="n"/>
      <c r="S351" s="381" t="n"/>
      <c r="T351" s="381" t="n"/>
      <c r="U351" s="381" t="n"/>
    </row>
    <row r="352" ht="15" customHeight="1" s="278">
      <c r="A352" s="399" t="str">
        <f>IF($B352="","","T"&amp;TEXT(ROW()-6,"0000"))</f>
        <v/>
      </c>
      <c r="B352" s="386" t="n"/>
      <c r="C352" s="399" t="str">
        <f>IF($B352="","",TEXT($B352,"YYYY-MM"))</f>
        <v/>
      </c>
      <c r="D352" s="400" t="str">
        <f>IF($B352="","",YEAR($B352))</f>
        <v/>
      </c>
      <c r="E352" s="391" t="n"/>
      <c r="F352" s="391" t="n"/>
      <c r="G352" s="391" t="n"/>
      <c r="H352" s="391" t="n"/>
      <c r="I352" s="391" t="n"/>
      <c r="J352" s="391" t="n"/>
      <c r="K352" s="391" t="n"/>
      <c r="L352" s="391" t="n"/>
      <c r="M352" s="391" t="n"/>
      <c r="N352" s="391" t="n"/>
      <c r="O352" s="392" t="n"/>
      <c r="P352" s="391" t="n"/>
      <c r="Q352" s="385" t="str">
        <f>IF($B352="","",IF($P352&lt;&gt;"AED",0,IF($F352="Income",$O352,IF($F352="Expense",-$O352,0))))</f>
        <v/>
      </c>
      <c r="R352" s="381" t="n"/>
      <c r="S352" s="381" t="n"/>
      <c r="T352" s="381" t="n"/>
      <c r="U352" s="381" t="n"/>
    </row>
    <row r="353" ht="15" customHeight="1" s="278">
      <c r="A353" s="399" t="str">
        <f>IF($B353="","","T"&amp;TEXT(ROW()-6,"0000"))</f>
        <v/>
      </c>
      <c r="B353" s="386" t="n"/>
      <c r="C353" s="399" t="str">
        <f>IF($B353="","",TEXT($B353,"YYYY-MM"))</f>
        <v/>
      </c>
      <c r="D353" s="400" t="str">
        <f>IF($B353="","",YEAR($B353))</f>
        <v/>
      </c>
      <c r="E353" s="391" t="n"/>
      <c r="F353" s="391" t="n"/>
      <c r="G353" s="391" t="n"/>
      <c r="H353" s="391" t="n"/>
      <c r="I353" s="391" t="n"/>
      <c r="J353" s="391" t="n"/>
      <c r="K353" s="391" t="n"/>
      <c r="L353" s="391" t="n"/>
      <c r="M353" s="391" t="n"/>
      <c r="N353" s="391" t="n"/>
      <c r="O353" s="392" t="n"/>
      <c r="P353" s="391" t="n"/>
      <c r="Q353" s="385" t="str">
        <f>IF($B353="","",IF($P353&lt;&gt;"AED",0,IF($F353="Income",$O353,IF($F353="Expense",-$O353,0))))</f>
        <v/>
      </c>
      <c r="R353" s="381" t="n"/>
      <c r="S353" s="381" t="n"/>
      <c r="T353" s="381" t="n"/>
      <c r="U353" s="381" t="n"/>
    </row>
    <row r="354" ht="15" customHeight="1" s="278">
      <c r="A354" s="399" t="str">
        <f>IF($B354="","","T"&amp;TEXT(ROW()-6,"0000"))</f>
        <v/>
      </c>
      <c r="B354" s="386" t="n"/>
      <c r="C354" s="399" t="str">
        <f>IF($B354="","",TEXT($B354,"YYYY-MM"))</f>
        <v/>
      </c>
      <c r="D354" s="400" t="str">
        <f>IF($B354="","",YEAR($B354))</f>
        <v/>
      </c>
      <c r="E354" s="391" t="n"/>
      <c r="F354" s="391" t="n"/>
      <c r="G354" s="391" t="n"/>
      <c r="H354" s="391" t="n"/>
      <c r="I354" s="391" t="n"/>
      <c r="J354" s="391" t="n"/>
      <c r="K354" s="391" t="n"/>
      <c r="L354" s="391" t="n"/>
      <c r="M354" s="391" t="n"/>
      <c r="N354" s="391" t="n"/>
      <c r="O354" s="392" t="n"/>
      <c r="P354" s="391" t="n"/>
      <c r="Q354" s="385" t="str">
        <f>IF($B354="","",IF($P354&lt;&gt;"AED",0,IF($F354="Income",$O354,IF($F354="Expense",-$O354,0))))</f>
        <v/>
      </c>
      <c r="R354" s="381" t="n"/>
      <c r="S354" s="381" t="n"/>
      <c r="T354" s="381" t="n"/>
      <c r="U354" s="381" t="n"/>
    </row>
    <row r="355" ht="15" customHeight="1" s="278">
      <c r="A355" s="399" t="str">
        <f>IF($B355="","","T"&amp;TEXT(ROW()-6,"0000"))</f>
        <v/>
      </c>
      <c r="B355" s="386" t="n"/>
      <c r="C355" s="399" t="str">
        <f>IF($B355="","",TEXT($B355,"YYYY-MM"))</f>
        <v/>
      </c>
      <c r="D355" s="400" t="str">
        <f>IF($B355="","",YEAR($B355))</f>
        <v/>
      </c>
      <c r="E355" s="391" t="n"/>
      <c r="F355" s="391" t="n"/>
      <c r="G355" s="391" t="n"/>
      <c r="H355" s="391" t="n"/>
      <c r="I355" s="391" t="n"/>
      <c r="J355" s="391" t="n"/>
      <c r="K355" s="391" t="n"/>
      <c r="L355" s="391" t="n"/>
      <c r="M355" s="391" t="n"/>
      <c r="N355" s="391" t="n"/>
      <c r="O355" s="392" t="n"/>
      <c r="P355" s="391" t="n"/>
      <c r="Q355" s="385" t="str">
        <f>IF($B355="","",IF($P355&lt;&gt;"AED",0,IF($F355="Income",$O355,IF($F355="Expense",-$O355,0))))</f>
        <v/>
      </c>
      <c r="R355" s="381" t="n"/>
      <c r="S355" s="381" t="n"/>
      <c r="T355" s="381" t="n"/>
      <c r="U355" s="381" t="n"/>
    </row>
    <row r="356" ht="15" customHeight="1" s="278">
      <c r="A356" s="399" t="str">
        <f>IF($B356="","","T"&amp;TEXT(ROW()-6,"0000"))</f>
        <v/>
      </c>
      <c r="B356" s="386" t="n"/>
      <c r="C356" s="399" t="str">
        <f>IF($B356="","",TEXT($B356,"YYYY-MM"))</f>
        <v/>
      </c>
      <c r="D356" s="400" t="str">
        <f>IF($B356="","",YEAR($B356))</f>
        <v/>
      </c>
      <c r="E356" s="391" t="n"/>
      <c r="F356" s="391" t="n"/>
      <c r="G356" s="391" t="n"/>
      <c r="H356" s="391" t="n"/>
      <c r="I356" s="391" t="n"/>
      <c r="J356" s="391" t="n"/>
      <c r="K356" s="391" t="n"/>
      <c r="L356" s="391" t="n"/>
      <c r="M356" s="391" t="n"/>
      <c r="N356" s="391" t="n"/>
      <c r="O356" s="392" t="n"/>
      <c r="P356" s="391" t="n"/>
      <c r="Q356" s="385" t="str">
        <f>IF($B356="","",IF($P356&lt;&gt;"AED",0,IF($F356="Income",$O356,IF($F356="Expense",-$O356,0))))</f>
        <v/>
      </c>
      <c r="R356" s="381" t="n"/>
      <c r="S356" s="381" t="n"/>
      <c r="T356" s="381" t="n"/>
      <c r="U356" s="381" t="n"/>
    </row>
    <row r="357" ht="15" customHeight="1" s="278">
      <c r="A357" s="399" t="str">
        <f>IF($B357="","","T"&amp;TEXT(ROW()-6,"0000"))</f>
        <v/>
      </c>
      <c r="B357" s="386" t="n"/>
      <c r="C357" s="399" t="str">
        <f>IF($B357="","",TEXT($B357,"YYYY-MM"))</f>
        <v/>
      </c>
      <c r="D357" s="400" t="str">
        <f>IF($B357="","",YEAR($B357))</f>
        <v/>
      </c>
      <c r="E357" s="391" t="n"/>
      <c r="F357" s="391" t="n"/>
      <c r="G357" s="391" t="n"/>
      <c r="H357" s="391" t="n"/>
      <c r="I357" s="391" t="n"/>
      <c r="J357" s="391" t="n"/>
      <c r="K357" s="391" t="n"/>
      <c r="L357" s="391" t="n"/>
      <c r="M357" s="391" t="n"/>
      <c r="N357" s="391" t="n"/>
      <c r="O357" s="392" t="n"/>
      <c r="P357" s="391" t="n"/>
      <c r="Q357" s="385" t="str">
        <f>IF($B357="","",IF($P357&lt;&gt;"AED",0,IF($F357="Income",$O357,IF($F357="Expense",-$O357,0))))</f>
        <v/>
      </c>
      <c r="R357" s="381" t="n"/>
      <c r="S357" s="381" t="n"/>
      <c r="T357" s="381" t="n"/>
      <c r="U357" s="381" t="n"/>
    </row>
    <row r="358" ht="15" customHeight="1" s="278">
      <c r="A358" s="399" t="str">
        <f>IF($B358="","","T"&amp;TEXT(ROW()-6,"0000"))</f>
        <v/>
      </c>
      <c r="B358" s="386" t="n"/>
      <c r="C358" s="399" t="str">
        <f>IF($B358="","",TEXT($B358,"YYYY-MM"))</f>
        <v/>
      </c>
      <c r="D358" s="400" t="str">
        <f>IF($B358="","",YEAR($B358))</f>
        <v/>
      </c>
      <c r="E358" s="391" t="n"/>
      <c r="F358" s="391" t="n"/>
      <c r="G358" s="391" t="n"/>
      <c r="H358" s="391" t="n"/>
      <c r="I358" s="391" t="n"/>
      <c r="J358" s="391" t="n"/>
      <c r="K358" s="391" t="n"/>
      <c r="L358" s="391" t="n"/>
      <c r="M358" s="391" t="n"/>
      <c r="N358" s="391" t="n"/>
      <c r="O358" s="392" t="n"/>
      <c r="P358" s="391" t="n"/>
      <c r="Q358" s="385" t="str">
        <f>IF($B358="","",IF($P358&lt;&gt;"AED",0,IF($F358="Income",$O358,IF($F358="Expense",-$O358,0))))</f>
        <v/>
      </c>
      <c r="R358" s="381" t="n"/>
      <c r="S358" s="381" t="n"/>
      <c r="T358" s="381" t="n"/>
      <c r="U358" s="381" t="n"/>
    </row>
    <row r="359" ht="15" customHeight="1" s="278">
      <c r="A359" s="399" t="str">
        <f>IF($B359="","","T"&amp;TEXT(ROW()-6,"0000"))</f>
        <v/>
      </c>
      <c r="B359" s="386" t="n"/>
      <c r="C359" s="399" t="str">
        <f>IF($B359="","",TEXT($B359,"YYYY-MM"))</f>
        <v/>
      </c>
      <c r="D359" s="400" t="str">
        <f>IF($B359="","",YEAR($B359))</f>
        <v/>
      </c>
      <c r="E359" s="391" t="n"/>
      <c r="F359" s="391" t="n"/>
      <c r="G359" s="391" t="n"/>
      <c r="H359" s="391" t="n"/>
      <c r="I359" s="391" t="n"/>
      <c r="J359" s="391" t="n"/>
      <c r="K359" s="391" t="n"/>
      <c r="L359" s="391" t="n"/>
      <c r="M359" s="391" t="n"/>
      <c r="N359" s="391" t="n"/>
      <c r="O359" s="392" t="n"/>
      <c r="P359" s="391" t="n"/>
      <c r="Q359" s="385" t="str">
        <f>IF($B359="","",IF($P359&lt;&gt;"AED",0,IF($F359="Income",$O359,IF($F359="Expense",-$O359,0))))</f>
        <v/>
      </c>
      <c r="R359" s="381" t="n"/>
      <c r="S359" s="381" t="n"/>
      <c r="T359" s="381" t="n"/>
      <c r="U359" s="381" t="n"/>
    </row>
    <row r="360" ht="15" customHeight="1" s="278">
      <c r="A360" s="399" t="str">
        <f>IF($B360="","","T"&amp;TEXT(ROW()-6,"0000"))</f>
        <v/>
      </c>
      <c r="B360" s="386" t="n"/>
      <c r="C360" s="399" t="str">
        <f>IF($B360="","",TEXT($B360,"YYYY-MM"))</f>
        <v/>
      </c>
      <c r="D360" s="400" t="str">
        <f>IF($B360="","",YEAR($B360))</f>
        <v/>
      </c>
      <c r="E360" s="391" t="n"/>
      <c r="F360" s="391" t="n"/>
      <c r="G360" s="391" t="n"/>
      <c r="H360" s="391" t="n"/>
      <c r="I360" s="391" t="n"/>
      <c r="J360" s="391" t="n"/>
      <c r="K360" s="391" t="n"/>
      <c r="L360" s="391" t="n"/>
      <c r="M360" s="391" t="n"/>
      <c r="N360" s="391" t="n"/>
      <c r="O360" s="392" t="n"/>
      <c r="P360" s="391" t="n"/>
      <c r="Q360" s="385" t="str">
        <f>IF($B360="","",IF($P360&lt;&gt;"AED",0,IF($F360="Income",$O360,IF($F360="Expense",-$O360,0))))</f>
        <v/>
      </c>
      <c r="R360" s="381" t="n"/>
      <c r="S360" s="381" t="n"/>
      <c r="T360" s="381" t="n"/>
      <c r="U360" s="381" t="n"/>
    </row>
    <row r="361" ht="15" customHeight="1" s="278">
      <c r="A361" s="399" t="str">
        <f>IF($B361="","","T"&amp;TEXT(ROW()-6,"0000"))</f>
        <v/>
      </c>
      <c r="B361" s="386" t="n"/>
      <c r="C361" s="399" t="str">
        <f>IF($B361="","",TEXT($B361,"YYYY-MM"))</f>
        <v/>
      </c>
      <c r="D361" s="400" t="str">
        <f>IF($B361="","",YEAR($B361))</f>
        <v/>
      </c>
      <c r="E361" s="391" t="n"/>
      <c r="F361" s="391" t="n"/>
      <c r="G361" s="391" t="n"/>
      <c r="H361" s="391" t="n"/>
      <c r="I361" s="391" t="n"/>
      <c r="J361" s="391" t="n"/>
      <c r="K361" s="391" t="n"/>
      <c r="L361" s="391" t="n"/>
      <c r="M361" s="391" t="n"/>
      <c r="N361" s="391" t="n"/>
      <c r="O361" s="392" t="n"/>
      <c r="P361" s="391" t="n"/>
      <c r="Q361" s="385" t="str">
        <f>IF($B361="","",IF($P361&lt;&gt;"AED",0,IF($F361="Income",$O361,IF($F361="Expense",-$O361,0))))</f>
        <v/>
      </c>
      <c r="R361" s="381" t="n"/>
      <c r="S361" s="381" t="n"/>
      <c r="T361" s="381" t="n"/>
      <c r="U361" s="381" t="n"/>
    </row>
    <row r="362" ht="15" customHeight="1" s="278">
      <c r="A362" s="399" t="str">
        <f>IF($B362="","","T"&amp;TEXT(ROW()-6,"0000"))</f>
        <v/>
      </c>
      <c r="B362" s="386" t="n"/>
      <c r="C362" s="399" t="str">
        <f>IF($B362="","",TEXT($B362,"YYYY-MM"))</f>
        <v/>
      </c>
      <c r="D362" s="400" t="str">
        <f>IF($B362="","",YEAR($B362))</f>
        <v/>
      </c>
      <c r="E362" s="391" t="n"/>
      <c r="F362" s="391" t="n"/>
      <c r="G362" s="391" t="n"/>
      <c r="H362" s="391" t="n"/>
      <c r="I362" s="391" t="n"/>
      <c r="J362" s="391" t="n"/>
      <c r="K362" s="391" t="n"/>
      <c r="L362" s="391" t="n"/>
      <c r="M362" s="391" t="n"/>
      <c r="N362" s="391" t="n"/>
      <c r="O362" s="392" t="n"/>
      <c r="P362" s="391" t="n"/>
      <c r="Q362" s="385" t="str">
        <f>IF($B362="","",IF($P362&lt;&gt;"AED",0,IF($F362="Income",$O362,IF($F362="Expense",-$O362,0))))</f>
        <v/>
      </c>
      <c r="R362" s="381" t="n"/>
      <c r="S362" s="381" t="n"/>
      <c r="T362" s="381" t="n"/>
      <c r="U362" s="381" t="n"/>
    </row>
    <row r="363" ht="15" customHeight="1" s="278">
      <c r="A363" s="399" t="str">
        <f>IF($B363="","","T"&amp;TEXT(ROW()-6,"0000"))</f>
        <v/>
      </c>
      <c r="B363" s="386" t="n"/>
      <c r="C363" s="399" t="str">
        <f>IF($B363="","",TEXT($B363,"YYYY-MM"))</f>
        <v/>
      </c>
      <c r="D363" s="400" t="str">
        <f>IF($B363="","",YEAR($B363))</f>
        <v/>
      </c>
      <c r="E363" s="391" t="n"/>
      <c r="F363" s="391" t="n"/>
      <c r="G363" s="391" t="n"/>
      <c r="H363" s="391" t="n"/>
      <c r="I363" s="391" t="n"/>
      <c r="J363" s="391" t="n"/>
      <c r="K363" s="391" t="n"/>
      <c r="L363" s="391" t="n"/>
      <c r="M363" s="391" t="n"/>
      <c r="N363" s="391" t="n"/>
      <c r="O363" s="392" t="n"/>
      <c r="P363" s="391" t="n"/>
      <c r="Q363" s="385" t="str">
        <f>IF($B363="","",IF($P363&lt;&gt;"AED",0,IF($F363="Income",$O363,IF($F363="Expense",-$O363,0))))</f>
        <v/>
      </c>
      <c r="R363" s="381" t="n"/>
      <c r="S363" s="381" t="n"/>
      <c r="T363" s="381" t="n"/>
      <c r="U363" s="381" t="n"/>
    </row>
    <row r="364" ht="15" customHeight="1" s="278">
      <c r="A364" s="399" t="str">
        <f>IF($B364="","","T"&amp;TEXT(ROW()-6,"0000"))</f>
        <v/>
      </c>
      <c r="B364" s="386" t="n"/>
      <c r="C364" s="399" t="str">
        <f>IF($B364="","",TEXT($B364,"YYYY-MM"))</f>
        <v/>
      </c>
      <c r="D364" s="400" t="str">
        <f>IF($B364="","",YEAR($B364))</f>
        <v/>
      </c>
      <c r="E364" s="391" t="n"/>
      <c r="F364" s="391" t="n"/>
      <c r="G364" s="391" t="n"/>
      <c r="H364" s="391" t="n"/>
      <c r="I364" s="391" t="n"/>
      <c r="J364" s="391" t="n"/>
      <c r="K364" s="391" t="n"/>
      <c r="L364" s="391" t="n"/>
      <c r="M364" s="391" t="n"/>
      <c r="N364" s="391" t="n"/>
      <c r="O364" s="392" t="n"/>
      <c r="P364" s="391" t="n"/>
      <c r="Q364" s="385" t="str">
        <f>IF($B364="","",IF($P364&lt;&gt;"AED",0,IF($F364="Income",$O364,IF($F364="Expense",-$O364,0))))</f>
        <v/>
      </c>
      <c r="R364" s="381" t="n"/>
      <c r="S364" s="381" t="n"/>
      <c r="T364" s="381" t="n"/>
      <c r="U364" s="381" t="n"/>
    </row>
    <row r="365" ht="15" customHeight="1" s="278">
      <c r="A365" s="399" t="str">
        <f>IF($B365="","","T"&amp;TEXT(ROW()-6,"0000"))</f>
        <v/>
      </c>
      <c r="B365" s="386" t="n"/>
      <c r="C365" s="399" t="str">
        <f>IF($B365="","",TEXT($B365,"YYYY-MM"))</f>
        <v/>
      </c>
      <c r="D365" s="400" t="str">
        <f>IF($B365="","",YEAR($B365))</f>
        <v/>
      </c>
      <c r="E365" s="391" t="n"/>
      <c r="F365" s="391" t="n"/>
      <c r="G365" s="391" t="n"/>
      <c r="H365" s="391" t="n"/>
      <c r="I365" s="391" t="n"/>
      <c r="J365" s="391" t="n"/>
      <c r="K365" s="391" t="n"/>
      <c r="L365" s="391" t="n"/>
      <c r="M365" s="391" t="n"/>
      <c r="N365" s="391" t="n"/>
      <c r="O365" s="392" t="n"/>
      <c r="P365" s="391" t="n"/>
      <c r="Q365" s="385" t="str">
        <f>IF($B365="","",IF($P365&lt;&gt;"AED",0,IF($F365="Income",$O365,IF($F365="Expense",-$O365,0))))</f>
        <v/>
      </c>
      <c r="R365" s="381" t="n"/>
      <c r="S365" s="381" t="n"/>
      <c r="T365" s="381" t="n"/>
      <c r="U365" s="381" t="n"/>
    </row>
    <row r="366" ht="15" customHeight="1" s="278">
      <c r="A366" s="399" t="str">
        <f>IF($B366="","","T"&amp;TEXT(ROW()-6,"0000"))</f>
        <v/>
      </c>
      <c r="B366" s="386" t="n"/>
      <c r="C366" s="399" t="str">
        <f>IF($B366="","",TEXT($B366,"YYYY-MM"))</f>
        <v/>
      </c>
      <c r="D366" s="400" t="str">
        <f>IF($B366="","",YEAR($B366))</f>
        <v/>
      </c>
      <c r="E366" s="391" t="n"/>
      <c r="F366" s="391" t="n"/>
      <c r="G366" s="391" t="n"/>
      <c r="H366" s="391" t="n"/>
      <c r="I366" s="391" t="n"/>
      <c r="J366" s="391" t="n"/>
      <c r="K366" s="391" t="n"/>
      <c r="L366" s="391" t="n"/>
      <c r="M366" s="391" t="n"/>
      <c r="N366" s="391" t="n"/>
      <c r="O366" s="392" t="n"/>
      <c r="P366" s="391" t="n"/>
      <c r="Q366" s="385" t="str">
        <f>IF($B366="","",IF($P366&lt;&gt;"AED",0,IF($F366="Income",$O366,IF($F366="Expense",-$O366,0))))</f>
        <v/>
      </c>
      <c r="R366" s="381" t="n"/>
      <c r="S366" s="381" t="n"/>
      <c r="T366" s="381" t="n"/>
      <c r="U366" s="381" t="n"/>
    </row>
    <row r="367" ht="15" customHeight="1" s="278">
      <c r="A367" s="399" t="str">
        <f>IF($B367="","","T"&amp;TEXT(ROW()-6,"0000"))</f>
        <v/>
      </c>
      <c r="B367" s="386" t="n"/>
      <c r="C367" s="399" t="str">
        <f>IF($B367="","",TEXT($B367,"YYYY-MM"))</f>
        <v/>
      </c>
      <c r="D367" s="400" t="str">
        <f>IF($B367="","",YEAR($B367))</f>
        <v/>
      </c>
      <c r="E367" s="391" t="n"/>
      <c r="F367" s="391" t="n"/>
      <c r="G367" s="391" t="n"/>
      <c r="H367" s="391" t="n"/>
      <c r="I367" s="391" t="n"/>
      <c r="J367" s="391" t="n"/>
      <c r="K367" s="391" t="n"/>
      <c r="L367" s="391" t="n"/>
      <c r="M367" s="391" t="n"/>
      <c r="N367" s="391" t="n"/>
      <c r="O367" s="392" t="n"/>
      <c r="P367" s="391" t="n"/>
      <c r="Q367" s="385" t="str">
        <f>IF($B367="","",IF($P367&lt;&gt;"AED",0,IF($F367="Income",$O367,IF($F367="Expense",-$O367,0))))</f>
        <v/>
      </c>
      <c r="R367" s="381" t="n"/>
      <c r="S367" s="381" t="n"/>
      <c r="T367" s="381" t="n"/>
      <c r="U367" s="381" t="n"/>
    </row>
    <row r="368" ht="15" customHeight="1" s="278">
      <c r="A368" s="399" t="str">
        <f>IF($B368="","","T"&amp;TEXT(ROW()-6,"0000"))</f>
        <v/>
      </c>
      <c r="B368" s="386" t="n"/>
      <c r="C368" s="399" t="str">
        <f>IF($B368="","",TEXT($B368,"YYYY-MM"))</f>
        <v/>
      </c>
      <c r="D368" s="400" t="str">
        <f>IF($B368="","",YEAR($B368))</f>
        <v/>
      </c>
      <c r="E368" s="391" t="n"/>
      <c r="F368" s="391" t="n"/>
      <c r="G368" s="391" t="n"/>
      <c r="H368" s="391" t="n"/>
      <c r="I368" s="391" t="n"/>
      <c r="J368" s="391" t="n"/>
      <c r="K368" s="391" t="n"/>
      <c r="L368" s="391" t="n"/>
      <c r="M368" s="391" t="n"/>
      <c r="N368" s="391" t="n"/>
      <c r="O368" s="392" t="n"/>
      <c r="P368" s="391" t="n"/>
      <c r="Q368" s="385" t="str">
        <f>IF($B368="","",IF($P368&lt;&gt;"AED",0,IF($F368="Income",$O368,IF($F368="Expense",-$O368,0))))</f>
        <v/>
      </c>
      <c r="R368" s="381" t="n"/>
      <c r="S368" s="381" t="n"/>
      <c r="T368" s="381" t="n"/>
      <c r="U368" s="381" t="n"/>
    </row>
    <row r="369" ht="15" customHeight="1" s="278">
      <c r="A369" s="399" t="str">
        <f>IF($B369="","","T"&amp;TEXT(ROW()-6,"0000"))</f>
        <v/>
      </c>
      <c r="B369" s="386" t="n"/>
      <c r="C369" s="399" t="str">
        <f>IF($B369="","",TEXT($B369,"YYYY-MM"))</f>
        <v/>
      </c>
      <c r="D369" s="400" t="str">
        <f>IF($B369="","",YEAR($B369))</f>
        <v/>
      </c>
      <c r="E369" s="391" t="n"/>
      <c r="F369" s="391" t="n"/>
      <c r="G369" s="391" t="n"/>
      <c r="H369" s="391" t="n"/>
      <c r="I369" s="391" t="n"/>
      <c r="J369" s="391" t="n"/>
      <c r="K369" s="391" t="n"/>
      <c r="L369" s="391" t="n"/>
      <c r="M369" s="391" t="n"/>
      <c r="N369" s="391" t="n"/>
      <c r="O369" s="392" t="n"/>
      <c r="P369" s="391" t="n"/>
      <c r="Q369" s="385" t="str">
        <f>IF($B369="","",IF($P369&lt;&gt;"AED",0,IF($F369="Income",$O369,IF($F369="Expense",-$O369,0))))</f>
        <v/>
      </c>
      <c r="R369" s="381" t="n"/>
      <c r="S369" s="381" t="n"/>
      <c r="T369" s="381" t="n"/>
      <c r="U369" s="381" t="n"/>
    </row>
    <row r="370" ht="15" customHeight="1" s="278">
      <c r="A370" s="399" t="str">
        <f>IF($B370="","","T"&amp;TEXT(ROW()-6,"0000"))</f>
        <v/>
      </c>
      <c r="B370" s="386" t="n"/>
      <c r="C370" s="399" t="str">
        <f>IF($B370="","",TEXT($B370,"YYYY-MM"))</f>
        <v/>
      </c>
      <c r="D370" s="400" t="str">
        <f>IF($B370="","",YEAR($B370))</f>
        <v/>
      </c>
      <c r="E370" s="391" t="n"/>
      <c r="F370" s="391" t="n"/>
      <c r="G370" s="391" t="n"/>
      <c r="H370" s="391" t="n"/>
      <c r="I370" s="391" t="n"/>
      <c r="J370" s="391" t="n"/>
      <c r="K370" s="391" t="n"/>
      <c r="L370" s="391" t="n"/>
      <c r="M370" s="391" t="n"/>
      <c r="N370" s="391" t="n"/>
      <c r="O370" s="392" t="n"/>
      <c r="P370" s="391" t="n"/>
      <c r="Q370" s="385" t="str">
        <f>IF($B370="","",IF($P370&lt;&gt;"AED",0,IF($F370="Income",$O370,IF($F370="Expense",-$O370,0))))</f>
        <v/>
      </c>
      <c r="R370" s="381" t="n"/>
      <c r="S370" s="381" t="n"/>
      <c r="T370" s="381" t="n"/>
      <c r="U370" s="381" t="n"/>
    </row>
    <row r="371" ht="15" customHeight="1" s="278">
      <c r="A371" s="399" t="str">
        <f>IF($B371="","","T"&amp;TEXT(ROW()-6,"0000"))</f>
        <v/>
      </c>
      <c r="B371" s="386" t="n"/>
      <c r="C371" s="399" t="str">
        <f>IF($B371="","",TEXT($B371,"YYYY-MM"))</f>
        <v/>
      </c>
      <c r="D371" s="400" t="str">
        <f>IF($B371="","",YEAR($B371))</f>
        <v/>
      </c>
      <c r="E371" s="391" t="n"/>
      <c r="F371" s="391" t="n"/>
      <c r="G371" s="391" t="n"/>
      <c r="H371" s="391" t="n"/>
      <c r="I371" s="391" t="n"/>
      <c r="J371" s="391" t="n"/>
      <c r="K371" s="391" t="n"/>
      <c r="L371" s="391" t="n"/>
      <c r="M371" s="391" t="n"/>
      <c r="N371" s="391" t="n"/>
      <c r="O371" s="392" t="n"/>
      <c r="P371" s="391" t="n"/>
      <c r="Q371" s="385" t="str">
        <f>IF($B371="","",IF($P371&lt;&gt;"AED",0,IF($F371="Income",$O371,IF($F371="Expense",-$O371,0))))</f>
        <v/>
      </c>
      <c r="R371" s="381" t="n"/>
      <c r="S371" s="381" t="n"/>
      <c r="T371" s="381" t="n"/>
      <c r="U371" s="381" t="n"/>
    </row>
    <row r="372" ht="15" customHeight="1" s="278">
      <c r="A372" s="399" t="str">
        <f>IF($B372="","","T"&amp;TEXT(ROW()-6,"0000"))</f>
        <v/>
      </c>
      <c r="B372" s="386" t="n"/>
      <c r="C372" s="399" t="str">
        <f>IF($B372="","",TEXT($B372,"YYYY-MM"))</f>
        <v/>
      </c>
      <c r="D372" s="400" t="str">
        <f>IF($B372="","",YEAR($B372))</f>
        <v/>
      </c>
      <c r="E372" s="391" t="n"/>
      <c r="F372" s="391" t="n"/>
      <c r="G372" s="391" t="n"/>
      <c r="H372" s="391" t="n"/>
      <c r="I372" s="391" t="n"/>
      <c r="J372" s="391" t="n"/>
      <c r="K372" s="391" t="n"/>
      <c r="L372" s="391" t="n"/>
      <c r="M372" s="391" t="n"/>
      <c r="N372" s="391" t="n"/>
      <c r="O372" s="392" t="n"/>
      <c r="P372" s="391" t="n"/>
      <c r="Q372" s="385" t="str">
        <f>IF($B372="","",IF($P372&lt;&gt;"AED",0,IF($F372="Income",$O372,IF($F372="Expense",-$O372,0))))</f>
        <v/>
      </c>
      <c r="R372" s="381" t="n"/>
      <c r="S372" s="381" t="n"/>
      <c r="T372" s="381" t="n"/>
      <c r="U372" s="381" t="n"/>
    </row>
    <row r="373" ht="15" customHeight="1" s="278">
      <c r="A373" s="399" t="str">
        <f>IF($B373="","","T"&amp;TEXT(ROW()-6,"0000"))</f>
        <v/>
      </c>
      <c r="B373" s="386" t="n"/>
      <c r="C373" s="399" t="str">
        <f>IF($B373="","",TEXT($B373,"YYYY-MM"))</f>
        <v/>
      </c>
      <c r="D373" s="400" t="str">
        <f>IF($B373="","",YEAR($B373))</f>
        <v/>
      </c>
      <c r="E373" s="391" t="n"/>
      <c r="F373" s="391" t="n"/>
      <c r="G373" s="391" t="n"/>
      <c r="H373" s="391" t="n"/>
      <c r="I373" s="391" t="n"/>
      <c r="J373" s="391" t="n"/>
      <c r="K373" s="391" t="n"/>
      <c r="L373" s="391" t="n"/>
      <c r="M373" s="391" t="n"/>
      <c r="N373" s="391" t="n"/>
      <c r="O373" s="392" t="n"/>
      <c r="P373" s="391" t="n"/>
      <c r="Q373" s="385" t="str">
        <f>IF($B373="","",IF($P373&lt;&gt;"AED",0,IF($F373="Income",$O373,IF($F373="Expense",-$O373,0))))</f>
        <v/>
      </c>
      <c r="R373" s="381" t="n"/>
      <c r="S373" s="381" t="n"/>
      <c r="T373" s="381" t="n"/>
      <c r="U373" s="381" t="n"/>
    </row>
    <row r="374" ht="15" customHeight="1" s="278">
      <c r="A374" s="399" t="str">
        <f>IF($B374="","","T"&amp;TEXT(ROW()-6,"0000"))</f>
        <v/>
      </c>
      <c r="B374" s="386" t="n"/>
      <c r="C374" s="399" t="str">
        <f>IF($B374="","",TEXT($B374,"YYYY-MM"))</f>
        <v/>
      </c>
      <c r="D374" s="400" t="str">
        <f>IF($B374="","",YEAR($B374))</f>
        <v/>
      </c>
      <c r="E374" s="391" t="n"/>
      <c r="F374" s="391" t="n"/>
      <c r="G374" s="391" t="n"/>
      <c r="H374" s="391" t="n"/>
      <c r="I374" s="391" t="n"/>
      <c r="J374" s="391" t="n"/>
      <c r="K374" s="391" t="n"/>
      <c r="L374" s="391" t="n"/>
      <c r="M374" s="391" t="n"/>
      <c r="N374" s="391" t="n"/>
      <c r="O374" s="392" t="n"/>
      <c r="P374" s="391" t="n"/>
      <c r="Q374" s="385" t="str">
        <f>IF($B374="","",IF($P374&lt;&gt;"AED",0,IF($F374="Income",$O374,IF($F374="Expense",-$O374,0))))</f>
        <v/>
      </c>
      <c r="R374" s="381" t="n"/>
      <c r="S374" s="381" t="n"/>
      <c r="T374" s="381" t="n"/>
      <c r="U374" s="381" t="n"/>
    </row>
    <row r="375" ht="15" customHeight="1" s="278">
      <c r="A375" s="399" t="str">
        <f>IF($B375="","","T"&amp;TEXT(ROW()-6,"0000"))</f>
        <v/>
      </c>
      <c r="B375" s="386" t="n"/>
      <c r="C375" s="399" t="str">
        <f>IF($B375="","",TEXT($B375,"YYYY-MM"))</f>
        <v/>
      </c>
      <c r="D375" s="400" t="str">
        <f>IF($B375="","",YEAR($B375))</f>
        <v/>
      </c>
      <c r="E375" s="391" t="n"/>
      <c r="F375" s="391" t="n"/>
      <c r="G375" s="391" t="n"/>
      <c r="H375" s="391" t="n"/>
      <c r="I375" s="391" t="n"/>
      <c r="J375" s="391" t="n"/>
      <c r="K375" s="391" t="n"/>
      <c r="L375" s="391" t="n"/>
      <c r="M375" s="391" t="n"/>
      <c r="N375" s="391" t="n"/>
      <c r="O375" s="392" t="n"/>
      <c r="P375" s="391" t="n"/>
      <c r="Q375" s="385" t="str">
        <f>IF($B375="","",IF($P375&lt;&gt;"AED",0,IF($F375="Income",$O375,IF($F375="Expense",-$O375,0))))</f>
        <v/>
      </c>
      <c r="R375" s="381" t="n"/>
      <c r="S375" s="381" t="n"/>
      <c r="T375" s="381" t="n"/>
      <c r="U375" s="381" t="n"/>
    </row>
    <row r="376" ht="15" customHeight="1" s="278">
      <c r="A376" s="399" t="str">
        <f>IF($B376="","","T"&amp;TEXT(ROW()-6,"0000"))</f>
        <v/>
      </c>
      <c r="B376" s="386" t="n"/>
      <c r="C376" s="399" t="str">
        <f>IF($B376="","",TEXT($B376,"YYYY-MM"))</f>
        <v/>
      </c>
      <c r="D376" s="400" t="str">
        <f>IF($B376="","",YEAR($B376))</f>
        <v/>
      </c>
      <c r="E376" s="391" t="n"/>
      <c r="F376" s="391" t="n"/>
      <c r="G376" s="391" t="n"/>
      <c r="H376" s="391" t="n"/>
      <c r="I376" s="391" t="n"/>
      <c r="J376" s="391" t="n"/>
      <c r="K376" s="391" t="n"/>
      <c r="L376" s="391" t="n"/>
      <c r="M376" s="391" t="n"/>
      <c r="N376" s="391" t="n"/>
      <c r="O376" s="392" t="n"/>
      <c r="P376" s="391" t="n"/>
      <c r="Q376" s="385" t="str">
        <f>IF($B376="","",IF($P376&lt;&gt;"AED",0,IF($F376="Income",$O376,IF($F376="Expense",-$O376,0))))</f>
        <v/>
      </c>
      <c r="R376" s="381" t="n"/>
      <c r="S376" s="381" t="n"/>
      <c r="T376" s="381" t="n"/>
      <c r="U376" s="381" t="n"/>
    </row>
    <row r="377" ht="15" customHeight="1" s="278">
      <c r="A377" s="399" t="str">
        <f>IF($B377="","","T"&amp;TEXT(ROW()-6,"0000"))</f>
        <v/>
      </c>
      <c r="B377" s="386" t="n"/>
      <c r="C377" s="399" t="str">
        <f>IF($B377="","",TEXT($B377,"YYYY-MM"))</f>
        <v/>
      </c>
      <c r="D377" s="400" t="str">
        <f>IF($B377="","",YEAR($B377))</f>
        <v/>
      </c>
      <c r="E377" s="391" t="n"/>
      <c r="F377" s="391" t="n"/>
      <c r="G377" s="391" t="n"/>
      <c r="H377" s="391" t="n"/>
      <c r="I377" s="391" t="n"/>
      <c r="J377" s="391" t="n"/>
      <c r="K377" s="391" t="n"/>
      <c r="L377" s="391" t="n"/>
      <c r="M377" s="391" t="n"/>
      <c r="N377" s="391" t="n"/>
      <c r="O377" s="392" t="n"/>
      <c r="P377" s="391" t="n"/>
      <c r="Q377" s="385" t="str">
        <f>IF($B377="","",IF($P377&lt;&gt;"AED",0,IF($F377="Income",$O377,IF($F377="Expense",-$O377,0))))</f>
        <v/>
      </c>
      <c r="R377" s="381" t="n"/>
      <c r="S377" s="381" t="n"/>
      <c r="T377" s="381" t="n"/>
      <c r="U377" s="381" t="n"/>
    </row>
    <row r="378" ht="15" customHeight="1" s="278">
      <c r="A378" s="399" t="str">
        <f>IF($B378="","","T"&amp;TEXT(ROW()-6,"0000"))</f>
        <v/>
      </c>
      <c r="B378" s="386" t="n"/>
      <c r="C378" s="399" t="str">
        <f>IF($B378="","",TEXT($B378,"YYYY-MM"))</f>
        <v/>
      </c>
      <c r="D378" s="400" t="str">
        <f>IF($B378="","",YEAR($B378))</f>
        <v/>
      </c>
      <c r="E378" s="391" t="n"/>
      <c r="F378" s="391" t="n"/>
      <c r="G378" s="391" t="n"/>
      <c r="H378" s="391" t="n"/>
      <c r="I378" s="391" t="n"/>
      <c r="J378" s="391" t="n"/>
      <c r="K378" s="391" t="n"/>
      <c r="L378" s="391" t="n"/>
      <c r="M378" s="391" t="n"/>
      <c r="N378" s="391" t="n"/>
      <c r="O378" s="392" t="n"/>
      <c r="P378" s="391" t="n"/>
      <c r="Q378" s="385" t="str">
        <f>IF($B378="","",IF($P378&lt;&gt;"AED",0,IF($F378="Income",$O378,IF($F378="Expense",-$O378,0))))</f>
        <v/>
      </c>
      <c r="R378" s="381" t="n"/>
      <c r="S378" s="381" t="n"/>
      <c r="T378" s="381" t="n"/>
      <c r="U378" s="381" t="n"/>
    </row>
    <row r="379" ht="15" customHeight="1" s="278">
      <c r="A379" s="399" t="str">
        <f>IF($B379="","","T"&amp;TEXT(ROW()-6,"0000"))</f>
        <v/>
      </c>
      <c r="B379" s="386" t="n"/>
      <c r="C379" s="399" t="str">
        <f>IF($B379="","",TEXT($B379,"YYYY-MM"))</f>
        <v/>
      </c>
      <c r="D379" s="400" t="str">
        <f>IF($B379="","",YEAR($B379))</f>
        <v/>
      </c>
      <c r="E379" s="391" t="n"/>
      <c r="F379" s="391" t="n"/>
      <c r="G379" s="391" t="n"/>
      <c r="H379" s="391" t="n"/>
      <c r="I379" s="391" t="n"/>
      <c r="J379" s="391" t="n"/>
      <c r="K379" s="391" t="n"/>
      <c r="L379" s="391" t="n"/>
      <c r="M379" s="391" t="n"/>
      <c r="N379" s="391" t="n"/>
      <c r="O379" s="392" t="n"/>
      <c r="P379" s="391" t="n"/>
      <c r="Q379" s="385" t="str">
        <f>IF($B379="","",IF($P379&lt;&gt;"AED",0,IF($F379="Income",$O379,IF($F379="Expense",-$O379,0))))</f>
        <v/>
      </c>
      <c r="R379" s="381" t="n"/>
      <c r="S379" s="381" t="n"/>
      <c r="T379" s="381" t="n"/>
      <c r="U379" s="381" t="n"/>
    </row>
    <row r="380" ht="15" customHeight="1" s="278">
      <c r="A380" s="399" t="str">
        <f>IF($B380="","","T"&amp;TEXT(ROW()-6,"0000"))</f>
        <v/>
      </c>
      <c r="B380" s="386" t="n"/>
      <c r="C380" s="399" t="str">
        <f>IF($B380="","",TEXT($B380,"YYYY-MM"))</f>
        <v/>
      </c>
      <c r="D380" s="400" t="str">
        <f>IF($B380="","",YEAR($B380))</f>
        <v/>
      </c>
      <c r="E380" s="391" t="n"/>
      <c r="F380" s="391" t="n"/>
      <c r="G380" s="391" t="n"/>
      <c r="H380" s="391" t="n"/>
      <c r="I380" s="391" t="n"/>
      <c r="J380" s="391" t="n"/>
      <c r="K380" s="391" t="n"/>
      <c r="L380" s="391" t="n"/>
      <c r="M380" s="391" t="n"/>
      <c r="N380" s="391" t="n"/>
      <c r="O380" s="392" t="n"/>
      <c r="P380" s="391" t="n"/>
      <c r="Q380" s="385" t="str">
        <f>IF($B380="","",IF($P380&lt;&gt;"AED",0,IF($F380="Income",$O380,IF($F380="Expense",-$O380,0))))</f>
        <v/>
      </c>
      <c r="R380" s="381" t="n"/>
      <c r="S380" s="381" t="n"/>
      <c r="T380" s="381" t="n"/>
      <c r="U380" s="381" t="n"/>
    </row>
    <row r="381" ht="15" customHeight="1" s="278">
      <c r="A381" s="399" t="str">
        <f>IF($B381="","","T"&amp;TEXT(ROW()-6,"0000"))</f>
        <v/>
      </c>
      <c r="B381" s="386" t="n"/>
      <c r="C381" s="399" t="str">
        <f>IF($B381="","",TEXT($B381,"YYYY-MM"))</f>
        <v/>
      </c>
      <c r="D381" s="400" t="str">
        <f>IF($B381="","",YEAR($B381))</f>
        <v/>
      </c>
      <c r="E381" s="391" t="n"/>
      <c r="F381" s="391" t="n"/>
      <c r="G381" s="391" t="n"/>
      <c r="H381" s="391" t="n"/>
      <c r="I381" s="391" t="n"/>
      <c r="J381" s="391" t="n"/>
      <c r="K381" s="391" t="n"/>
      <c r="L381" s="391" t="n"/>
      <c r="M381" s="391" t="n"/>
      <c r="N381" s="391" t="n"/>
      <c r="O381" s="392" t="n"/>
      <c r="P381" s="391" t="n"/>
      <c r="Q381" s="385" t="str">
        <f>IF($B381="","",IF($P381&lt;&gt;"AED",0,IF($F381="Income",$O381,IF($F381="Expense",-$O381,0))))</f>
        <v/>
      </c>
      <c r="R381" s="381" t="n"/>
      <c r="S381" s="381" t="n"/>
      <c r="T381" s="381" t="n"/>
      <c r="U381" s="381" t="n"/>
    </row>
    <row r="382" ht="15" customHeight="1" s="278">
      <c r="A382" s="399" t="str">
        <f>IF($B382="","","T"&amp;TEXT(ROW()-6,"0000"))</f>
        <v/>
      </c>
      <c r="B382" s="386" t="n"/>
      <c r="C382" s="399" t="str">
        <f>IF($B382="","",TEXT($B382,"YYYY-MM"))</f>
        <v/>
      </c>
      <c r="D382" s="400" t="str">
        <f>IF($B382="","",YEAR($B382))</f>
        <v/>
      </c>
      <c r="E382" s="391" t="n"/>
      <c r="F382" s="391" t="n"/>
      <c r="G382" s="391" t="n"/>
      <c r="H382" s="391" t="n"/>
      <c r="I382" s="391" t="n"/>
      <c r="J382" s="391" t="n"/>
      <c r="K382" s="391" t="n"/>
      <c r="L382" s="391" t="n"/>
      <c r="M382" s="391" t="n"/>
      <c r="N382" s="391" t="n"/>
      <c r="O382" s="392" t="n"/>
      <c r="P382" s="391" t="n"/>
      <c r="Q382" s="385" t="str">
        <f>IF($B382="","",IF($P382&lt;&gt;"AED",0,IF($F382="Income",$O382,IF($F382="Expense",-$O382,0))))</f>
        <v/>
      </c>
      <c r="R382" s="381" t="n"/>
      <c r="S382" s="381" t="n"/>
      <c r="T382" s="381" t="n"/>
      <c r="U382" s="381" t="n"/>
    </row>
    <row r="383" ht="15" customHeight="1" s="278">
      <c r="A383" s="399" t="str">
        <f>IF($B383="","","T"&amp;TEXT(ROW()-6,"0000"))</f>
        <v/>
      </c>
      <c r="B383" s="386" t="n"/>
      <c r="C383" s="399" t="str">
        <f>IF($B383="","",TEXT($B383,"YYYY-MM"))</f>
        <v/>
      </c>
      <c r="D383" s="400" t="str">
        <f>IF($B383="","",YEAR($B383))</f>
        <v/>
      </c>
      <c r="E383" s="391" t="n"/>
      <c r="F383" s="391" t="n"/>
      <c r="G383" s="391" t="n"/>
      <c r="H383" s="391" t="n"/>
      <c r="I383" s="391" t="n"/>
      <c r="J383" s="391" t="n"/>
      <c r="K383" s="391" t="n"/>
      <c r="L383" s="391" t="n"/>
      <c r="M383" s="391" t="n"/>
      <c r="N383" s="391" t="n"/>
      <c r="O383" s="392" t="n"/>
      <c r="P383" s="391" t="n"/>
      <c r="Q383" s="385" t="str">
        <f>IF($B383="","",IF($P383&lt;&gt;"AED",0,IF($F383="Income",$O383,IF($F383="Expense",-$O383,0))))</f>
        <v/>
      </c>
      <c r="R383" s="381" t="n"/>
      <c r="S383" s="381" t="n"/>
      <c r="T383" s="381" t="n"/>
      <c r="U383" s="381" t="n"/>
    </row>
    <row r="384" ht="15" customHeight="1" s="278">
      <c r="A384" s="399" t="str">
        <f>IF($B384="","","T"&amp;TEXT(ROW()-6,"0000"))</f>
        <v/>
      </c>
      <c r="B384" s="386" t="n"/>
      <c r="C384" s="399" t="str">
        <f>IF($B384="","",TEXT($B384,"YYYY-MM"))</f>
        <v/>
      </c>
      <c r="D384" s="400" t="str">
        <f>IF($B384="","",YEAR($B384))</f>
        <v/>
      </c>
      <c r="E384" s="391" t="n"/>
      <c r="F384" s="391" t="n"/>
      <c r="G384" s="391" t="n"/>
      <c r="H384" s="391" t="n"/>
      <c r="I384" s="391" t="n"/>
      <c r="J384" s="391" t="n"/>
      <c r="K384" s="391" t="n"/>
      <c r="L384" s="391" t="n"/>
      <c r="M384" s="391" t="n"/>
      <c r="N384" s="391" t="n"/>
      <c r="O384" s="392" t="n"/>
      <c r="P384" s="391" t="n"/>
      <c r="Q384" s="385" t="str">
        <f>IF($B384="","",IF($P384&lt;&gt;"AED",0,IF($F384="Income",$O384,IF($F384="Expense",-$O384,0))))</f>
        <v/>
      </c>
      <c r="R384" s="381" t="n"/>
      <c r="S384" s="381" t="n"/>
      <c r="T384" s="381" t="n"/>
      <c r="U384" s="381" t="n"/>
    </row>
    <row r="385" ht="15" customHeight="1" s="278">
      <c r="A385" s="399" t="str">
        <f>IF($B385="","","T"&amp;TEXT(ROW()-6,"0000"))</f>
        <v/>
      </c>
      <c r="B385" s="386" t="n"/>
      <c r="C385" s="399" t="str">
        <f>IF($B385="","",TEXT($B385,"YYYY-MM"))</f>
        <v/>
      </c>
      <c r="D385" s="400" t="str">
        <f>IF($B385="","",YEAR($B385))</f>
        <v/>
      </c>
      <c r="E385" s="391" t="n"/>
      <c r="F385" s="391" t="n"/>
      <c r="G385" s="391" t="n"/>
      <c r="H385" s="391" t="n"/>
      <c r="I385" s="391" t="n"/>
      <c r="J385" s="391" t="n"/>
      <c r="K385" s="391" t="n"/>
      <c r="L385" s="391" t="n"/>
      <c r="M385" s="391" t="n"/>
      <c r="N385" s="391" t="n"/>
      <c r="O385" s="392" t="n"/>
      <c r="P385" s="391" t="n"/>
      <c r="Q385" s="385" t="str">
        <f>IF($B385="","",IF($P385&lt;&gt;"AED",0,IF($F385="Income",$O385,IF($F385="Expense",-$O385,0))))</f>
        <v/>
      </c>
      <c r="R385" s="381" t="n"/>
      <c r="S385" s="381" t="n"/>
      <c r="T385" s="381" t="n"/>
      <c r="U385" s="381" t="n"/>
    </row>
    <row r="386" ht="15" customHeight="1" s="278">
      <c r="A386" s="399" t="str">
        <f>IF($B386="","","T"&amp;TEXT(ROW()-6,"0000"))</f>
        <v/>
      </c>
      <c r="B386" s="386" t="n"/>
      <c r="C386" s="399" t="str">
        <f>IF($B386="","",TEXT($B386,"YYYY-MM"))</f>
        <v/>
      </c>
      <c r="D386" s="400" t="str">
        <f>IF($B386="","",YEAR($B386))</f>
        <v/>
      </c>
      <c r="E386" s="391" t="n"/>
      <c r="F386" s="391" t="n"/>
      <c r="G386" s="391" t="n"/>
      <c r="H386" s="391" t="n"/>
      <c r="I386" s="391" t="n"/>
      <c r="J386" s="391" t="n"/>
      <c r="K386" s="391" t="n"/>
      <c r="L386" s="391" t="n"/>
      <c r="M386" s="391" t="n"/>
      <c r="N386" s="391" t="n"/>
      <c r="O386" s="392" t="n"/>
      <c r="P386" s="391" t="n"/>
      <c r="Q386" s="385" t="str">
        <f>IF($B386="","",IF($P386&lt;&gt;"AED",0,IF($F386="Income",$O386,IF($F386="Expense",-$O386,0))))</f>
        <v/>
      </c>
      <c r="R386" s="381" t="n"/>
      <c r="S386" s="381" t="n"/>
      <c r="T386" s="381" t="n"/>
      <c r="U386" s="381" t="n"/>
    </row>
    <row r="387" ht="15" customHeight="1" s="278">
      <c r="A387" s="399" t="str">
        <f>IF($B387="","","T"&amp;TEXT(ROW()-6,"0000"))</f>
        <v/>
      </c>
      <c r="B387" s="386" t="n"/>
      <c r="C387" s="399" t="str">
        <f>IF($B387="","",TEXT($B387,"YYYY-MM"))</f>
        <v/>
      </c>
      <c r="D387" s="400" t="str">
        <f>IF($B387="","",YEAR($B387))</f>
        <v/>
      </c>
      <c r="E387" s="391" t="n"/>
      <c r="F387" s="391" t="n"/>
      <c r="G387" s="391" t="n"/>
      <c r="H387" s="391" t="n"/>
      <c r="I387" s="391" t="n"/>
      <c r="J387" s="391" t="n"/>
      <c r="K387" s="391" t="n"/>
      <c r="L387" s="391" t="n"/>
      <c r="M387" s="391" t="n"/>
      <c r="N387" s="391" t="n"/>
      <c r="O387" s="392" t="n"/>
      <c r="P387" s="391" t="n"/>
      <c r="Q387" s="385" t="str">
        <f>IF($B387="","",IF($P387&lt;&gt;"AED",0,IF($F387="Income",$O387,IF($F387="Expense",-$O387,0))))</f>
        <v/>
      </c>
      <c r="R387" s="381" t="n"/>
      <c r="S387" s="381" t="n"/>
      <c r="T387" s="381" t="n"/>
      <c r="U387" s="381" t="n"/>
    </row>
    <row r="388" ht="15" customHeight="1" s="278">
      <c r="A388" s="399" t="str">
        <f>IF($B388="","","T"&amp;TEXT(ROW()-6,"0000"))</f>
        <v/>
      </c>
      <c r="B388" s="386" t="n"/>
      <c r="C388" s="399" t="str">
        <f>IF($B388="","",TEXT($B388,"YYYY-MM"))</f>
        <v/>
      </c>
      <c r="D388" s="400" t="str">
        <f>IF($B388="","",YEAR($B388))</f>
        <v/>
      </c>
      <c r="E388" s="391" t="n"/>
      <c r="F388" s="391" t="n"/>
      <c r="G388" s="391" t="n"/>
      <c r="H388" s="391" t="n"/>
      <c r="I388" s="391" t="n"/>
      <c r="J388" s="391" t="n"/>
      <c r="K388" s="391" t="n"/>
      <c r="L388" s="391" t="n"/>
      <c r="M388" s="391" t="n"/>
      <c r="N388" s="391" t="n"/>
      <c r="O388" s="392" t="n"/>
      <c r="P388" s="391" t="n"/>
      <c r="Q388" s="385" t="str">
        <f>IF($B388="","",IF($P388&lt;&gt;"AED",0,IF($F388="Income",$O388,IF($F388="Expense",-$O388,0))))</f>
        <v/>
      </c>
      <c r="R388" s="381" t="n"/>
      <c r="S388" s="381" t="n"/>
      <c r="T388" s="381" t="n"/>
      <c r="U388" s="381" t="n"/>
    </row>
    <row r="389" ht="15" customHeight="1" s="278">
      <c r="A389" s="399" t="str">
        <f>IF($B389="","","T"&amp;TEXT(ROW()-6,"0000"))</f>
        <v/>
      </c>
      <c r="B389" s="386" t="n"/>
      <c r="C389" s="399" t="str">
        <f>IF($B389="","",TEXT($B389,"YYYY-MM"))</f>
        <v/>
      </c>
      <c r="D389" s="400" t="str">
        <f>IF($B389="","",YEAR($B389))</f>
        <v/>
      </c>
      <c r="E389" s="391" t="n"/>
      <c r="F389" s="391" t="n"/>
      <c r="G389" s="391" t="n"/>
      <c r="H389" s="391" t="n"/>
      <c r="I389" s="391" t="n"/>
      <c r="J389" s="391" t="n"/>
      <c r="K389" s="391" t="n"/>
      <c r="L389" s="391" t="n"/>
      <c r="M389" s="391" t="n"/>
      <c r="N389" s="391" t="n"/>
      <c r="O389" s="392" t="n"/>
      <c r="P389" s="391" t="n"/>
      <c r="Q389" s="385" t="str">
        <f>IF($B389="","",IF($P389&lt;&gt;"AED",0,IF($F389="Income",$O389,IF($F389="Expense",-$O389,0))))</f>
        <v/>
      </c>
      <c r="R389" s="381" t="n"/>
      <c r="S389" s="381" t="n"/>
      <c r="T389" s="381" t="n"/>
      <c r="U389" s="381" t="n"/>
    </row>
    <row r="390" ht="15" customHeight="1" s="278">
      <c r="A390" s="399" t="str">
        <f>IF($B390="","","T"&amp;TEXT(ROW()-6,"0000"))</f>
        <v/>
      </c>
      <c r="B390" s="386" t="n"/>
      <c r="C390" s="399" t="str">
        <f>IF($B390="","",TEXT($B390,"YYYY-MM"))</f>
        <v/>
      </c>
      <c r="D390" s="400" t="str">
        <f>IF($B390="","",YEAR($B390))</f>
        <v/>
      </c>
      <c r="E390" s="391" t="n"/>
      <c r="F390" s="391" t="n"/>
      <c r="G390" s="391" t="n"/>
      <c r="H390" s="391" t="n"/>
      <c r="I390" s="391" t="n"/>
      <c r="J390" s="391" t="n"/>
      <c r="K390" s="391" t="n"/>
      <c r="L390" s="391" t="n"/>
      <c r="M390" s="391" t="n"/>
      <c r="N390" s="391" t="n"/>
      <c r="O390" s="392" t="n"/>
      <c r="P390" s="391" t="n"/>
      <c r="Q390" s="385" t="str">
        <f>IF($B390="","",IF($P390&lt;&gt;"AED",0,IF($F390="Income",$O390,IF($F390="Expense",-$O390,0))))</f>
        <v/>
      </c>
      <c r="R390" s="381" t="n"/>
      <c r="S390" s="381" t="n"/>
      <c r="T390" s="381" t="n"/>
      <c r="U390" s="381" t="n"/>
    </row>
    <row r="391" ht="15" customHeight="1" s="278">
      <c r="A391" s="399" t="str">
        <f>IF($B391="","","T"&amp;TEXT(ROW()-6,"0000"))</f>
        <v/>
      </c>
      <c r="B391" s="386" t="n"/>
      <c r="C391" s="399" t="str">
        <f>IF($B391="","",TEXT($B391,"YYYY-MM"))</f>
        <v/>
      </c>
      <c r="D391" s="400" t="str">
        <f>IF($B391="","",YEAR($B391))</f>
        <v/>
      </c>
      <c r="E391" s="391" t="n"/>
      <c r="F391" s="391" t="n"/>
      <c r="G391" s="391" t="n"/>
      <c r="H391" s="391" t="n"/>
      <c r="I391" s="391" t="n"/>
      <c r="J391" s="391" t="n"/>
      <c r="K391" s="391" t="n"/>
      <c r="L391" s="391" t="n"/>
      <c r="M391" s="391" t="n"/>
      <c r="N391" s="391" t="n"/>
      <c r="O391" s="392" t="n"/>
      <c r="P391" s="391" t="n"/>
      <c r="Q391" s="385" t="str">
        <f>IF($B391="","",IF($P391&lt;&gt;"AED",0,IF($F391="Income",$O391,IF($F391="Expense",-$O391,0))))</f>
        <v/>
      </c>
      <c r="R391" s="381" t="n"/>
      <c r="S391" s="381" t="n"/>
      <c r="T391" s="381" t="n"/>
      <c r="U391" s="381" t="n"/>
    </row>
    <row r="392" ht="15" customHeight="1" s="278">
      <c r="A392" s="399" t="str">
        <f>IF($B392="","","T"&amp;TEXT(ROW()-6,"0000"))</f>
        <v/>
      </c>
      <c r="B392" s="386" t="n"/>
      <c r="C392" s="399" t="str">
        <f>IF($B392="","",TEXT($B392,"YYYY-MM"))</f>
        <v/>
      </c>
      <c r="D392" s="400" t="str">
        <f>IF($B392="","",YEAR($B392))</f>
        <v/>
      </c>
      <c r="E392" s="391" t="n"/>
      <c r="F392" s="391" t="n"/>
      <c r="G392" s="391" t="n"/>
      <c r="H392" s="391" t="n"/>
      <c r="I392" s="391" t="n"/>
      <c r="J392" s="391" t="n"/>
      <c r="K392" s="391" t="n"/>
      <c r="L392" s="391" t="n"/>
      <c r="M392" s="391" t="n"/>
      <c r="N392" s="391" t="n"/>
      <c r="O392" s="392" t="n"/>
      <c r="P392" s="391" t="n"/>
      <c r="Q392" s="385" t="str">
        <f>IF($B392="","",IF($P392&lt;&gt;"AED",0,IF($F392="Income",$O392,IF($F392="Expense",-$O392,0))))</f>
        <v/>
      </c>
      <c r="R392" s="381" t="n"/>
      <c r="S392" s="381" t="n"/>
      <c r="T392" s="381" t="n"/>
      <c r="U392" s="381" t="n"/>
    </row>
    <row r="393" ht="15" customHeight="1" s="278">
      <c r="A393" s="399" t="str">
        <f>IF($B393="","","T"&amp;TEXT(ROW()-6,"0000"))</f>
        <v/>
      </c>
      <c r="B393" s="386" t="n"/>
      <c r="C393" s="399" t="str">
        <f>IF($B393="","",TEXT($B393,"YYYY-MM"))</f>
        <v/>
      </c>
      <c r="D393" s="400" t="str">
        <f>IF($B393="","",YEAR($B393))</f>
        <v/>
      </c>
      <c r="E393" s="391" t="n"/>
      <c r="F393" s="391" t="n"/>
      <c r="G393" s="391" t="n"/>
      <c r="H393" s="391" t="n"/>
      <c r="I393" s="391" t="n"/>
      <c r="J393" s="391" t="n"/>
      <c r="K393" s="391" t="n"/>
      <c r="L393" s="391" t="n"/>
      <c r="M393" s="391" t="n"/>
      <c r="N393" s="391" t="n"/>
      <c r="O393" s="392" t="n"/>
      <c r="P393" s="391" t="n"/>
      <c r="Q393" s="385" t="str">
        <f>IF($B393="","",IF($P393&lt;&gt;"AED",0,IF($F393="Income",$O393,IF($F393="Expense",-$O393,0))))</f>
        <v/>
      </c>
      <c r="R393" s="381" t="n"/>
      <c r="S393" s="381" t="n"/>
      <c r="T393" s="381" t="n"/>
      <c r="U393" s="381" t="n"/>
    </row>
    <row r="394" ht="15" customHeight="1" s="278">
      <c r="A394" s="399" t="str">
        <f>IF($B394="","","T"&amp;TEXT(ROW()-6,"0000"))</f>
        <v/>
      </c>
      <c r="B394" s="386" t="n"/>
      <c r="C394" s="399" t="str">
        <f>IF($B394="","",TEXT($B394,"YYYY-MM"))</f>
        <v/>
      </c>
      <c r="D394" s="400" t="str">
        <f>IF($B394="","",YEAR($B394))</f>
        <v/>
      </c>
      <c r="E394" s="391" t="n"/>
      <c r="F394" s="391" t="n"/>
      <c r="G394" s="391" t="n"/>
      <c r="H394" s="391" t="n"/>
      <c r="I394" s="391" t="n"/>
      <c r="J394" s="391" t="n"/>
      <c r="K394" s="391" t="n"/>
      <c r="L394" s="391" t="n"/>
      <c r="M394" s="391" t="n"/>
      <c r="N394" s="391" t="n"/>
      <c r="O394" s="392" t="n"/>
      <c r="P394" s="391" t="n"/>
      <c r="Q394" s="385" t="str">
        <f>IF($B394="","",IF($P394&lt;&gt;"AED",0,IF($F394="Income",$O394,IF($F394="Expense",-$O394,0))))</f>
        <v/>
      </c>
      <c r="R394" s="381" t="n"/>
      <c r="S394" s="381" t="n"/>
      <c r="T394" s="381" t="n"/>
      <c r="U394" s="381" t="n"/>
    </row>
    <row r="395" ht="15" customHeight="1" s="278">
      <c r="A395" s="399" t="str">
        <f>IF($B395="","","T"&amp;TEXT(ROW()-6,"0000"))</f>
        <v/>
      </c>
      <c r="B395" s="386" t="n"/>
      <c r="C395" s="399" t="str">
        <f>IF($B395="","",TEXT($B395,"YYYY-MM"))</f>
        <v/>
      </c>
      <c r="D395" s="400" t="str">
        <f>IF($B395="","",YEAR($B395))</f>
        <v/>
      </c>
      <c r="E395" s="391" t="n"/>
      <c r="F395" s="391" t="n"/>
      <c r="G395" s="391" t="n"/>
      <c r="H395" s="391" t="n"/>
      <c r="I395" s="391" t="n"/>
      <c r="J395" s="391" t="n"/>
      <c r="K395" s="391" t="n"/>
      <c r="L395" s="391" t="n"/>
      <c r="M395" s="391" t="n"/>
      <c r="N395" s="391" t="n"/>
      <c r="O395" s="392" t="n"/>
      <c r="P395" s="391" t="n"/>
      <c r="Q395" s="385" t="str">
        <f>IF($B395="","",IF($P395&lt;&gt;"AED",0,IF($F395="Income",$O395,IF($F395="Expense",-$O395,0))))</f>
        <v/>
      </c>
      <c r="R395" s="381" t="n"/>
      <c r="S395" s="381" t="n"/>
      <c r="T395" s="381" t="n"/>
      <c r="U395" s="381" t="n"/>
    </row>
    <row r="396" ht="15" customHeight="1" s="278">
      <c r="A396" s="399" t="str">
        <f>IF($B396="","","T"&amp;TEXT(ROW()-6,"0000"))</f>
        <v/>
      </c>
      <c r="B396" s="386" t="n"/>
      <c r="C396" s="399" t="str">
        <f>IF($B396="","",TEXT($B396,"YYYY-MM"))</f>
        <v/>
      </c>
      <c r="D396" s="400" t="str">
        <f>IF($B396="","",YEAR($B396))</f>
        <v/>
      </c>
      <c r="E396" s="391" t="n"/>
      <c r="F396" s="391" t="n"/>
      <c r="G396" s="391" t="n"/>
      <c r="H396" s="391" t="n"/>
      <c r="I396" s="391" t="n"/>
      <c r="J396" s="391" t="n"/>
      <c r="K396" s="391" t="n"/>
      <c r="L396" s="391" t="n"/>
      <c r="M396" s="391" t="n"/>
      <c r="N396" s="391" t="n"/>
      <c r="O396" s="392" t="n"/>
      <c r="P396" s="391" t="n"/>
      <c r="Q396" s="385" t="str">
        <f>IF($B396="","",IF($P396&lt;&gt;"AED",0,IF($F396="Income",$O396,IF($F396="Expense",-$O396,0))))</f>
        <v/>
      </c>
      <c r="R396" s="381" t="n"/>
      <c r="S396" s="381" t="n"/>
      <c r="T396" s="381" t="n"/>
      <c r="U396" s="381" t="n"/>
    </row>
    <row r="397" ht="15" customHeight="1" s="278">
      <c r="A397" s="399" t="str">
        <f>IF($B397="","","T"&amp;TEXT(ROW()-6,"0000"))</f>
        <v/>
      </c>
      <c r="B397" s="386" t="n"/>
      <c r="C397" s="399" t="str">
        <f>IF($B397="","",TEXT($B397,"YYYY-MM"))</f>
        <v/>
      </c>
      <c r="D397" s="400" t="str">
        <f>IF($B397="","",YEAR($B397))</f>
        <v/>
      </c>
      <c r="E397" s="391" t="n"/>
      <c r="F397" s="391" t="n"/>
      <c r="G397" s="391" t="n"/>
      <c r="H397" s="391" t="n"/>
      <c r="I397" s="391" t="n"/>
      <c r="J397" s="391" t="n"/>
      <c r="K397" s="391" t="n"/>
      <c r="L397" s="391" t="n"/>
      <c r="M397" s="391" t="n"/>
      <c r="N397" s="391" t="n"/>
      <c r="O397" s="392" t="n"/>
      <c r="P397" s="391" t="n"/>
      <c r="Q397" s="385" t="str">
        <f>IF($B397="","",IF($P397&lt;&gt;"AED",0,IF($F397="Income",$O397,IF($F397="Expense",-$O397,0))))</f>
        <v/>
      </c>
      <c r="R397" s="381" t="n"/>
      <c r="S397" s="381" t="n"/>
      <c r="T397" s="381" t="n"/>
      <c r="U397" s="381" t="n"/>
    </row>
    <row r="398" ht="15" customHeight="1" s="278">
      <c r="A398" s="399" t="str">
        <f>IF($B398="","","T"&amp;TEXT(ROW()-6,"0000"))</f>
        <v/>
      </c>
      <c r="B398" s="386" t="n"/>
      <c r="C398" s="399" t="str">
        <f>IF($B398="","",TEXT($B398,"YYYY-MM"))</f>
        <v/>
      </c>
      <c r="D398" s="400" t="str">
        <f>IF($B398="","",YEAR($B398))</f>
        <v/>
      </c>
      <c r="E398" s="391" t="n"/>
      <c r="F398" s="391" t="n"/>
      <c r="G398" s="391" t="n"/>
      <c r="H398" s="391" t="n"/>
      <c r="I398" s="391" t="n"/>
      <c r="J398" s="391" t="n"/>
      <c r="K398" s="391" t="n"/>
      <c r="L398" s="391" t="n"/>
      <c r="M398" s="391" t="n"/>
      <c r="N398" s="391" t="n"/>
      <c r="O398" s="392" t="n"/>
      <c r="P398" s="391" t="n"/>
      <c r="Q398" s="385" t="str">
        <f>IF($B398="","",IF($P398&lt;&gt;"AED",0,IF($F398="Income",$O398,IF($F398="Expense",-$O398,0))))</f>
        <v/>
      </c>
      <c r="R398" s="381" t="n"/>
      <c r="S398" s="381" t="n"/>
      <c r="T398" s="381" t="n"/>
      <c r="U398" s="381" t="n"/>
    </row>
    <row r="399" ht="15" customHeight="1" s="278">
      <c r="A399" s="399" t="str">
        <f>IF($B399="","","T"&amp;TEXT(ROW()-6,"0000"))</f>
        <v/>
      </c>
      <c r="B399" s="386" t="n"/>
      <c r="C399" s="399" t="str">
        <f>IF($B399="","",TEXT($B399,"YYYY-MM"))</f>
        <v/>
      </c>
      <c r="D399" s="400" t="str">
        <f>IF($B399="","",YEAR($B399))</f>
        <v/>
      </c>
      <c r="E399" s="391" t="n"/>
      <c r="F399" s="391" t="n"/>
      <c r="G399" s="391" t="n"/>
      <c r="H399" s="391" t="n"/>
      <c r="I399" s="391" t="n"/>
      <c r="J399" s="391" t="n"/>
      <c r="K399" s="391" t="n"/>
      <c r="L399" s="391" t="n"/>
      <c r="M399" s="391" t="n"/>
      <c r="N399" s="391" t="n"/>
      <c r="O399" s="392" t="n"/>
      <c r="P399" s="391" t="n"/>
      <c r="Q399" s="385" t="str">
        <f>IF($B399="","",IF($P399&lt;&gt;"AED",0,IF($F399="Income",$O399,IF($F399="Expense",-$O399,0))))</f>
        <v/>
      </c>
      <c r="R399" s="381" t="n"/>
      <c r="S399" s="381" t="n"/>
      <c r="T399" s="381" t="n"/>
      <c r="U399" s="381" t="n"/>
    </row>
    <row r="400" ht="15" customHeight="1" s="278">
      <c r="A400" s="399" t="str">
        <f>IF($B400="","","T"&amp;TEXT(ROW()-6,"0000"))</f>
        <v/>
      </c>
      <c r="B400" s="386" t="n"/>
      <c r="C400" s="399" t="str">
        <f>IF($B400="","",TEXT($B400,"YYYY-MM"))</f>
        <v/>
      </c>
      <c r="D400" s="400" t="str">
        <f>IF($B400="","",YEAR($B400))</f>
        <v/>
      </c>
      <c r="E400" s="391" t="n"/>
      <c r="F400" s="391" t="n"/>
      <c r="G400" s="391" t="n"/>
      <c r="H400" s="391" t="n"/>
      <c r="I400" s="391" t="n"/>
      <c r="J400" s="391" t="n"/>
      <c r="K400" s="391" t="n"/>
      <c r="L400" s="391" t="n"/>
      <c r="M400" s="391" t="n"/>
      <c r="N400" s="391" t="n"/>
      <c r="O400" s="392" t="n"/>
      <c r="P400" s="391" t="n"/>
      <c r="Q400" s="385" t="str">
        <f>IF($B400="","",IF($P400&lt;&gt;"AED",0,IF($F400="Income",$O400,IF($F400="Expense",-$O400,0))))</f>
        <v/>
      </c>
      <c r="R400" s="381" t="n"/>
      <c r="S400" s="381" t="n"/>
      <c r="T400" s="381" t="n"/>
      <c r="U400" s="381" t="n"/>
    </row>
    <row r="401" ht="15" customHeight="1" s="278">
      <c r="A401" s="399" t="str">
        <f>IF($B401="","","T"&amp;TEXT(ROW()-6,"0000"))</f>
        <v/>
      </c>
      <c r="B401" s="386" t="n"/>
      <c r="C401" s="399" t="str">
        <f>IF($B401="","",TEXT($B401,"YYYY-MM"))</f>
        <v/>
      </c>
      <c r="D401" s="400" t="str">
        <f>IF($B401="","",YEAR($B401))</f>
        <v/>
      </c>
      <c r="E401" s="391" t="n"/>
      <c r="F401" s="391" t="n"/>
      <c r="G401" s="391" t="n"/>
      <c r="H401" s="391" t="n"/>
      <c r="I401" s="391" t="n"/>
      <c r="J401" s="391" t="n"/>
      <c r="K401" s="391" t="n"/>
      <c r="L401" s="391" t="n"/>
      <c r="M401" s="391" t="n"/>
      <c r="N401" s="391" t="n"/>
      <c r="O401" s="392" t="n"/>
      <c r="P401" s="391" t="n"/>
      <c r="Q401" s="385" t="str">
        <f>IF($B401="","",IF($P401&lt;&gt;"AED",0,IF($F401="Income",$O401,IF($F401="Expense",-$O401,0))))</f>
        <v/>
      </c>
      <c r="R401" s="381" t="n"/>
      <c r="S401" s="381" t="n"/>
      <c r="T401" s="381" t="n"/>
      <c r="U401" s="381" t="n"/>
    </row>
    <row r="402" ht="15" customHeight="1" s="278">
      <c r="A402" s="399" t="str">
        <f>IF($B402="","","T"&amp;TEXT(ROW()-6,"0000"))</f>
        <v/>
      </c>
      <c r="B402" s="386" t="n"/>
      <c r="C402" s="399" t="str">
        <f>IF($B402="","",TEXT($B402,"YYYY-MM"))</f>
        <v/>
      </c>
      <c r="D402" s="400" t="str">
        <f>IF($B402="","",YEAR($B402))</f>
        <v/>
      </c>
      <c r="E402" s="391" t="n"/>
      <c r="F402" s="391" t="n"/>
      <c r="G402" s="391" t="n"/>
      <c r="H402" s="391" t="n"/>
      <c r="I402" s="391" t="n"/>
      <c r="J402" s="391" t="n"/>
      <c r="K402" s="391" t="n"/>
      <c r="L402" s="391" t="n"/>
      <c r="M402" s="391" t="n"/>
      <c r="N402" s="391" t="n"/>
      <c r="O402" s="392" t="n"/>
      <c r="P402" s="391" t="n"/>
      <c r="Q402" s="385" t="str">
        <f>IF($B402="","",IF($P402&lt;&gt;"AED",0,IF($F402="Income",$O402,IF($F402="Expense",-$O402,0))))</f>
        <v/>
      </c>
      <c r="R402" s="381" t="n"/>
      <c r="S402" s="381" t="n"/>
      <c r="T402" s="381" t="n"/>
      <c r="U402" s="381" t="n"/>
    </row>
    <row r="403" ht="15" customHeight="1" s="278">
      <c r="A403" s="399" t="str">
        <f>IF($B403="","","T"&amp;TEXT(ROW()-6,"0000"))</f>
        <v/>
      </c>
      <c r="B403" s="386" t="n"/>
      <c r="C403" s="399" t="str">
        <f>IF($B403="","",TEXT($B403,"YYYY-MM"))</f>
        <v/>
      </c>
      <c r="D403" s="400" t="str">
        <f>IF($B403="","",YEAR($B403))</f>
        <v/>
      </c>
      <c r="E403" s="391" t="n"/>
      <c r="F403" s="391" t="n"/>
      <c r="G403" s="391" t="n"/>
      <c r="H403" s="391" t="n"/>
      <c r="I403" s="391" t="n"/>
      <c r="J403" s="391" t="n"/>
      <c r="K403" s="391" t="n"/>
      <c r="L403" s="391" t="n"/>
      <c r="M403" s="391" t="n"/>
      <c r="N403" s="391" t="n"/>
      <c r="O403" s="392" t="n"/>
      <c r="P403" s="391" t="n"/>
      <c r="Q403" s="385" t="str">
        <f>IF($B403="","",IF($P403&lt;&gt;"AED",0,IF($F403="Income",$O403,IF($F403="Expense",-$O403,0))))</f>
        <v/>
      </c>
      <c r="R403" s="381" t="n"/>
      <c r="S403" s="381" t="n"/>
      <c r="T403" s="381" t="n"/>
      <c r="U403" s="381" t="n"/>
    </row>
    <row r="404" ht="15" customHeight="1" s="278">
      <c r="A404" s="399" t="str">
        <f>IF($B404="","","T"&amp;TEXT(ROW()-6,"0000"))</f>
        <v/>
      </c>
      <c r="B404" s="386" t="n"/>
      <c r="C404" s="399" t="str">
        <f>IF($B404="","",TEXT($B404,"YYYY-MM"))</f>
        <v/>
      </c>
      <c r="D404" s="400" t="str">
        <f>IF($B404="","",YEAR($B404))</f>
        <v/>
      </c>
      <c r="E404" s="391" t="n"/>
      <c r="F404" s="391" t="n"/>
      <c r="G404" s="391" t="n"/>
      <c r="H404" s="391" t="n"/>
      <c r="I404" s="391" t="n"/>
      <c r="J404" s="391" t="n"/>
      <c r="K404" s="391" t="n"/>
      <c r="L404" s="391" t="n"/>
      <c r="M404" s="391" t="n"/>
      <c r="N404" s="391" t="n"/>
      <c r="O404" s="392" t="n"/>
      <c r="P404" s="391" t="n"/>
      <c r="Q404" s="385" t="str">
        <f>IF($B404="","",IF($P404&lt;&gt;"AED",0,IF($F404="Income",$O404,IF($F404="Expense",-$O404,0))))</f>
        <v/>
      </c>
      <c r="R404" s="381" t="n"/>
      <c r="S404" s="381" t="n"/>
      <c r="T404" s="381" t="n"/>
      <c r="U404" s="381" t="n"/>
    </row>
    <row r="405" ht="15" customHeight="1" s="278">
      <c r="A405" s="399" t="str">
        <f>IF($B405="","","T"&amp;TEXT(ROW()-6,"0000"))</f>
        <v/>
      </c>
      <c r="B405" s="386" t="n"/>
      <c r="C405" s="399" t="str">
        <f>IF($B405="","",TEXT($B405,"YYYY-MM"))</f>
        <v/>
      </c>
      <c r="D405" s="400" t="str">
        <f>IF($B405="","",YEAR($B405))</f>
        <v/>
      </c>
      <c r="E405" s="391" t="n"/>
      <c r="F405" s="391" t="n"/>
      <c r="G405" s="391" t="n"/>
      <c r="H405" s="391" t="n"/>
      <c r="I405" s="391" t="n"/>
      <c r="J405" s="391" t="n"/>
      <c r="K405" s="391" t="n"/>
      <c r="L405" s="391" t="n"/>
      <c r="M405" s="391" t="n"/>
      <c r="N405" s="391" t="n"/>
      <c r="O405" s="392" t="n"/>
      <c r="P405" s="391" t="n"/>
      <c r="Q405" s="385" t="str">
        <f>IF($B405="","",IF($P405&lt;&gt;"AED",0,IF($F405="Income",$O405,IF($F405="Expense",-$O405,0))))</f>
        <v/>
      </c>
      <c r="R405" s="381" t="n"/>
      <c r="S405" s="381" t="n"/>
      <c r="T405" s="381" t="n"/>
      <c r="U405" s="381" t="n"/>
    </row>
    <row r="406" ht="15" customHeight="1" s="278">
      <c r="A406" s="399" t="str">
        <f>IF($B406="","","T"&amp;TEXT(ROW()-6,"0000"))</f>
        <v/>
      </c>
      <c r="B406" s="386" t="n"/>
      <c r="C406" s="399" t="str">
        <f>IF($B406="","",TEXT($B406,"YYYY-MM"))</f>
        <v/>
      </c>
      <c r="D406" s="400" t="str">
        <f>IF($B406="","",YEAR($B406))</f>
        <v/>
      </c>
      <c r="E406" s="391" t="n"/>
      <c r="F406" s="391" t="n"/>
      <c r="G406" s="391" t="n"/>
      <c r="H406" s="391" t="n"/>
      <c r="I406" s="391" t="n"/>
      <c r="J406" s="391" t="n"/>
      <c r="K406" s="391" t="n"/>
      <c r="L406" s="391" t="n"/>
      <c r="M406" s="391" t="n"/>
      <c r="N406" s="391" t="n"/>
      <c r="O406" s="392" t="n"/>
      <c r="P406" s="391" t="n"/>
      <c r="Q406" s="385" t="str">
        <f>IF($B406="","",IF($P406&lt;&gt;"AED",0,IF($F406="Income",$O406,IF($F406="Expense",-$O406,0))))</f>
        <v/>
      </c>
      <c r="R406" s="381" t="n"/>
      <c r="S406" s="381" t="n"/>
      <c r="T406" s="381" t="n"/>
      <c r="U406" s="381" t="n"/>
    </row>
    <row r="407" ht="15" customHeight="1" s="278">
      <c r="A407" s="399" t="str">
        <f>IF($B407="","","T"&amp;TEXT(ROW()-6,"0000"))</f>
        <v/>
      </c>
      <c r="B407" s="386" t="n"/>
      <c r="C407" s="399" t="str">
        <f>IF($B407="","",TEXT($B407,"YYYY-MM"))</f>
        <v/>
      </c>
      <c r="D407" s="400" t="str">
        <f>IF($B407="","",YEAR($B407))</f>
        <v/>
      </c>
      <c r="E407" s="391" t="n"/>
      <c r="F407" s="391" t="n"/>
      <c r="G407" s="391" t="n"/>
      <c r="H407" s="391" t="n"/>
      <c r="I407" s="391" t="n"/>
      <c r="J407" s="391" t="n"/>
      <c r="K407" s="391" t="n"/>
      <c r="L407" s="391" t="n"/>
      <c r="M407" s="391" t="n"/>
      <c r="N407" s="391" t="n"/>
      <c r="O407" s="392" t="n"/>
      <c r="P407" s="391" t="n"/>
      <c r="Q407" s="385" t="str">
        <f>IF($B407="","",IF($P407&lt;&gt;"AED",0,IF($F407="Income",$O407,IF($F407="Expense",-$O407,0))))</f>
        <v/>
      </c>
      <c r="R407" s="381" t="n"/>
      <c r="S407" s="381" t="n"/>
      <c r="T407" s="381" t="n"/>
      <c r="U407" s="381" t="n"/>
    </row>
    <row r="408" ht="15" customHeight="1" s="278">
      <c r="A408" s="399" t="str">
        <f>IF($B408="","","T"&amp;TEXT(ROW()-6,"0000"))</f>
        <v/>
      </c>
      <c r="B408" s="386" t="n"/>
      <c r="C408" s="399" t="str">
        <f>IF($B408="","",TEXT($B408,"YYYY-MM"))</f>
        <v/>
      </c>
      <c r="D408" s="400" t="str">
        <f>IF($B408="","",YEAR($B408))</f>
        <v/>
      </c>
      <c r="E408" s="391" t="n"/>
      <c r="F408" s="391" t="n"/>
      <c r="G408" s="391" t="n"/>
      <c r="H408" s="391" t="n"/>
      <c r="I408" s="391" t="n"/>
      <c r="J408" s="391" t="n"/>
      <c r="K408" s="391" t="n"/>
      <c r="L408" s="391" t="n"/>
      <c r="M408" s="391" t="n"/>
      <c r="N408" s="391" t="n"/>
      <c r="O408" s="392" t="n"/>
      <c r="P408" s="391" t="n"/>
      <c r="Q408" s="385" t="str">
        <f>IF($B408="","",IF($P408&lt;&gt;"AED",0,IF($F408="Income",$O408,IF($F408="Expense",-$O408,0))))</f>
        <v/>
      </c>
      <c r="R408" s="381" t="n"/>
      <c r="S408" s="381" t="n"/>
      <c r="T408" s="381" t="n"/>
      <c r="U408" s="381" t="n"/>
    </row>
    <row r="409" ht="15" customHeight="1" s="278">
      <c r="A409" s="399" t="str">
        <f>IF($B409="","","T"&amp;TEXT(ROW()-6,"0000"))</f>
        <v/>
      </c>
      <c r="B409" s="386" t="n"/>
      <c r="C409" s="399" t="str">
        <f>IF($B409="","",TEXT($B409,"YYYY-MM"))</f>
        <v/>
      </c>
      <c r="D409" s="400" t="str">
        <f>IF($B409="","",YEAR($B409))</f>
        <v/>
      </c>
      <c r="E409" s="391" t="n"/>
      <c r="F409" s="391" t="n"/>
      <c r="G409" s="391" t="n"/>
      <c r="H409" s="391" t="n"/>
      <c r="I409" s="391" t="n"/>
      <c r="J409" s="391" t="n"/>
      <c r="K409" s="391" t="n"/>
      <c r="L409" s="391" t="n"/>
      <c r="M409" s="391" t="n"/>
      <c r="N409" s="391" t="n"/>
      <c r="O409" s="392" t="n"/>
      <c r="P409" s="391" t="n"/>
      <c r="Q409" s="385" t="str">
        <f>IF($B409="","",IF($P409&lt;&gt;"AED",0,IF($F409="Income",$O409,IF($F409="Expense",-$O409,0))))</f>
        <v/>
      </c>
      <c r="R409" s="381" t="n"/>
      <c r="S409" s="381" t="n"/>
      <c r="T409" s="381" t="n"/>
      <c r="U409" s="381" t="n"/>
    </row>
    <row r="410" ht="15" customHeight="1" s="278">
      <c r="A410" s="399" t="str">
        <f>IF($B410="","","T"&amp;TEXT(ROW()-6,"0000"))</f>
        <v/>
      </c>
      <c r="B410" s="386" t="n"/>
      <c r="C410" s="399" t="str">
        <f>IF($B410="","",TEXT($B410,"YYYY-MM"))</f>
        <v/>
      </c>
      <c r="D410" s="400" t="str">
        <f>IF($B410="","",YEAR($B410))</f>
        <v/>
      </c>
      <c r="E410" s="391" t="n"/>
      <c r="F410" s="391" t="n"/>
      <c r="G410" s="391" t="n"/>
      <c r="H410" s="391" t="n"/>
      <c r="I410" s="391" t="n"/>
      <c r="J410" s="391" t="n"/>
      <c r="K410" s="391" t="n"/>
      <c r="L410" s="391" t="n"/>
      <c r="M410" s="391" t="n"/>
      <c r="N410" s="391" t="n"/>
      <c r="O410" s="392" t="n"/>
      <c r="P410" s="391" t="n"/>
      <c r="Q410" s="385" t="str">
        <f>IF($B410="","",IF($P410&lt;&gt;"AED",0,IF($F410="Income",$O410,IF($F410="Expense",-$O410,0))))</f>
        <v/>
      </c>
      <c r="R410" s="381" t="n"/>
      <c r="S410" s="381" t="n"/>
      <c r="T410" s="381" t="n"/>
      <c r="U410" s="381" t="n"/>
    </row>
    <row r="411" ht="15" customHeight="1" s="278">
      <c r="A411" s="399" t="str">
        <f>IF($B411="","","T"&amp;TEXT(ROW()-6,"0000"))</f>
        <v/>
      </c>
      <c r="B411" s="386" t="n"/>
      <c r="C411" s="399" t="str">
        <f>IF($B411="","",TEXT($B411,"YYYY-MM"))</f>
        <v/>
      </c>
      <c r="D411" s="400" t="str">
        <f>IF($B411="","",YEAR($B411))</f>
        <v/>
      </c>
      <c r="E411" s="391" t="n"/>
      <c r="F411" s="391" t="n"/>
      <c r="G411" s="391" t="n"/>
      <c r="H411" s="391" t="n"/>
      <c r="I411" s="391" t="n"/>
      <c r="J411" s="391" t="n"/>
      <c r="K411" s="391" t="n"/>
      <c r="L411" s="391" t="n"/>
      <c r="M411" s="391" t="n"/>
      <c r="N411" s="391" t="n"/>
      <c r="O411" s="392" t="n"/>
      <c r="P411" s="391" t="n"/>
      <c r="Q411" s="385" t="str">
        <f>IF($B411="","",IF($P411&lt;&gt;"AED",0,IF($F411="Income",$O411,IF($F411="Expense",-$O411,0))))</f>
        <v/>
      </c>
      <c r="R411" s="381" t="n"/>
      <c r="S411" s="381" t="n"/>
      <c r="T411" s="381" t="n"/>
      <c r="U411" s="381" t="n"/>
    </row>
    <row r="412" ht="15" customHeight="1" s="278">
      <c r="A412" s="399" t="str">
        <f>IF($B412="","","T"&amp;TEXT(ROW()-6,"0000"))</f>
        <v/>
      </c>
      <c r="B412" s="386" t="n"/>
      <c r="C412" s="399" t="str">
        <f>IF($B412="","",TEXT($B412,"YYYY-MM"))</f>
        <v/>
      </c>
      <c r="D412" s="400" t="str">
        <f>IF($B412="","",YEAR($B412))</f>
        <v/>
      </c>
      <c r="E412" s="391" t="n"/>
      <c r="F412" s="391" t="n"/>
      <c r="G412" s="391" t="n"/>
      <c r="H412" s="391" t="n"/>
      <c r="I412" s="391" t="n"/>
      <c r="J412" s="391" t="n"/>
      <c r="K412" s="391" t="n"/>
      <c r="L412" s="391" t="n"/>
      <c r="M412" s="391" t="n"/>
      <c r="N412" s="391" t="n"/>
      <c r="O412" s="392" t="n"/>
      <c r="P412" s="391" t="n"/>
      <c r="Q412" s="385" t="str">
        <f>IF($B412="","",IF($P412&lt;&gt;"AED",0,IF($F412="Income",$O412,IF($F412="Expense",-$O412,0))))</f>
        <v/>
      </c>
      <c r="R412" s="381" t="n"/>
      <c r="S412" s="381" t="n"/>
      <c r="T412" s="381" t="n"/>
      <c r="U412" s="381" t="n"/>
    </row>
    <row r="413" ht="15" customHeight="1" s="278">
      <c r="A413" s="399" t="str">
        <f>IF($B413="","","T"&amp;TEXT(ROW()-6,"0000"))</f>
        <v/>
      </c>
      <c r="B413" s="386" t="n"/>
      <c r="C413" s="399" t="str">
        <f>IF($B413="","",TEXT($B413,"YYYY-MM"))</f>
        <v/>
      </c>
      <c r="D413" s="400" t="str">
        <f>IF($B413="","",YEAR($B413))</f>
        <v/>
      </c>
      <c r="E413" s="391" t="n"/>
      <c r="F413" s="391" t="n"/>
      <c r="G413" s="391" t="n"/>
      <c r="H413" s="391" t="n"/>
      <c r="I413" s="391" t="n"/>
      <c r="J413" s="391" t="n"/>
      <c r="K413" s="391" t="n"/>
      <c r="L413" s="391" t="n"/>
      <c r="M413" s="391" t="n"/>
      <c r="N413" s="391" t="n"/>
      <c r="O413" s="392" t="n"/>
      <c r="P413" s="391" t="n"/>
      <c r="Q413" s="385" t="str">
        <f>IF($B413="","",IF($P413&lt;&gt;"AED",0,IF($F413="Income",$O413,IF($F413="Expense",-$O413,0))))</f>
        <v/>
      </c>
      <c r="R413" s="381" t="n"/>
      <c r="S413" s="381" t="n"/>
      <c r="T413" s="381" t="n"/>
      <c r="U413" s="381" t="n"/>
    </row>
    <row r="414" ht="15" customHeight="1" s="278">
      <c r="A414" s="399" t="str">
        <f>IF($B414="","","T"&amp;TEXT(ROW()-6,"0000"))</f>
        <v/>
      </c>
      <c r="B414" s="386" t="n"/>
      <c r="C414" s="399" t="str">
        <f>IF($B414="","",TEXT($B414,"YYYY-MM"))</f>
        <v/>
      </c>
      <c r="D414" s="400" t="str">
        <f>IF($B414="","",YEAR($B414))</f>
        <v/>
      </c>
      <c r="E414" s="391" t="n"/>
      <c r="F414" s="391" t="n"/>
      <c r="G414" s="391" t="n"/>
      <c r="H414" s="391" t="n"/>
      <c r="I414" s="391" t="n"/>
      <c r="J414" s="391" t="n"/>
      <c r="K414" s="391" t="n"/>
      <c r="L414" s="391" t="n"/>
      <c r="M414" s="391" t="n"/>
      <c r="N414" s="391" t="n"/>
      <c r="O414" s="392" t="n"/>
      <c r="P414" s="391" t="n"/>
      <c r="Q414" s="385" t="str">
        <f>IF($B414="","",IF($P414&lt;&gt;"AED",0,IF($F414="Income",$O414,IF($F414="Expense",-$O414,0))))</f>
        <v/>
      </c>
      <c r="R414" s="381" t="n"/>
      <c r="S414" s="381" t="n"/>
      <c r="T414" s="381" t="n"/>
      <c r="U414" s="381" t="n"/>
    </row>
    <row r="415" ht="15" customHeight="1" s="278">
      <c r="A415" s="399" t="str">
        <f>IF($B415="","","T"&amp;TEXT(ROW()-6,"0000"))</f>
        <v/>
      </c>
      <c r="B415" s="386" t="n"/>
      <c r="C415" s="399" t="str">
        <f>IF($B415="","",TEXT($B415,"YYYY-MM"))</f>
        <v/>
      </c>
      <c r="D415" s="400" t="str">
        <f>IF($B415="","",YEAR($B415))</f>
        <v/>
      </c>
      <c r="E415" s="391" t="n"/>
      <c r="F415" s="391" t="n"/>
      <c r="G415" s="391" t="n"/>
      <c r="H415" s="391" t="n"/>
      <c r="I415" s="391" t="n"/>
      <c r="J415" s="391" t="n"/>
      <c r="K415" s="391" t="n"/>
      <c r="L415" s="391" t="n"/>
      <c r="M415" s="391" t="n"/>
      <c r="N415" s="391" t="n"/>
      <c r="O415" s="392" t="n"/>
      <c r="P415" s="391" t="n"/>
      <c r="Q415" s="385" t="str">
        <f>IF($B415="","",IF($P415&lt;&gt;"AED",0,IF($F415="Income",$O415,IF($F415="Expense",-$O415,0))))</f>
        <v/>
      </c>
      <c r="R415" s="381" t="n"/>
      <c r="S415" s="381" t="n"/>
      <c r="T415" s="381" t="n"/>
      <c r="U415" s="381" t="n"/>
    </row>
    <row r="416" ht="15" customHeight="1" s="278">
      <c r="A416" s="399" t="str">
        <f>IF($B416="","","T"&amp;TEXT(ROW()-6,"0000"))</f>
        <v/>
      </c>
      <c r="B416" s="386" t="n"/>
      <c r="C416" s="399" t="str">
        <f>IF($B416="","",TEXT($B416,"YYYY-MM"))</f>
        <v/>
      </c>
      <c r="D416" s="400" t="str">
        <f>IF($B416="","",YEAR($B416))</f>
        <v/>
      </c>
      <c r="E416" s="391" t="n"/>
      <c r="F416" s="391" t="n"/>
      <c r="G416" s="391" t="n"/>
      <c r="H416" s="391" t="n"/>
      <c r="I416" s="391" t="n"/>
      <c r="J416" s="391" t="n"/>
      <c r="K416" s="391" t="n"/>
      <c r="L416" s="391" t="n"/>
      <c r="M416" s="391" t="n"/>
      <c r="N416" s="391" t="n"/>
      <c r="O416" s="392" t="n"/>
      <c r="P416" s="391" t="n"/>
      <c r="Q416" s="385" t="str">
        <f>IF($B416="","",IF($P416&lt;&gt;"AED",0,IF($F416="Income",$O416,IF($F416="Expense",-$O416,0))))</f>
        <v/>
      </c>
      <c r="R416" s="381" t="n"/>
      <c r="S416" s="381" t="n"/>
      <c r="T416" s="381" t="n"/>
      <c r="U416" s="381" t="n"/>
    </row>
    <row r="417" ht="15" customHeight="1" s="278">
      <c r="A417" s="399" t="str">
        <f>IF($B417="","","T"&amp;TEXT(ROW()-6,"0000"))</f>
        <v/>
      </c>
      <c r="B417" s="386" t="n"/>
      <c r="C417" s="399" t="str">
        <f>IF($B417="","",TEXT($B417,"YYYY-MM"))</f>
        <v/>
      </c>
      <c r="D417" s="400" t="str">
        <f>IF($B417="","",YEAR($B417))</f>
        <v/>
      </c>
      <c r="E417" s="391" t="n"/>
      <c r="F417" s="391" t="n"/>
      <c r="G417" s="391" t="n"/>
      <c r="H417" s="391" t="n"/>
      <c r="I417" s="391" t="n"/>
      <c r="J417" s="391" t="n"/>
      <c r="K417" s="391" t="n"/>
      <c r="L417" s="391" t="n"/>
      <c r="M417" s="391" t="n"/>
      <c r="N417" s="391" t="n"/>
      <c r="O417" s="392" t="n"/>
      <c r="P417" s="391" t="n"/>
      <c r="Q417" s="385" t="str">
        <f>IF($B417="","",IF($P417&lt;&gt;"AED",0,IF($F417="Income",$O417,IF($F417="Expense",-$O417,0))))</f>
        <v/>
      </c>
      <c r="R417" s="381" t="n"/>
      <c r="S417" s="381" t="n"/>
      <c r="T417" s="381" t="n"/>
      <c r="U417" s="381" t="n"/>
    </row>
    <row r="418" ht="15" customHeight="1" s="278">
      <c r="A418" s="399" t="str">
        <f>IF($B418="","","T"&amp;TEXT(ROW()-6,"0000"))</f>
        <v/>
      </c>
      <c r="B418" s="386" t="n"/>
      <c r="C418" s="399" t="str">
        <f>IF($B418="","",TEXT($B418,"YYYY-MM"))</f>
        <v/>
      </c>
      <c r="D418" s="400" t="str">
        <f>IF($B418="","",YEAR($B418))</f>
        <v/>
      </c>
      <c r="E418" s="391" t="n"/>
      <c r="F418" s="391" t="n"/>
      <c r="G418" s="391" t="n"/>
      <c r="H418" s="391" t="n"/>
      <c r="I418" s="391" t="n"/>
      <c r="J418" s="391" t="n"/>
      <c r="K418" s="391" t="n"/>
      <c r="L418" s="391" t="n"/>
      <c r="M418" s="391" t="n"/>
      <c r="N418" s="391" t="n"/>
      <c r="O418" s="392" t="n"/>
      <c r="P418" s="391" t="n"/>
      <c r="Q418" s="385" t="str">
        <f>IF($B418="","",IF($P418&lt;&gt;"AED",0,IF($F418="Income",$O418,IF($F418="Expense",-$O418,0))))</f>
        <v/>
      </c>
      <c r="R418" s="381" t="n"/>
      <c r="S418" s="381" t="n"/>
      <c r="T418" s="381" t="n"/>
      <c r="U418" s="381" t="n"/>
    </row>
    <row r="419" ht="15" customHeight="1" s="278">
      <c r="A419" s="399" t="str">
        <f>IF($B419="","","T"&amp;TEXT(ROW()-6,"0000"))</f>
        <v/>
      </c>
      <c r="B419" s="386" t="n"/>
      <c r="C419" s="399" t="str">
        <f>IF($B419="","",TEXT($B419,"YYYY-MM"))</f>
        <v/>
      </c>
      <c r="D419" s="400" t="str">
        <f>IF($B419="","",YEAR($B419))</f>
        <v/>
      </c>
      <c r="E419" s="391" t="n"/>
      <c r="F419" s="391" t="n"/>
      <c r="G419" s="391" t="n"/>
      <c r="H419" s="391" t="n"/>
      <c r="I419" s="391" t="n"/>
      <c r="J419" s="391" t="n"/>
      <c r="K419" s="391" t="n"/>
      <c r="L419" s="391" t="n"/>
      <c r="M419" s="391" t="n"/>
      <c r="N419" s="391" t="n"/>
      <c r="O419" s="392" t="n"/>
      <c r="P419" s="391" t="n"/>
      <c r="Q419" s="385" t="str">
        <f>IF($B419="","",IF($P419&lt;&gt;"AED",0,IF($F419="Income",$O419,IF($F419="Expense",-$O419,0))))</f>
        <v/>
      </c>
      <c r="R419" s="381" t="n"/>
      <c r="S419" s="381" t="n"/>
      <c r="T419" s="381" t="n"/>
      <c r="U419" s="381" t="n"/>
    </row>
    <row r="420" ht="15" customHeight="1" s="278">
      <c r="A420" s="399" t="str">
        <f>IF($B420="","","T"&amp;TEXT(ROW()-6,"0000"))</f>
        <v/>
      </c>
      <c r="B420" s="386" t="n"/>
      <c r="C420" s="399" t="str">
        <f>IF($B420="","",TEXT($B420,"YYYY-MM"))</f>
        <v/>
      </c>
      <c r="D420" s="400" t="str">
        <f>IF($B420="","",YEAR($B420))</f>
        <v/>
      </c>
      <c r="E420" s="391" t="n"/>
      <c r="F420" s="391" t="n"/>
      <c r="G420" s="391" t="n"/>
      <c r="H420" s="391" t="n"/>
      <c r="I420" s="391" t="n"/>
      <c r="J420" s="391" t="n"/>
      <c r="K420" s="391" t="n"/>
      <c r="L420" s="391" t="n"/>
      <c r="M420" s="391" t="n"/>
      <c r="N420" s="391" t="n"/>
      <c r="O420" s="392" t="n"/>
      <c r="P420" s="391" t="n"/>
      <c r="Q420" s="385" t="str">
        <f>IF($B420="","",IF($P420&lt;&gt;"AED",0,IF($F420="Income",$O420,IF($F420="Expense",-$O420,0))))</f>
        <v/>
      </c>
      <c r="R420" s="381" t="n"/>
      <c r="S420" s="381" t="n"/>
      <c r="T420" s="381" t="n"/>
      <c r="U420" s="381" t="n"/>
    </row>
    <row r="421" ht="15" customHeight="1" s="278">
      <c r="A421" s="399" t="str">
        <f>IF($B421="","","T"&amp;TEXT(ROW()-6,"0000"))</f>
        <v/>
      </c>
      <c r="B421" s="386" t="n"/>
      <c r="C421" s="399" t="str">
        <f>IF($B421="","",TEXT($B421,"YYYY-MM"))</f>
        <v/>
      </c>
      <c r="D421" s="400" t="str">
        <f>IF($B421="","",YEAR($B421))</f>
        <v/>
      </c>
      <c r="E421" s="391" t="n"/>
      <c r="F421" s="391" t="n"/>
      <c r="G421" s="391" t="n"/>
      <c r="H421" s="391" t="n"/>
      <c r="I421" s="391" t="n"/>
      <c r="J421" s="391" t="n"/>
      <c r="K421" s="391" t="n"/>
      <c r="L421" s="391" t="n"/>
      <c r="M421" s="391" t="n"/>
      <c r="N421" s="391" t="n"/>
      <c r="O421" s="392" t="n"/>
      <c r="P421" s="391" t="n"/>
      <c r="Q421" s="385" t="str">
        <f>IF($B421="","",IF($P421&lt;&gt;"AED",0,IF($F421="Income",$O421,IF($F421="Expense",-$O421,0))))</f>
        <v/>
      </c>
      <c r="R421" s="381" t="n"/>
      <c r="S421" s="381" t="n"/>
      <c r="T421" s="381" t="n"/>
      <c r="U421" s="381" t="n"/>
    </row>
    <row r="422" ht="15" customHeight="1" s="278">
      <c r="A422" s="399" t="str">
        <f>IF($B422="","","T"&amp;TEXT(ROW()-6,"0000"))</f>
        <v/>
      </c>
      <c r="B422" s="386" t="n"/>
      <c r="C422" s="399" t="str">
        <f>IF($B422="","",TEXT($B422,"YYYY-MM"))</f>
        <v/>
      </c>
      <c r="D422" s="400" t="str">
        <f>IF($B422="","",YEAR($B422))</f>
        <v/>
      </c>
      <c r="E422" s="391" t="n"/>
      <c r="F422" s="391" t="n"/>
      <c r="G422" s="391" t="n"/>
      <c r="H422" s="391" t="n"/>
      <c r="I422" s="391" t="n"/>
      <c r="J422" s="391" t="n"/>
      <c r="K422" s="391" t="n"/>
      <c r="L422" s="391" t="n"/>
      <c r="M422" s="391" t="n"/>
      <c r="N422" s="391" t="n"/>
      <c r="O422" s="392" t="n"/>
      <c r="P422" s="391" t="n"/>
      <c r="Q422" s="385" t="str">
        <f>IF($B422="","",IF($P422&lt;&gt;"AED",0,IF($F422="Income",$O422,IF($F422="Expense",-$O422,0))))</f>
        <v/>
      </c>
      <c r="R422" s="381" t="n"/>
      <c r="S422" s="381" t="n"/>
      <c r="T422" s="381" t="n"/>
      <c r="U422" s="381" t="n"/>
    </row>
    <row r="423" ht="15" customHeight="1" s="278">
      <c r="A423" s="399" t="str">
        <f>IF($B423="","","T"&amp;TEXT(ROW()-6,"0000"))</f>
        <v/>
      </c>
      <c r="B423" s="386" t="n"/>
      <c r="C423" s="399" t="str">
        <f>IF($B423="","",TEXT($B423,"YYYY-MM"))</f>
        <v/>
      </c>
      <c r="D423" s="400" t="str">
        <f>IF($B423="","",YEAR($B423))</f>
        <v/>
      </c>
      <c r="E423" s="391" t="n"/>
      <c r="F423" s="391" t="n"/>
      <c r="G423" s="391" t="n"/>
      <c r="H423" s="391" t="n"/>
      <c r="I423" s="391" t="n"/>
      <c r="J423" s="391" t="n"/>
      <c r="K423" s="391" t="n"/>
      <c r="L423" s="391" t="n"/>
      <c r="M423" s="391" t="n"/>
      <c r="N423" s="391" t="n"/>
      <c r="O423" s="392" t="n"/>
      <c r="P423" s="391" t="n"/>
      <c r="Q423" s="385" t="str">
        <f>IF($B423="","",IF($P423&lt;&gt;"AED",0,IF($F423="Income",$O423,IF($F423="Expense",-$O423,0))))</f>
        <v/>
      </c>
      <c r="R423" s="381" t="n"/>
      <c r="S423" s="381" t="n"/>
      <c r="T423" s="381" t="n"/>
      <c r="U423" s="381" t="n"/>
    </row>
    <row r="424" ht="15" customHeight="1" s="278">
      <c r="A424" s="399" t="str">
        <f>IF($B424="","","T"&amp;TEXT(ROW()-6,"0000"))</f>
        <v/>
      </c>
      <c r="B424" s="386" t="n"/>
      <c r="C424" s="399" t="str">
        <f>IF($B424="","",TEXT($B424,"YYYY-MM"))</f>
        <v/>
      </c>
      <c r="D424" s="400" t="str">
        <f>IF($B424="","",YEAR($B424))</f>
        <v/>
      </c>
      <c r="E424" s="391" t="n"/>
      <c r="F424" s="391" t="n"/>
      <c r="G424" s="391" t="n"/>
      <c r="H424" s="391" t="n"/>
      <c r="I424" s="391" t="n"/>
      <c r="J424" s="391" t="n"/>
      <c r="K424" s="391" t="n"/>
      <c r="L424" s="391" t="n"/>
      <c r="M424" s="391" t="n"/>
      <c r="N424" s="391" t="n"/>
      <c r="O424" s="392" t="n"/>
      <c r="P424" s="391" t="n"/>
      <c r="Q424" s="385" t="str">
        <f>IF($B424="","",IF($P424&lt;&gt;"AED",0,IF($F424="Income",$O424,IF($F424="Expense",-$O424,0))))</f>
        <v/>
      </c>
      <c r="R424" s="381" t="n"/>
      <c r="S424" s="381" t="n"/>
      <c r="T424" s="381" t="n"/>
      <c r="U424" s="381" t="n"/>
    </row>
    <row r="425" ht="15" customHeight="1" s="278">
      <c r="A425" s="399" t="str">
        <f>IF($B425="","","T"&amp;TEXT(ROW()-6,"0000"))</f>
        <v/>
      </c>
      <c r="B425" s="386" t="n"/>
      <c r="C425" s="399" t="str">
        <f>IF($B425="","",TEXT($B425,"YYYY-MM"))</f>
        <v/>
      </c>
      <c r="D425" s="400" t="str">
        <f>IF($B425="","",YEAR($B425))</f>
        <v/>
      </c>
      <c r="E425" s="391" t="n"/>
      <c r="F425" s="391" t="n"/>
      <c r="G425" s="391" t="n"/>
      <c r="H425" s="391" t="n"/>
      <c r="I425" s="391" t="n"/>
      <c r="J425" s="391" t="n"/>
      <c r="K425" s="391" t="n"/>
      <c r="L425" s="391" t="n"/>
      <c r="M425" s="391" t="n"/>
      <c r="N425" s="391" t="n"/>
      <c r="O425" s="392" t="n"/>
      <c r="P425" s="391" t="n"/>
      <c r="Q425" s="385" t="str">
        <f>IF($B425="","",IF($P425&lt;&gt;"AED",0,IF($F425="Income",$O425,IF($F425="Expense",-$O425,0))))</f>
        <v/>
      </c>
      <c r="R425" s="381" t="n"/>
      <c r="S425" s="381" t="n"/>
      <c r="T425" s="381" t="n"/>
      <c r="U425" s="381" t="n"/>
    </row>
    <row r="426" ht="15" customHeight="1" s="278">
      <c r="A426" s="399" t="str">
        <f>IF($B426="","","T"&amp;TEXT(ROW()-6,"0000"))</f>
        <v/>
      </c>
      <c r="B426" s="386" t="n"/>
      <c r="C426" s="399" t="str">
        <f>IF($B426="","",TEXT($B426,"YYYY-MM"))</f>
        <v/>
      </c>
      <c r="D426" s="400" t="str">
        <f>IF($B426="","",YEAR($B426))</f>
        <v/>
      </c>
      <c r="E426" s="391" t="n"/>
      <c r="F426" s="391" t="n"/>
      <c r="G426" s="391" t="n"/>
      <c r="H426" s="391" t="n"/>
      <c r="I426" s="391" t="n"/>
      <c r="J426" s="391" t="n"/>
      <c r="K426" s="391" t="n"/>
      <c r="L426" s="391" t="n"/>
      <c r="M426" s="391" t="n"/>
      <c r="N426" s="391" t="n"/>
      <c r="O426" s="392" t="n"/>
      <c r="P426" s="391" t="n"/>
      <c r="Q426" s="385" t="str">
        <f>IF($B426="","",IF($P426&lt;&gt;"AED",0,IF($F426="Income",$O426,IF($F426="Expense",-$O426,0))))</f>
        <v/>
      </c>
      <c r="R426" s="381" t="n"/>
      <c r="S426" s="381" t="n"/>
      <c r="T426" s="381" t="n"/>
      <c r="U426" s="381" t="n"/>
    </row>
    <row r="427" ht="15" customHeight="1" s="278">
      <c r="A427" s="399" t="str">
        <f>IF($B427="","","T"&amp;TEXT(ROW()-6,"0000"))</f>
        <v/>
      </c>
      <c r="B427" s="386" t="n"/>
      <c r="C427" s="399" t="str">
        <f>IF($B427="","",TEXT($B427,"YYYY-MM"))</f>
        <v/>
      </c>
      <c r="D427" s="400" t="str">
        <f>IF($B427="","",YEAR($B427))</f>
        <v/>
      </c>
      <c r="E427" s="391" t="n"/>
      <c r="F427" s="391" t="n"/>
      <c r="G427" s="391" t="n"/>
      <c r="H427" s="391" t="n"/>
      <c r="I427" s="391" t="n"/>
      <c r="J427" s="391" t="n"/>
      <c r="K427" s="391" t="n"/>
      <c r="L427" s="391" t="n"/>
      <c r="M427" s="391" t="n"/>
      <c r="N427" s="391" t="n"/>
      <c r="O427" s="392" t="n"/>
      <c r="P427" s="391" t="n"/>
      <c r="Q427" s="385" t="str">
        <f>IF($B427="","",IF($P427&lt;&gt;"AED",0,IF($F427="Income",$O427,IF($F427="Expense",-$O427,0))))</f>
        <v/>
      </c>
      <c r="R427" s="381" t="n"/>
      <c r="S427" s="381" t="n"/>
      <c r="T427" s="381" t="n"/>
      <c r="U427" s="381" t="n"/>
    </row>
    <row r="428" ht="15" customHeight="1" s="278">
      <c r="A428" s="399" t="str">
        <f>IF($B428="","","T"&amp;TEXT(ROW()-6,"0000"))</f>
        <v/>
      </c>
      <c r="B428" s="386" t="n"/>
      <c r="C428" s="399" t="str">
        <f>IF($B428="","",TEXT($B428,"YYYY-MM"))</f>
        <v/>
      </c>
      <c r="D428" s="400" t="str">
        <f>IF($B428="","",YEAR($B428))</f>
        <v/>
      </c>
      <c r="E428" s="391" t="n"/>
      <c r="F428" s="391" t="n"/>
      <c r="G428" s="391" t="n"/>
      <c r="H428" s="391" t="n"/>
      <c r="I428" s="391" t="n"/>
      <c r="J428" s="391" t="n"/>
      <c r="K428" s="391" t="n"/>
      <c r="L428" s="391" t="n"/>
      <c r="M428" s="391" t="n"/>
      <c r="N428" s="391" t="n"/>
      <c r="O428" s="392" t="n"/>
      <c r="P428" s="391" t="n"/>
      <c r="Q428" s="385" t="str">
        <f>IF($B428="","",IF($P428&lt;&gt;"AED",0,IF($F428="Income",$O428,IF($F428="Expense",-$O428,0))))</f>
        <v/>
      </c>
      <c r="R428" s="381" t="n"/>
      <c r="S428" s="381" t="n"/>
      <c r="T428" s="381" t="n"/>
      <c r="U428" s="381" t="n"/>
    </row>
    <row r="429" ht="15" customHeight="1" s="278">
      <c r="A429" s="399" t="str">
        <f>IF($B429="","","T"&amp;TEXT(ROW()-6,"0000"))</f>
        <v/>
      </c>
      <c r="B429" s="386" t="n"/>
      <c r="C429" s="399" t="str">
        <f>IF($B429="","",TEXT($B429,"YYYY-MM"))</f>
        <v/>
      </c>
      <c r="D429" s="400" t="str">
        <f>IF($B429="","",YEAR($B429))</f>
        <v/>
      </c>
      <c r="E429" s="391" t="n"/>
      <c r="F429" s="391" t="n"/>
      <c r="G429" s="391" t="n"/>
      <c r="H429" s="391" t="n"/>
      <c r="I429" s="391" t="n"/>
      <c r="J429" s="391" t="n"/>
      <c r="K429" s="391" t="n"/>
      <c r="L429" s="391" t="n"/>
      <c r="M429" s="391" t="n"/>
      <c r="N429" s="391" t="n"/>
      <c r="O429" s="392" t="n"/>
      <c r="P429" s="391" t="n"/>
      <c r="Q429" s="385" t="str">
        <f>IF($B429="","",IF($P429&lt;&gt;"AED",0,IF($F429="Income",$O429,IF($F429="Expense",-$O429,0))))</f>
        <v/>
      </c>
      <c r="R429" s="381" t="n"/>
      <c r="S429" s="381" t="n"/>
      <c r="T429" s="381" t="n"/>
      <c r="U429" s="381" t="n"/>
    </row>
    <row r="430" ht="15" customHeight="1" s="278">
      <c r="A430" s="399" t="str">
        <f>IF($B430="","","T"&amp;TEXT(ROW()-6,"0000"))</f>
        <v/>
      </c>
      <c r="B430" s="386" t="n"/>
      <c r="C430" s="399" t="str">
        <f>IF($B430="","",TEXT($B430,"YYYY-MM"))</f>
        <v/>
      </c>
      <c r="D430" s="400" t="str">
        <f>IF($B430="","",YEAR($B430))</f>
        <v/>
      </c>
      <c r="E430" s="391" t="n"/>
      <c r="F430" s="391" t="n"/>
      <c r="G430" s="391" t="n"/>
      <c r="H430" s="391" t="n"/>
      <c r="I430" s="391" t="n"/>
      <c r="J430" s="391" t="n"/>
      <c r="K430" s="391" t="n"/>
      <c r="L430" s="391" t="n"/>
      <c r="M430" s="391" t="n"/>
      <c r="N430" s="391" t="n"/>
      <c r="O430" s="392" t="n"/>
      <c r="P430" s="391" t="n"/>
      <c r="Q430" s="385" t="str">
        <f>IF($B430="","",IF($P430&lt;&gt;"AED",0,IF($F430="Income",$O430,IF($F430="Expense",-$O430,0))))</f>
        <v/>
      </c>
      <c r="R430" s="381" t="n"/>
      <c r="S430" s="381" t="n"/>
      <c r="T430" s="381" t="n"/>
      <c r="U430" s="381" t="n"/>
    </row>
    <row r="431" ht="15" customHeight="1" s="278">
      <c r="A431" s="399" t="str">
        <f>IF($B431="","","T"&amp;TEXT(ROW()-6,"0000"))</f>
        <v/>
      </c>
      <c r="B431" s="386" t="n"/>
      <c r="C431" s="399" t="str">
        <f>IF($B431="","",TEXT($B431,"YYYY-MM"))</f>
        <v/>
      </c>
      <c r="D431" s="400" t="str">
        <f>IF($B431="","",YEAR($B431))</f>
        <v/>
      </c>
      <c r="E431" s="391" t="n"/>
      <c r="F431" s="391" t="n"/>
      <c r="G431" s="391" t="n"/>
      <c r="H431" s="391" t="n"/>
      <c r="I431" s="391" t="n"/>
      <c r="J431" s="391" t="n"/>
      <c r="K431" s="391" t="n"/>
      <c r="L431" s="391" t="n"/>
      <c r="M431" s="391" t="n"/>
      <c r="N431" s="391" t="n"/>
      <c r="O431" s="392" t="n"/>
      <c r="P431" s="391" t="n"/>
      <c r="Q431" s="385" t="str">
        <f>IF($B431="","",IF($P431&lt;&gt;"AED",0,IF($F431="Income",$O431,IF($F431="Expense",-$O431,0))))</f>
        <v/>
      </c>
      <c r="R431" s="381" t="n"/>
      <c r="S431" s="381" t="n"/>
      <c r="T431" s="381" t="n"/>
      <c r="U431" s="381" t="n"/>
    </row>
    <row r="432" ht="15" customHeight="1" s="278">
      <c r="A432" s="399" t="str">
        <f>IF($B432="","","T"&amp;TEXT(ROW()-6,"0000"))</f>
        <v/>
      </c>
      <c r="B432" s="386" t="n"/>
      <c r="C432" s="399" t="str">
        <f>IF($B432="","",TEXT($B432,"YYYY-MM"))</f>
        <v/>
      </c>
      <c r="D432" s="400" t="str">
        <f>IF($B432="","",YEAR($B432))</f>
        <v/>
      </c>
      <c r="E432" s="391" t="n"/>
      <c r="F432" s="391" t="n"/>
      <c r="G432" s="391" t="n"/>
      <c r="H432" s="391" t="n"/>
      <c r="I432" s="391" t="n"/>
      <c r="J432" s="391" t="n"/>
      <c r="K432" s="391" t="n"/>
      <c r="L432" s="391" t="n"/>
      <c r="M432" s="391" t="n"/>
      <c r="N432" s="391" t="n"/>
      <c r="O432" s="392" t="n"/>
      <c r="P432" s="391" t="n"/>
      <c r="Q432" s="385" t="str">
        <f>IF($B432="","",IF($P432&lt;&gt;"AED",0,IF($F432="Income",$O432,IF($F432="Expense",-$O432,0))))</f>
        <v/>
      </c>
      <c r="R432" s="381" t="n"/>
      <c r="S432" s="381" t="n"/>
      <c r="T432" s="381" t="n"/>
      <c r="U432" s="381" t="n"/>
    </row>
    <row r="433" ht="15" customHeight="1" s="278">
      <c r="A433" s="399" t="str">
        <f>IF($B433="","","T"&amp;TEXT(ROW()-6,"0000"))</f>
        <v/>
      </c>
      <c r="B433" s="386" t="n"/>
      <c r="C433" s="399" t="str">
        <f>IF($B433="","",TEXT($B433,"YYYY-MM"))</f>
        <v/>
      </c>
      <c r="D433" s="400" t="str">
        <f>IF($B433="","",YEAR($B433))</f>
        <v/>
      </c>
      <c r="E433" s="391" t="n"/>
      <c r="F433" s="391" t="n"/>
      <c r="G433" s="391" t="n"/>
      <c r="H433" s="391" t="n"/>
      <c r="I433" s="391" t="n"/>
      <c r="J433" s="391" t="n"/>
      <c r="K433" s="391" t="n"/>
      <c r="L433" s="391" t="n"/>
      <c r="M433" s="391" t="n"/>
      <c r="N433" s="391" t="n"/>
      <c r="O433" s="392" t="n"/>
      <c r="P433" s="391" t="n"/>
      <c r="Q433" s="385" t="str">
        <f>IF($B433="","",IF($P433&lt;&gt;"AED",0,IF($F433="Income",$O433,IF($F433="Expense",-$O433,0))))</f>
        <v/>
      </c>
      <c r="R433" s="381" t="n"/>
      <c r="S433" s="381" t="n"/>
      <c r="T433" s="381" t="n"/>
      <c r="U433" s="381" t="n"/>
    </row>
    <row r="434" ht="15" customHeight="1" s="278">
      <c r="A434" s="399" t="str">
        <f>IF($B434="","","T"&amp;TEXT(ROW()-6,"0000"))</f>
        <v/>
      </c>
      <c r="B434" s="386" t="n"/>
      <c r="C434" s="399" t="str">
        <f>IF($B434="","",TEXT($B434,"YYYY-MM"))</f>
        <v/>
      </c>
      <c r="D434" s="400" t="str">
        <f>IF($B434="","",YEAR($B434))</f>
        <v/>
      </c>
      <c r="E434" s="391" t="n"/>
      <c r="F434" s="391" t="n"/>
      <c r="G434" s="391" t="n"/>
      <c r="H434" s="391" t="n"/>
      <c r="I434" s="391" t="n"/>
      <c r="J434" s="391" t="n"/>
      <c r="K434" s="391" t="n"/>
      <c r="L434" s="391" t="n"/>
      <c r="M434" s="391" t="n"/>
      <c r="N434" s="391" t="n"/>
      <c r="O434" s="392" t="n"/>
      <c r="P434" s="391" t="n"/>
      <c r="Q434" s="385" t="str">
        <f>IF($B434="","",IF($P434&lt;&gt;"AED",0,IF($F434="Income",$O434,IF($F434="Expense",-$O434,0))))</f>
        <v/>
      </c>
      <c r="R434" s="381" t="n"/>
      <c r="S434" s="381" t="n"/>
      <c r="T434" s="381" t="n"/>
      <c r="U434" s="381" t="n"/>
    </row>
    <row r="435" ht="15" customHeight="1" s="278">
      <c r="A435" s="399" t="str">
        <f>IF($B435="","","T"&amp;TEXT(ROW()-6,"0000"))</f>
        <v/>
      </c>
      <c r="B435" s="386" t="n"/>
      <c r="C435" s="399" t="str">
        <f>IF($B435="","",TEXT($B435,"YYYY-MM"))</f>
        <v/>
      </c>
      <c r="D435" s="400" t="str">
        <f>IF($B435="","",YEAR($B435))</f>
        <v/>
      </c>
      <c r="E435" s="391" t="n"/>
      <c r="F435" s="391" t="n"/>
      <c r="G435" s="391" t="n"/>
      <c r="H435" s="391" t="n"/>
      <c r="I435" s="391" t="n"/>
      <c r="J435" s="391" t="n"/>
      <c r="K435" s="391" t="n"/>
      <c r="L435" s="391" t="n"/>
      <c r="M435" s="391" t="n"/>
      <c r="N435" s="391" t="n"/>
      <c r="O435" s="392" t="n"/>
      <c r="P435" s="391" t="n"/>
      <c r="Q435" s="385" t="str">
        <f>IF($B435="","",IF($P435&lt;&gt;"AED",0,IF($F435="Income",$O435,IF($F435="Expense",-$O435,0))))</f>
        <v/>
      </c>
      <c r="R435" s="381" t="n"/>
      <c r="S435" s="381" t="n"/>
      <c r="T435" s="381" t="n"/>
      <c r="U435" s="381" t="n"/>
    </row>
    <row r="436" ht="15" customHeight="1" s="278">
      <c r="A436" s="399" t="str">
        <f>IF($B436="","","T"&amp;TEXT(ROW()-6,"0000"))</f>
        <v/>
      </c>
      <c r="B436" s="386" t="n"/>
      <c r="C436" s="399" t="str">
        <f>IF($B436="","",TEXT($B436,"YYYY-MM"))</f>
        <v/>
      </c>
      <c r="D436" s="400" t="str">
        <f>IF($B436="","",YEAR($B436))</f>
        <v/>
      </c>
      <c r="E436" s="391" t="n"/>
      <c r="F436" s="391" t="n"/>
      <c r="G436" s="391" t="n"/>
      <c r="H436" s="391" t="n"/>
      <c r="I436" s="391" t="n"/>
      <c r="J436" s="391" t="n"/>
      <c r="K436" s="391" t="n"/>
      <c r="L436" s="391" t="n"/>
      <c r="M436" s="391" t="n"/>
      <c r="N436" s="391" t="n"/>
      <c r="O436" s="392" t="n"/>
      <c r="P436" s="391" t="n"/>
      <c r="Q436" s="385" t="str">
        <f>IF($B436="","",IF($P436&lt;&gt;"AED",0,IF($F436="Income",$O436,IF($F436="Expense",-$O436,0))))</f>
        <v/>
      </c>
      <c r="R436" s="381" t="n"/>
      <c r="S436" s="381" t="n"/>
      <c r="T436" s="381" t="n"/>
      <c r="U436" s="381" t="n"/>
    </row>
    <row r="437" ht="15" customHeight="1" s="278">
      <c r="A437" s="399" t="str">
        <f>IF($B437="","","T"&amp;TEXT(ROW()-6,"0000"))</f>
        <v/>
      </c>
      <c r="B437" s="386" t="n"/>
      <c r="C437" s="399" t="str">
        <f>IF($B437="","",TEXT($B437,"YYYY-MM"))</f>
        <v/>
      </c>
      <c r="D437" s="400" t="str">
        <f>IF($B437="","",YEAR($B437))</f>
        <v/>
      </c>
      <c r="E437" s="391" t="n"/>
      <c r="F437" s="391" t="n"/>
      <c r="G437" s="391" t="n"/>
      <c r="H437" s="391" t="n"/>
      <c r="I437" s="391" t="n"/>
      <c r="J437" s="391" t="n"/>
      <c r="K437" s="391" t="n"/>
      <c r="L437" s="391" t="n"/>
      <c r="M437" s="391" t="n"/>
      <c r="N437" s="391" t="n"/>
      <c r="O437" s="392" t="n"/>
      <c r="P437" s="391" t="n"/>
      <c r="Q437" s="385" t="str">
        <f>IF($B437="","",IF($P437&lt;&gt;"AED",0,IF($F437="Income",$O437,IF($F437="Expense",-$O437,0))))</f>
        <v/>
      </c>
      <c r="R437" s="381" t="n"/>
      <c r="S437" s="381" t="n"/>
      <c r="T437" s="381" t="n"/>
      <c r="U437" s="381" t="n"/>
    </row>
    <row r="438" ht="15" customHeight="1" s="278">
      <c r="A438" s="399" t="str">
        <f>IF($B438="","","T"&amp;TEXT(ROW()-6,"0000"))</f>
        <v/>
      </c>
      <c r="B438" s="386" t="n"/>
      <c r="C438" s="399" t="str">
        <f>IF($B438="","",TEXT($B438,"YYYY-MM"))</f>
        <v/>
      </c>
      <c r="D438" s="400" t="str">
        <f>IF($B438="","",YEAR($B438))</f>
        <v/>
      </c>
      <c r="E438" s="391" t="n"/>
      <c r="F438" s="391" t="n"/>
      <c r="G438" s="391" t="n"/>
      <c r="H438" s="391" t="n"/>
      <c r="I438" s="391" t="n"/>
      <c r="J438" s="391" t="n"/>
      <c r="K438" s="391" t="n"/>
      <c r="L438" s="391" t="n"/>
      <c r="M438" s="391" t="n"/>
      <c r="N438" s="391" t="n"/>
      <c r="O438" s="392" t="n"/>
      <c r="P438" s="391" t="n"/>
      <c r="Q438" s="385" t="str">
        <f>IF($B438="","",IF($P438&lt;&gt;"AED",0,IF($F438="Income",$O438,IF($F438="Expense",-$O438,0))))</f>
        <v/>
      </c>
      <c r="R438" s="381" t="n"/>
      <c r="S438" s="381" t="n"/>
      <c r="T438" s="381" t="n"/>
      <c r="U438" s="381" t="n"/>
    </row>
    <row r="439" ht="15" customHeight="1" s="278">
      <c r="A439" s="399" t="str">
        <f>IF($B439="","","T"&amp;TEXT(ROW()-6,"0000"))</f>
        <v/>
      </c>
      <c r="B439" s="386" t="n"/>
      <c r="C439" s="399" t="str">
        <f>IF($B439="","",TEXT($B439,"YYYY-MM"))</f>
        <v/>
      </c>
      <c r="D439" s="400" t="str">
        <f>IF($B439="","",YEAR($B439))</f>
        <v/>
      </c>
      <c r="E439" s="391" t="n"/>
      <c r="F439" s="391" t="n"/>
      <c r="G439" s="391" t="n"/>
      <c r="H439" s="391" t="n"/>
      <c r="I439" s="391" t="n"/>
      <c r="J439" s="391" t="n"/>
      <c r="K439" s="391" t="n"/>
      <c r="L439" s="391" t="n"/>
      <c r="M439" s="391" t="n"/>
      <c r="N439" s="391" t="n"/>
      <c r="O439" s="392" t="n"/>
      <c r="P439" s="391" t="n"/>
      <c r="Q439" s="385" t="str">
        <f>IF($B439="","",IF($P439&lt;&gt;"AED",0,IF($F439="Income",$O439,IF($F439="Expense",-$O439,0))))</f>
        <v/>
      </c>
      <c r="R439" s="381" t="n"/>
      <c r="S439" s="381" t="n"/>
      <c r="T439" s="381" t="n"/>
      <c r="U439" s="381" t="n"/>
    </row>
    <row r="440" ht="15" customHeight="1" s="278">
      <c r="A440" s="399" t="str">
        <f>IF($B440="","","T"&amp;TEXT(ROW()-6,"0000"))</f>
        <v/>
      </c>
      <c r="B440" s="386" t="n"/>
      <c r="C440" s="399" t="str">
        <f>IF($B440="","",TEXT($B440,"YYYY-MM"))</f>
        <v/>
      </c>
      <c r="D440" s="400" t="str">
        <f>IF($B440="","",YEAR($B440))</f>
        <v/>
      </c>
      <c r="E440" s="391" t="n"/>
      <c r="F440" s="391" t="n"/>
      <c r="G440" s="391" t="n"/>
      <c r="H440" s="391" t="n"/>
      <c r="I440" s="391" t="n"/>
      <c r="J440" s="391" t="n"/>
      <c r="K440" s="391" t="n"/>
      <c r="L440" s="391" t="n"/>
      <c r="M440" s="391" t="n"/>
      <c r="N440" s="391" t="n"/>
      <c r="O440" s="392" t="n"/>
      <c r="P440" s="391" t="n"/>
      <c r="Q440" s="385" t="str">
        <f>IF($B440="","",IF($P440&lt;&gt;"AED",0,IF($F440="Income",$O440,IF($F440="Expense",-$O440,0))))</f>
        <v/>
      </c>
      <c r="R440" s="381" t="n"/>
      <c r="S440" s="381" t="n"/>
      <c r="T440" s="381" t="n"/>
      <c r="U440" s="381" t="n"/>
    </row>
    <row r="441" ht="15" customHeight="1" s="278">
      <c r="A441" s="399" t="str">
        <f>IF($B441="","","T"&amp;TEXT(ROW()-6,"0000"))</f>
        <v/>
      </c>
      <c r="B441" s="386" t="n"/>
      <c r="C441" s="399" t="str">
        <f>IF($B441="","",TEXT($B441,"YYYY-MM"))</f>
        <v/>
      </c>
      <c r="D441" s="400" t="str">
        <f>IF($B441="","",YEAR($B441))</f>
        <v/>
      </c>
      <c r="E441" s="391" t="n"/>
      <c r="F441" s="391" t="n"/>
      <c r="G441" s="391" t="n"/>
      <c r="H441" s="391" t="n"/>
      <c r="I441" s="391" t="n"/>
      <c r="J441" s="391" t="n"/>
      <c r="K441" s="391" t="n"/>
      <c r="L441" s="391" t="n"/>
      <c r="M441" s="391" t="n"/>
      <c r="N441" s="391" t="n"/>
      <c r="O441" s="392" t="n"/>
      <c r="P441" s="391" t="n"/>
      <c r="Q441" s="385" t="str">
        <f>IF($B441="","",IF($P441&lt;&gt;"AED",0,IF($F441="Income",$O441,IF($F441="Expense",-$O441,0))))</f>
        <v/>
      </c>
      <c r="R441" s="381" t="n"/>
      <c r="S441" s="381" t="n"/>
      <c r="T441" s="381" t="n"/>
      <c r="U441" s="381" t="n"/>
    </row>
    <row r="442" ht="15" customHeight="1" s="278">
      <c r="A442" s="399" t="str">
        <f>IF($B442="","","T"&amp;TEXT(ROW()-6,"0000"))</f>
        <v/>
      </c>
      <c r="B442" s="386" t="n"/>
      <c r="C442" s="399" t="str">
        <f>IF($B442="","",TEXT($B442,"YYYY-MM"))</f>
        <v/>
      </c>
      <c r="D442" s="400" t="str">
        <f>IF($B442="","",YEAR($B442))</f>
        <v/>
      </c>
      <c r="E442" s="391" t="n"/>
      <c r="F442" s="391" t="n"/>
      <c r="G442" s="391" t="n"/>
      <c r="H442" s="391" t="n"/>
      <c r="I442" s="391" t="n"/>
      <c r="J442" s="391" t="n"/>
      <c r="K442" s="391" t="n"/>
      <c r="L442" s="391" t="n"/>
      <c r="M442" s="391" t="n"/>
      <c r="N442" s="391" t="n"/>
      <c r="O442" s="392" t="n"/>
      <c r="P442" s="391" t="n"/>
      <c r="Q442" s="385" t="str">
        <f>IF($B442="","",IF($P442&lt;&gt;"AED",0,IF($F442="Income",$O442,IF($F442="Expense",-$O442,0))))</f>
        <v/>
      </c>
      <c r="R442" s="381" t="n"/>
      <c r="S442" s="381" t="n"/>
      <c r="T442" s="381" t="n"/>
      <c r="U442" s="381" t="n"/>
    </row>
    <row r="443" ht="15" customHeight="1" s="278">
      <c r="A443" s="399" t="str">
        <f>IF($B443="","","T"&amp;TEXT(ROW()-6,"0000"))</f>
        <v/>
      </c>
      <c r="B443" s="386" t="n"/>
      <c r="C443" s="399" t="str">
        <f>IF($B443="","",TEXT($B443,"YYYY-MM"))</f>
        <v/>
      </c>
      <c r="D443" s="400" t="str">
        <f>IF($B443="","",YEAR($B443))</f>
        <v/>
      </c>
      <c r="E443" s="391" t="n"/>
      <c r="F443" s="391" t="n"/>
      <c r="G443" s="391" t="n"/>
      <c r="H443" s="391" t="n"/>
      <c r="I443" s="391" t="n"/>
      <c r="J443" s="391" t="n"/>
      <c r="K443" s="391" t="n"/>
      <c r="L443" s="391" t="n"/>
      <c r="M443" s="391" t="n"/>
      <c r="N443" s="391" t="n"/>
      <c r="O443" s="392" t="n"/>
      <c r="P443" s="391" t="n"/>
      <c r="Q443" s="385" t="str">
        <f>IF($B443="","",IF($P443&lt;&gt;"AED",0,IF($F443="Income",$O443,IF($F443="Expense",-$O443,0))))</f>
        <v/>
      </c>
      <c r="R443" s="381" t="n"/>
      <c r="S443" s="381" t="n"/>
      <c r="T443" s="381" t="n"/>
      <c r="U443" s="381" t="n"/>
    </row>
    <row r="444" ht="15" customHeight="1" s="278">
      <c r="A444" s="399" t="str">
        <f>IF($B444="","","T"&amp;TEXT(ROW()-6,"0000"))</f>
        <v/>
      </c>
      <c r="B444" s="386" t="n"/>
      <c r="C444" s="399" t="str">
        <f>IF($B444="","",TEXT($B444,"YYYY-MM"))</f>
        <v/>
      </c>
      <c r="D444" s="400" t="str">
        <f>IF($B444="","",YEAR($B444))</f>
        <v/>
      </c>
      <c r="E444" s="391" t="n"/>
      <c r="F444" s="391" t="n"/>
      <c r="G444" s="391" t="n"/>
      <c r="H444" s="391" t="n"/>
      <c r="I444" s="391" t="n"/>
      <c r="J444" s="391" t="n"/>
      <c r="K444" s="391" t="n"/>
      <c r="L444" s="391" t="n"/>
      <c r="M444" s="391" t="n"/>
      <c r="N444" s="391" t="n"/>
      <c r="O444" s="392" t="n"/>
      <c r="P444" s="391" t="n"/>
      <c r="Q444" s="385" t="str">
        <f>IF($B444="","",IF($P444&lt;&gt;"AED",0,IF($F444="Income",$O444,IF($F444="Expense",-$O444,0))))</f>
        <v/>
      </c>
      <c r="R444" s="381" t="n"/>
      <c r="S444" s="381" t="n"/>
      <c r="T444" s="381" t="n"/>
      <c r="U444" s="381" t="n"/>
    </row>
    <row r="445" ht="15" customHeight="1" s="278">
      <c r="A445" s="399" t="str">
        <f>IF($B445="","","T"&amp;TEXT(ROW()-6,"0000"))</f>
        <v/>
      </c>
      <c r="B445" s="386" t="n"/>
      <c r="C445" s="399" t="str">
        <f>IF($B445="","",TEXT($B445,"YYYY-MM"))</f>
        <v/>
      </c>
      <c r="D445" s="400" t="str">
        <f>IF($B445="","",YEAR($B445))</f>
        <v/>
      </c>
      <c r="E445" s="391" t="n"/>
      <c r="F445" s="391" t="n"/>
      <c r="G445" s="391" t="n"/>
      <c r="H445" s="391" t="n"/>
      <c r="I445" s="391" t="n"/>
      <c r="J445" s="391" t="n"/>
      <c r="K445" s="391" t="n"/>
      <c r="L445" s="391" t="n"/>
      <c r="M445" s="391" t="n"/>
      <c r="N445" s="391" t="n"/>
      <c r="O445" s="392" t="n"/>
      <c r="P445" s="391" t="n"/>
      <c r="Q445" s="385" t="str">
        <f>IF($B445="","",IF($P445&lt;&gt;"AED",0,IF($F445="Income",$O445,IF($F445="Expense",-$O445,0))))</f>
        <v/>
      </c>
      <c r="R445" s="381" t="n"/>
      <c r="S445" s="381" t="n"/>
      <c r="T445" s="381" t="n"/>
      <c r="U445" s="381" t="n"/>
    </row>
    <row r="446" ht="15" customHeight="1" s="278">
      <c r="A446" s="399" t="str">
        <f>IF($B446="","","T"&amp;TEXT(ROW()-6,"0000"))</f>
        <v/>
      </c>
      <c r="B446" s="386" t="n"/>
      <c r="C446" s="399" t="str">
        <f>IF($B446="","",TEXT($B446,"YYYY-MM"))</f>
        <v/>
      </c>
      <c r="D446" s="400" t="str">
        <f>IF($B446="","",YEAR($B446))</f>
        <v/>
      </c>
      <c r="E446" s="391" t="n"/>
      <c r="F446" s="391" t="n"/>
      <c r="G446" s="391" t="n"/>
      <c r="H446" s="391" t="n"/>
      <c r="I446" s="391" t="n"/>
      <c r="J446" s="391" t="n"/>
      <c r="K446" s="391" t="n"/>
      <c r="L446" s="391" t="n"/>
      <c r="M446" s="391" t="n"/>
      <c r="N446" s="391" t="n"/>
      <c r="O446" s="392" t="n"/>
      <c r="P446" s="391" t="n"/>
      <c r="Q446" s="385" t="str">
        <f>IF($B446="","",IF($P446&lt;&gt;"AED",0,IF($F446="Income",$O446,IF($F446="Expense",-$O446,0))))</f>
        <v/>
      </c>
      <c r="R446" s="381" t="n"/>
      <c r="S446" s="381" t="n"/>
      <c r="T446" s="381" t="n"/>
      <c r="U446" s="381" t="n"/>
    </row>
    <row r="447" ht="15" customHeight="1" s="278">
      <c r="A447" s="399" t="str">
        <f>IF($B447="","","T"&amp;TEXT(ROW()-6,"0000"))</f>
        <v/>
      </c>
      <c r="B447" s="386" t="n"/>
      <c r="C447" s="399" t="str">
        <f>IF($B447="","",TEXT($B447,"YYYY-MM"))</f>
        <v/>
      </c>
      <c r="D447" s="400" t="str">
        <f>IF($B447="","",YEAR($B447))</f>
        <v/>
      </c>
      <c r="E447" s="391" t="n"/>
      <c r="F447" s="391" t="n"/>
      <c r="G447" s="391" t="n"/>
      <c r="H447" s="391" t="n"/>
      <c r="I447" s="391" t="n"/>
      <c r="J447" s="391" t="n"/>
      <c r="K447" s="391" t="n"/>
      <c r="L447" s="391" t="n"/>
      <c r="M447" s="391" t="n"/>
      <c r="N447" s="391" t="n"/>
      <c r="O447" s="392" t="n"/>
      <c r="P447" s="391" t="n"/>
      <c r="Q447" s="385" t="str">
        <f>IF($B447="","",IF($P447&lt;&gt;"AED",0,IF($F447="Income",$O447,IF($F447="Expense",-$O447,0))))</f>
        <v/>
      </c>
      <c r="R447" s="381" t="n"/>
      <c r="S447" s="381" t="n"/>
      <c r="T447" s="381" t="n"/>
      <c r="U447" s="381" t="n"/>
    </row>
    <row r="448" ht="15" customHeight="1" s="278">
      <c r="A448" s="399" t="str">
        <f>IF($B448="","","T"&amp;TEXT(ROW()-6,"0000"))</f>
        <v/>
      </c>
      <c r="B448" s="386" t="n"/>
      <c r="C448" s="399" t="str">
        <f>IF($B448="","",TEXT($B448,"YYYY-MM"))</f>
        <v/>
      </c>
      <c r="D448" s="400" t="str">
        <f>IF($B448="","",YEAR($B448))</f>
        <v/>
      </c>
      <c r="E448" s="391" t="n"/>
      <c r="F448" s="391" t="n"/>
      <c r="G448" s="391" t="n"/>
      <c r="H448" s="391" t="n"/>
      <c r="I448" s="391" t="n"/>
      <c r="J448" s="391" t="n"/>
      <c r="K448" s="391" t="n"/>
      <c r="L448" s="391" t="n"/>
      <c r="M448" s="391" t="n"/>
      <c r="N448" s="391" t="n"/>
      <c r="O448" s="392" t="n"/>
      <c r="P448" s="391" t="n"/>
      <c r="Q448" s="385" t="str">
        <f>IF($B448="","",IF($P448&lt;&gt;"AED",0,IF($F448="Income",$O448,IF($F448="Expense",-$O448,0))))</f>
        <v/>
      </c>
      <c r="R448" s="381" t="n"/>
      <c r="S448" s="381" t="n"/>
      <c r="T448" s="381" t="n"/>
      <c r="U448" s="381" t="n"/>
    </row>
    <row r="449" ht="15" customHeight="1" s="278">
      <c r="A449" s="399" t="str">
        <f>IF($B449="","","T"&amp;TEXT(ROW()-6,"0000"))</f>
        <v/>
      </c>
      <c r="B449" s="386" t="n"/>
      <c r="C449" s="399" t="str">
        <f>IF($B449="","",TEXT($B449,"YYYY-MM"))</f>
        <v/>
      </c>
      <c r="D449" s="400" t="str">
        <f>IF($B449="","",YEAR($B449))</f>
        <v/>
      </c>
      <c r="E449" s="391" t="n"/>
      <c r="F449" s="391" t="n"/>
      <c r="G449" s="391" t="n"/>
      <c r="H449" s="391" t="n"/>
      <c r="I449" s="391" t="n"/>
      <c r="J449" s="391" t="n"/>
      <c r="K449" s="391" t="n"/>
      <c r="L449" s="391" t="n"/>
      <c r="M449" s="391" t="n"/>
      <c r="N449" s="391" t="n"/>
      <c r="O449" s="392" t="n"/>
      <c r="P449" s="391" t="n"/>
      <c r="Q449" s="385" t="str">
        <f>IF($B449="","",IF($P449&lt;&gt;"AED",0,IF($F449="Income",$O449,IF($F449="Expense",-$O449,0))))</f>
        <v/>
      </c>
      <c r="R449" s="381" t="n"/>
      <c r="S449" s="381" t="n"/>
      <c r="T449" s="381" t="n"/>
      <c r="U449" s="381" t="n"/>
    </row>
    <row r="450" ht="15" customHeight="1" s="278">
      <c r="A450" s="399" t="str">
        <f>IF($B450="","","T"&amp;TEXT(ROW()-6,"0000"))</f>
        <v/>
      </c>
      <c r="B450" s="386" t="n"/>
      <c r="C450" s="399" t="str">
        <f>IF($B450="","",TEXT($B450,"YYYY-MM"))</f>
        <v/>
      </c>
      <c r="D450" s="400" t="str">
        <f>IF($B450="","",YEAR($B450))</f>
        <v/>
      </c>
      <c r="E450" s="391" t="n"/>
      <c r="F450" s="391" t="n"/>
      <c r="G450" s="391" t="n"/>
      <c r="H450" s="391" t="n"/>
      <c r="I450" s="391" t="n"/>
      <c r="J450" s="391" t="n"/>
      <c r="K450" s="391" t="n"/>
      <c r="L450" s="391" t="n"/>
      <c r="M450" s="391" t="n"/>
      <c r="N450" s="391" t="n"/>
      <c r="O450" s="392" t="n"/>
      <c r="P450" s="391" t="n"/>
      <c r="Q450" s="385" t="str">
        <f>IF($B450="","",IF($P450&lt;&gt;"AED",0,IF($F450="Income",$O450,IF($F450="Expense",-$O450,0))))</f>
        <v/>
      </c>
      <c r="R450" s="381" t="n"/>
      <c r="S450" s="381" t="n"/>
      <c r="T450" s="381" t="n"/>
      <c r="U450" s="381" t="n"/>
    </row>
    <row r="451" ht="15" customHeight="1" s="278">
      <c r="A451" s="399" t="str">
        <f>IF($B451="","","T"&amp;TEXT(ROW()-6,"0000"))</f>
        <v/>
      </c>
      <c r="B451" s="386" t="n"/>
      <c r="C451" s="399" t="str">
        <f>IF($B451="","",TEXT($B451,"YYYY-MM"))</f>
        <v/>
      </c>
      <c r="D451" s="400" t="str">
        <f>IF($B451="","",YEAR($B451))</f>
        <v/>
      </c>
      <c r="E451" s="391" t="n"/>
      <c r="F451" s="391" t="n"/>
      <c r="G451" s="391" t="n"/>
      <c r="H451" s="391" t="n"/>
      <c r="I451" s="391" t="n"/>
      <c r="J451" s="391" t="n"/>
      <c r="K451" s="391" t="n"/>
      <c r="L451" s="391" t="n"/>
      <c r="M451" s="391" t="n"/>
      <c r="N451" s="391" t="n"/>
      <c r="O451" s="392" t="n"/>
      <c r="P451" s="391" t="n"/>
      <c r="Q451" s="385" t="str">
        <f>IF($B451="","",IF($P451&lt;&gt;"AED",0,IF($F451="Income",$O451,IF($F451="Expense",-$O451,0))))</f>
        <v/>
      </c>
      <c r="R451" s="381" t="n"/>
      <c r="S451" s="381" t="n"/>
      <c r="T451" s="381" t="n"/>
      <c r="U451" s="381" t="n"/>
    </row>
    <row r="452" ht="15" customHeight="1" s="278">
      <c r="A452" s="399" t="str">
        <f>IF($B452="","","T"&amp;TEXT(ROW()-6,"0000"))</f>
        <v/>
      </c>
      <c r="B452" s="386" t="n"/>
      <c r="C452" s="399" t="str">
        <f>IF($B452="","",TEXT($B452,"YYYY-MM"))</f>
        <v/>
      </c>
      <c r="D452" s="400" t="str">
        <f>IF($B452="","",YEAR($B452))</f>
        <v/>
      </c>
      <c r="E452" s="391" t="n"/>
      <c r="F452" s="391" t="n"/>
      <c r="G452" s="391" t="n"/>
      <c r="H452" s="391" t="n"/>
      <c r="I452" s="391" t="n"/>
      <c r="J452" s="391" t="n"/>
      <c r="K452" s="391" t="n"/>
      <c r="L452" s="391" t="n"/>
      <c r="M452" s="391" t="n"/>
      <c r="N452" s="391" t="n"/>
      <c r="O452" s="392" t="n"/>
      <c r="P452" s="391" t="n"/>
      <c r="Q452" s="385" t="str">
        <f>IF($B452="","",IF($P452&lt;&gt;"AED",0,IF($F452="Income",$O452,IF($F452="Expense",-$O452,0))))</f>
        <v/>
      </c>
      <c r="R452" s="381" t="n"/>
      <c r="S452" s="381" t="n"/>
      <c r="T452" s="381" t="n"/>
      <c r="U452" s="381" t="n"/>
    </row>
    <row r="453" ht="15" customHeight="1" s="278">
      <c r="A453" s="399" t="str">
        <f>IF($B453="","","T"&amp;TEXT(ROW()-6,"0000"))</f>
        <v/>
      </c>
      <c r="B453" s="386" t="n"/>
      <c r="C453" s="399" t="str">
        <f>IF($B453="","",TEXT($B453,"YYYY-MM"))</f>
        <v/>
      </c>
      <c r="D453" s="400" t="str">
        <f>IF($B453="","",YEAR($B453))</f>
        <v/>
      </c>
      <c r="E453" s="391" t="n"/>
      <c r="F453" s="391" t="n"/>
      <c r="G453" s="391" t="n"/>
      <c r="H453" s="391" t="n"/>
      <c r="I453" s="391" t="n"/>
      <c r="J453" s="391" t="n"/>
      <c r="K453" s="391" t="n"/>
      <c r="L453" s="391" t="n"/>
      <c r="M453" s="391" t="n"/>
      <c r="N453" s="391" t="n"/>
      <c r="O453" s="392" t="n"/>
      <c r="P453" s="391" t="n"/>
      <c r="Q453" s="385" t="str">
        <f>IF($B453="","",IF($P453&lt;&gt;"AED",0,IF($F453="Income",$O453,IF($F453="Expense",-$O453,0))))</f>
        <v/>
      </c>
      <c r="R453" s="381" t="n"/>
      <c r="S453" s="381" t="n"/>
      <c r="T453" s="381" t="n"/>
      <c r="U453" s="381" t="n"/>
    </row>
    <row r="454" ht="15" customHeight="1" s="278">
      <c r="A454" s="399" t="str">
        <f>IF($B454="","","T"&amp;TEXT(ROW()-6,"0000"))</f>
        <v/>
      </c>
      <c r="B454" s="386" t="n"/>
      <c r="C454" s="399" t="str">
        <f>IF($B454="","",TEXT($B454,"YYYY-MM"))</f>
        <v/>
      </c>
      <c r="D454" s="400" t="str">
        <f>IF($B454="","",YEAR($B454))</f>
        <v/>
      </c>
      <c r="E454" s="391" t="n"/>
      <c r="F454" s="391" t="n"/>
      <c r="G454" s="391" t="n"/>
      <c r="H454" s="391" t="n"/>
      <c r="I454" s="391" t="n"/>
      <c r="J454" s="391" t="n"/>
      <c r="K454" s="391" t="n"/>
      <c r="L454" s="391" t="n"/>
      <c r="M454" s="391" t="n"/>
      <c r="N454" s="391" t="n"/>
      <c r="O454" s="392" t="n"/>
      <c r="P454" s="391" t="n"/>
      <c r="Q454" s="385" t="str">
        <f>IF($B454="","",IF($P454&lt;&gt;"AED",0,IF($F454="Income",$O454,IF($F454="Expense",-$O454,0))))</f>
        <v/>
      </c>
      <c r="R454" s="381" t="n"/>
      <c r="S454" s="381" t="n"/>
      <c r="T454" s="381" t="n"/>
      <c r="U454" s="381" t="n"/>
    </row>
    <row r="455" ht="15" customHeight="1" s="278">
      <c r="A455" s="399" t="str">
        <f>IF($B455="","","T"&amp;TEXT(ROW()-6,"0000"))</f>
        <v/>
      </c>
      <c r="B455" s="386" t="n"/>
      <c r="C455" s="399" t="str">
        <f>IF($B455="","",TEXT($B455,"YYYY-MM"))</f>
        <v/>
      </c>
      <c r="D455" s="400" t="str">
        <f>IF($B455="","",YEAR($B455))</f>
        <v/>
      </c>
      <c r="E455" s="391" t="n"/>
      <c r="F455" s="391" t="n"/>
      <c r="G455" s="391" t="n"/>
      <c r="H455" s="391" t="n"/>
      <c r="I455" s="391" t="n"/>
      <c r="J455" s="391" t="n"/>
      <c r="K455" s="391" t="n"/>
      <c r="L455" s="391" t="n"/>
      <c r="M455" s="391" t="n"/>
      <c r="N455" s="391" t="n"/>
      <c r="O455" s="392" t="n"/>
      <c r="P455" s="391" t="n"/>
      <c r="Q455" s="385" t="str">
        <f>IF($B455="","",IF($P455&lt;&gt;"AED",0,IF($F455="Income",$O455,IF($F455="Expense",-$O455,0))))</f>
        <v/>
      </c>
      <c r="R455" s="381" t="n"/>
      <c r="S455" s="381" t="n"/>
      <c r="T455" s="381" t="n"/>
      <c r="U455" s="381" t="n"/>
    </row>
    <row r="456" ht="15" customHeight="1" s="278">
      <c r="A456" s="399" t="str">
        <f>IF($B456="","","T"&amp;TEXT(ROW()-6,"0000"))</f>
        <v/>
      </c>
      <c r="B456" s="386" t="n"/>
      <c r="C456" s="399" t="str">
        <f>IF($B456="","",TEXT($B456,"YYYY-MM"))</f>
        <v/>
      </c>
      <c r="D456" s="400" t="str">
        <f>IF($B456="","",YEAR($B456))</f>
        <v/>
      </c>
      <c r="E456" s="391" t="n"/>
      <c r="F456" s="391" t="n"/>
      <c r="G456" s="391" t="n"/>
      <c r="H456" s="391" t="n"/>
      <c r="I456" s="391" t="n"/>
      <c r="J456" s="391" t="n"/>
      <c r="K456" s="391" t="n"/>
      <c r="L456" s="391" t="n"/>
      <c r="M456" s="391" t="n"/>
      <c r="N456" s="391" t="n"/>
      <c r="O456" s="392" t="n"/>
      <c r="P456" s="391" t="n"/>
      <c r="Q456" s="385" t="str">
        <f>IF($B456="","",IF($P456&lt;&gt;"AED",0,IF($F456="Income",$O456,IF($F456="Expense",-$O456,0))))</f>
        <v/>
      </c>
      <c r="R456" s="381" t="n"/>
      <c r="S456" s="381" t="n"/>
      <c r="T456" s="381" t="n"/>
      <c r="U456" s="381" t="n"/>
    </row>
    <row r="457" ht="15" customHeight="1" s="278">
      <c r="A457" s="399" t="str">
        <f>IF($B457="","","T"&amp;TEXT(ROW()-6,"0000"))</f>
        <v/>
      </c>
      <c r="B457" s="386" t="n"/>
      <c r="C457" s="399" t="str">
        <f>IF($B457="","",TEXT($B457,"YYYY-MM"))</f>
        <v/>
      </c>
      <c r="D457" s="400" t="str">
        <f>IF($B457="","",YEAR($B457))</f>
        <v/>
      </c>
      <c r="E457" s="391" t="n"/>
      <c r="F457" s="391" t="n"/>
      <c r="G457" s="391" t="n"/>
      <c r="H457" s="391" t="n"/>
      <c r="I457" s="391" t="n"/>
      <c r="J457" s="391" t="n"/>
      <c r="K457" s="391" t="n"/>
      <c r="L457" s="391" t="n"/>
      <c r="M457" s="391" t="n"/>
      <c r="N457" s="391" t="n"/>
      <c r="O457" s="392" t="n"/>
      <c r="P457" s="391" t="n"/>
      <c r="Q457" s="385" t="str">
        <f>IF($B457="","",IF($P457&lt;&gt;"AED",0,IF($F457="Income",$O457,IF($F457="Expense",-$O457,0))))</f>
        <v/>
      </c>
      <c r="R457" s="381" t="n"/>
      <c r="S457" s="381" t="n"/>
      <c r="T457" s="381" t="n"/>
      <c r="U457" s="381" t="n"/>
    </row>
    <row r="458" ht="15" customHeight="1" s="278">
      <c r="A458" s="399" t="str">
        <f>IF($B458="","","T"&amp;TEXT(ROW()-6,"0000"))</f>
        <v/>
      </c>
      <c r="B458" s="386" t="n"/>
      <c r="C458" s="399" t="str">
        <f>IF($B458="","",TEXT($B458,"YYYY-MM"))</f>
        <v/>
      </c>
      <c r="D458" s="400" t="str">
        <f>IF($B458="","",YEAR($B458))</f>
        <v/>
      </c>
      <c r="E458" s="391" t="n"/>
      <c r="F458" s="391" t="n"/>
      <c r="G458" s="391" t="n"/>
      <c r="H458" s="391" t="n"/>
      <c r="I458" s="391" t="n"/>
      <c r="J458" s="391" t="n"/>
      <c r="K458" s="391" t="n"/>
      <c r="L458" s="391" t="n"/>
      <c r="M458" s="391" t="n"/>
      <c r="N458" s="391" t="n"/>
      <c r="O458" s="392" t="n"/>
      <c r="P458" s="391" t="n"/>
      <c r="Q458" s="385" t="str">
        <f>IF($B458="","",IF($P458&lt;&gt;"AED",0,IF($F458="Income",$O458,IF($F458="Expense",-$O458,0))))</f>
        <v/>
      </c>
      <c r="R458" s="381" t="n"/>
      <c r="S458" s="381" t="n"/>
      <c r="T458" s="381" t="n"/>
      <c r="U458" s="381" t="n"/>
    </row>
    <row r="459" ht="15" customHeight="1" s="278">
      <c r="A459" s="399" t="str">
        <f>IF($B459="","","T"&amp;TEXT(ROW()-6,"0000"))</f>
        <v/>
      </c>
      <c r="B459" s="386" t="n"/>
      <c r="C459" s="399" t="str">
        <f>IF($B459="","",TEXT($B459,"YYYY-MM"))</f>
        <v/>
      </c>
      <c r="D459" s="400" t="str">
        <f>IF($B459="","",YEAR($B459))</f>
        <v/>
      </c>
      <c r="E459" s="391" t="n"/>
      <c r="F459" s="391" t="n"/>
      <c r="G459" s="391" t="n"/>
      <c r="H459" s="391" t="n"/>
      <c r="I459" s="391" t="n"/>
      <c r="J459" s="391" t="n"/>
      <c r="K459" s="391" t="n"/>
      <c r="L459" s="391" t="n"/>
      <c r="M459" s="391" t="n"/>
      <c r="N459" s="391" t="n"/>
      <c r="O459" s="392" t="n"/>
      <c r="P459" s="391" t="n"/>
      <c r="Q459" s="385" t="str">
        <f>IF($B459="","",IF($P459&lt;&gt;"AED",0,IF($F459="Income",$O459,IF($F459="Expense",-$O459,0))))</f>
        <v/>
      </c>
      <c r="R459" s="381" t="n"/>
      <c r="S459" s="381" t="n"/>
      <c r="T459" s="381" t="n"/>
      <c r="U459" s="381" t="n"/>
    </row>
    <row r="460" ht="15" customHeight="1" s="278">
      <c r="A460" s="399" t="str">
        <f>IF($B460="","","T"&amp;TEXT(ROW()-6,"0000"))</f>
        <v/>
      </c>
      <c r="B460" s="386" t="n"/>
      <c r="C460" s="399" t="str">
        <f>IF($B460="","",TEXT($B460,"YYYY-MM"))</f>
        <v/>
      </c>
      <c r="D460" s="400" t="str">
        <f>IF($B460="","",YEAR($B460))</f>
        <v/>
      </c>
      <c r="E460" s="391" t="n"/>
      <c r="F460" s="391" t="n"/>
      <c r="G460" s="391" t="n"/>
      <c r="H460" s="391" t="n"/>
      <c r="I460" s="391" t="n"/>
      <c r="J460" s="391" t="n"/>
      <c r="K460" s="391" t="n"/>
      <c r="L460" s="391" t="n"/>
      <c r="M460" s="391" t="n"/>
      <c r="N460" s="391" t="n"/>
      <c r="O460" s="392" t="n"/>
      <c r="P460" s="391" t="n"/>
      <c r="Q460" s="385" t="str">
        <f>IF($B460="","",IF($P460&lt;&gt;"AED",0,IF($F460="Income",$O460,IF($F460="Expense",-$O460,0))))</f>
        <v/>
      </c>
      <c r="R460" s="381" t="n"/>
      <c r="S460" s="381" t="n"/>
      <c r="T460" s="381" t="n"/>
      <c r="U460" s="381" t="n"/>
    </row>
    <row r="461" ht="15" customHeight="1" s="278">
      <c r="A461" s="399" t="str">
        <f>IF($B461="","","T"&amp;TEXT(ROW()-6,"0000"))</f>
        <v/>
      </c>
      <c r="B461" s="386" t="n"/>
      <c r="C461" s="399" t="str">
        <f>IF($B461="","",TEXT($B461,"YYYY-MM"))</f>
        <v/>
      </c>
      <c r="D461" s="400" t="str">
        <f>IF($B461="","",YEAR($B461))</f>
        <v/>
      </c>
      <c r="E461" s="391" t="n"/>
      <c r="F461" s="391" t="n"/>
      <c r="G461" s="391" t="n"/>
      <c r="H461" s="391" t="n"/>
      <c r="I461" s="391" t="n"/>
      <c r="J461" s="391" t="n"/>
      <c r="K461" s="391" t="n"/>
      <c r="L461" s="391" t="n"/>
      <c r="M461" s="391" t="n"/>
      <c r="N461" s="391" t="n"/>
      <c r="O461" s="392" t="n"/>
      <c r="P461" s="391" t="n"/>
      <c r="Q461" s="385" t="str">
        <f>IF($B461="","",IF($P461&lt;&gt;"AED",0,IF($F461="Income",$O461,IF($F461="Expense",-$O461,0))))</f>
        <v/>
      </c>
      <c r="R461" s="381" t="n"/>
      <c r="S461" s="381" t="n"/>
      <c r="T461" s="381" t="n"/>
      <c r="U461" s="381" t="n"/>
    </row>
    <row r="462" ht="15" customHeight="1" s="278">
      <c r="A462" s="399" t="str">
        <f>IF($B462="","","T"&amp;TEXT(ROW()-6,"0000"))</f>
        <v/>
      </c>
      <c r="B462" s="386" t="n"/>
      <c r="C462" s="399" t="str">
        <f>IF($B462="","",TEXT($B462,"YYYY-MM"))</f>
        <v/>
      </c>
      <c r="D462" s="400" t="str">
        <f>IF($B462="","",YEAR($B462))</f>
        <v/>
      </c>
      <c r="E462" s="391" t="n"/>
      <c r="F462" s="391" t="n"/>
      <c r="G462" s="391" t="n"/>
      <c r="H462" s="391" t="n"/>
      <c r="I462" s="391" t="n"/>
      <c r="J462" s="391" t="n"/>
      <c r="K462" s="391" t="n"/>
      <c r="L462" s="391" t="n"/>
      <c r="M462" s="391" t="n"/>
      <c r="N462" s="391" t="n"/>
      <c r="O462" s="392" t="n"/>
      <c r="P462" s="391" t="n"/>
      <c r="Q462" s="385" t="str">
        <f>IF($B462="","",IF($P462&lt;&gt;"AED",0,IF($F462="Income",$O462,IF($F462="Expense",-$O462,0))))</f>
        <v/>
      </c>
      <c r="R462" s="381" t="n"/>
      <c r="S462" s="381" t="n"/>
      <c r="T462" s="381" t="n"/>
      <c r="U462" s="381" t="n"/>
    </row>
    <row r="463" ht="15" customHeight="1" s="278">
      <c r="A463" s="399" t="str">
        <f>IF($B463="","","T"&amp;TEXT(ROW()-6,"0000"))</f>
        <v/>
      </c>
      <c r="B463" s="386" t="n"/>
      <c r="C463" s="399" t="str">
        <f>IF($B463="","",TEXT($B463,"YYYY-MM"))</f>
        <v/>
      </c>
      <c r="D463" s="400" t="str">
        <f>IF($B463="","",YEAR($B463))</f>
        <v/>
      </c>
      <c r="E463" s="391" t="n"/>
      <c r="F463" s="391" t="n"/>
      <c r="G463" s="391" t="n"/>
      <c r="H463" s="391" t="n"/>
      <c r="I463" s="391" t="n"/>
      <c r="J463" s="391" t="n"/>
      <c r="K463" s="391" t="n"/>
      <c r="L463" s="391" t="n"/>
      <c r="M463" s="391" t="n"/>
      <c r="N463" s="391" t="n"/>
      <c r="O463" s="392" t="n"/>
      <c r="P463" s="391" t="n"/>
      <c r="Q463" s="385" t="str">
        <f>IF($B463="","",IF($P463&lt;&gt;"AED",0,IF($F463="Income",$O463,IF($F463="Expense",-$O463,0))))</f>
        <v/>
      </c>
      <c r="R463" s="381" t="n"/>
      <c r="S463" s="381" t="n"/>
      <c r="T463" s="381" t="n"/>
      <c r="U463" s="381" t="n"/>
    </row>
    <row r="464" ht="15" customHeight="1" s="278">
      <c r="A464" s="399" t="str">
        <f>IF($B464="","","T"&amp;TEXT(ROW()-6,"0000"))</f>
        <v/>
      </c>
      <c r="B464" s="386" t="n"/>
      <c r="C464" s="399" t="str">
        <f>IF($B464="","",TEXT($B464,"YYYY-MM"))</f>
        <v/>
      </c>
      <c r="D464" s="400" t="str">
        <f>IF($B464="","",YEAR($B464))</f>
        <v/>
      </c>
      <c r="E464" s="391" t="n"/>
      <c r="F464" s="391" t="n"/>
      <c r="G464" s="391" t="n"/>
      <c r="H464" s="391" t="n"/>
      <c r="I464" s="391" t="n"/>
      <c r="J464" s="391" t="n"/>
      <c r="K464" s="391" t="n"/>
      <c r="L464" s="391" t="n"/>
      <c r="M464" s="391" t="n"/>
      <c r="N464" s="391" t="n"/>
      <c r="O464" s="392" t="n"/>
      <c r="P464" s="391" t="n"/>
      <c r="Q464" s="385" t="str">
        <f>IF($B464="","",IF($P464&lt;&gt;"AED",0,IF($F464="Income",$O464,IF($F464="Expense",-$O464,0))))</f>
        <v/>
      </c>
      <c r="R464" s="381" t="n"/>
      <c r="S464" s="381" t="n"/>
      <c r="T464" s="381" t="n"/>
      <c r="U464" s="381" t="n"/>
    </row>
    <row r="465" ht="15" customHeight="1" s="278">
      <c r="A465" s="399" t="str">
        <f>IF($B465="","","T"&amp;TEXT(ROW()-6,"0000"))</f>
        <v/>
      </c>
      <c r="B465" s="386" t="n"/>
      <c r="C465" s="399" t="str">
        <f>IF($B465="","",TEXT($B465,"YYYY-MM"))</f>
        <v/>
      </c>
      <c r="D465" s="400" t="str">
        <f>IF($B465="","",YEAR($B465))</f>
        <v/>
      </c>
      <c r="E465" s="391" t="n"/>
      <c r="F465" s="391" t="n"/>
      <c r="G465" s="391" t="n"/>
      <c r="H465" s="391" t="n"/>
      <c r="I465" s="391" t="n"/>
      <c r="J465" s="391" t="n"/>
      <c r="K465" s="391" t="n"/>
      <c r="L465" s="391" t="n"/>
      <c r="M465" s="391" t="n"/>
      <c r="N465" s="391" t="n"/>
      <c r="O465" s="392" t="n"/>
      <c r="P465" s="391" t="n"/>
      <c r="Q465" s="385" t="str">
        <f>IF($B465="","",IF($P465&lt;&gt;"AED",0,IF($F465="Income",$O465,IF($F465="Expense",-$O465,0))))</f>
        <v/>
      </c>
      <c r="R465" s="381" t="n"/>
      <c r="S465" s="381" t="n"/>
      <c r="T465" s="381" t="n"/>
      <c r="U465" s="381" t="n"/>
    </row>
    <row r="466" ht="15" customHeight="1" s="278">
      <c r="A466" s="399" t="str">
        <f>IF($B466="","","T"&amp;TEXT(ROW()-6,"0000"))</f>
        <v/>
      </c>
      <c r="B466" s="386" t="n"/>
      <c r="C466" s="399" t="str">
        <f>IF($B466="","",TEXT($B466,"YYYY-MM"))</f>
        <v/>
      </c>
      <c r="D466" s="400" t="str">
        <f>IF($B466="","",YEAR($B466))</f>
        <v/>
      </c>
      <c r="E466" s="391" t="n"/>
      <c r="F466" s="391" t="n"/>
      <c r="G466" s="391" t="n"/>
      <c r="H466" s="391" t="n"/>
      <c r="I466" s="391" t="n"/>
      <c r="J466" s="391" t="n"/>
      <c r="K466" s="391" t="n"/>
      <c r="L466" s="391" t="n"/>
      <c r="M466" s="391" t="n"/>
      <c r="N466" s="391" t="n"/>
      <c r="O466" s="392" t="n"/>
      <c r="P466" s="391" t="n"/>
      <c r="Q466" s="385" t="str">
        <f>IF($B466="","",IF($P466&lt;&gt;"AED",0,IF($F466="Income",$O466,IF($F466="Expense",-$O466,0))))</f>
        <v/>
      </c>
      <c r="R466" s="381" t="n"/>
      <c r="S466" s="381" t="n"/>
      <c r="T466" s="381" t="n"/>
      <c r="U466" s="381" t="n"/>
    </row>
    <row r="467" ht="15" customHeight="1" s="278">
      <c r="A467" s="399" t="str">
        <f>IF($B467="","","T"&amp;TEXT(ROW()-6,"0000"))</f>
        <v/>
      </c>
      <c r="B467" s="386" t="n"/>
      <c r="C467" s="399" t="str">
        <f>IF($B467="","",TEXT($B467,"YYYY-MM"))</f>
        <v/>
      </c>
      <c r="D467" s="400" t="str">
        <f>IF($B467="","",YEAR($B467))</f>
        <v/>
      </c>
      <c r="E467" s="391" t="n"/>
      <c r="F467" s="391" t="n"/>
      <c r="G467" s="391" t="n"/>
      <c r="H467" s="391" t="n"/>
      <c r="I467" s="391" t="n"/>
      <c r="J467" s="391" t="n"/>
      <c r="K467" s="391" t="n"/>
      <c r="L467" s="391" t="n"/>
      <c r="M467" s="391" t="n"/>
      <c r="N467" s="391" t="n"/>
      <c r="O467" s="392" t="n"/>
      <c r="P467" s="391" t="n"/>
      <c r="Q467" s="385" t="str">
        <f>IF($B467="","",IF($P467&lt;&gt;"AED",0,IF($F467="Income",$O467,IF($F467="Expense",-$O467,0))))</f>
        <v/>
      </c>
      <c r="R467" s="381" t="n"/>
      <c r="S467" s="381" t="n"/>
      <c r="T467" s="381" t="n"/>
      <c r="U467" s="381" t="n"/>
    </row>
    <row r="468" ht="15" customHeight="1" s="278">
      <c r="A468" s="399" t="str">
        <f>IF($B468="","","T"&amp;TEXT(ROW()-6,"0000"))</f>
        <v/>
      </c>
      <c r="B468" s="386" t="n"/>
      <c r="C468" s="399" t="str">
        <f>IF($B468="","",TEXT($B468,"YYYY-MM"))</f>
        <v/>
      </c>
      <c r="D468" s="400" t="str">
        <f>IF($B468="","",YEAR($B468))</f>
        <v/>
      </c>
      <c r="E468" s="391" t="n"/>
      <c r="F468" s="391" t="n"/>
      <c r="G468" s="391" t="n"/>
      <c r="H468" s="391" t="n"/>
      <c r="I468" s="391" t="n"/>
      <c r="J468" s="391" t="n"/>
      <c r="K468" s="391" t="n"/>
      <c r="L468" s="391" t="n"/>
      <c r="M468" s="391" t="n"/>
      <c r="N468" s="391" t="n"/>
      <c r="O468" s="392" t="n"/>
      <c r="P468" s="391" t="n"/>
      <c r="Q468" s="385" t="str">
        <f>IF($B468="","",IF($P468&lt;&gt;"AED",0,IF($F468="Income",$O468,IF($F468="Expense",-$O468,0))))</f>
        <v/>
      </c>
      <c r="R468" s="381" t="n"/>
      <c r="S468" s="381" t="n"/>
      <c r="T468" s="381" t="n"/>
      <c r="U468" s="381" t="n"/>
    </row>
    <row r="469" ht="15" customHeight="1" s="278">
      <c r="A469" s="399" t="str">
        <f>IF($B469="","","T"&amp;TEXT(ROW()-6,"0000"))</f>
        <v/>
      </c>
      <c r="B469" s="386" t="n"/>
      <c r="C469" s="399" t="str">
        <f>IF($B469="","",TEXT($B469,"YYYY-MM"))</f>
        <v/>
      </c>
      <c r="D469" s="400" t="str">
        <f>IF($B469="","",YEAR($B469))</f>
        <v/>
      </c>
      <c r="E469" s="391" t="n"/>
      <c r="F469" s="391" t="n"/>
      <c r="G469" s="391" t="n"/>
      <c r="H469" s="391" t="n"/>
      <c r="I469" s="391" t="n"/>
      <c r="J469" s="391" t="n"/>
      <c r="K469" s="391" t="n"/>
      <c r="L469" s="391" t="n"/>
      <c r="M469" s="391" t="n"/>
      <c r="N469" s="391" t="n"/>
      <c r="O469" s="392" t="n"/>
      <c r="P469" s="391" t="n"/>
      <c r="Q469" s="385" t="str">
        <f>IF($B469="","",IF($P469&lt;&gt;"AED",0,IF($F469="Income",$O469,IF($F469="Expense",-$O469,0))))</f>
        <v/>
      </c>
      <c r="R469" s="381" t="n"/>
      <c r="S469" s="381" t="n"/>
      <c r="T469" s="381" t="n"/>
      <c r="U469" s="381" t="n"/>
    </row>
    <row r="470" ht="15" customHeight="1" s="278">
      <c r="A470" s="399" t="str">
        <f>IF($B470="","","T"&amp;TEXT(ROW()-6,"0000"))</f>
        <v/>
      </c>
      <c r="B470" s="386" t="n"/>
      <c r="C470" s="399" t="str">
        <f>IF($B470="","",TEXT($B470,"YYYY-MM"))</f>
        <v/>
      </c>
      <c r="D470" s="400" t="str">
        <f>IF($B470="","",YEAR($B470))</f>
        <v/>
      </c>
      <c r="E470" s="391" t="n"/>
      <c r="F470" s="391" t="n"/>
      <c r="G470" s="391" t="n"/>
      <c r="H470" s="391" t="n"/>
      <c r="I470" s="391" t="n"/>
      <c r="J470" s="391" t="n"/>
      <c r="K470" s="391" t="n"/>
      <c r="L470" s="391" t="n"/>
      <c r="M470" s="391" t="n"/>
      <c r="N470" s="391" t="n"/>
      <c r="O470" s="392" t="n"/>
      <c r="P470" s="391" t="n"/>
      <c r="Q470" s="385" t="str">
        <f>IF($B470="","",IF($P470&lt;&gt;"AED",0,IF($F470="Income",$O470,IF($F470="Expense",-$O470,0))))</f>
        <v/>
      </c>
      <c r="R470" s="381" t="n"/>
      <c r="S470" s="381" t="n"/>
      <c r="T470" s="381" t="n"/>
      <c r="U470" s="381" t="n"/>
    </row>
    <row r="471" ht="15" customHeight="1" s="278">
      <c r="A471" s="399" t="str">
        <f>IF($B471="","","T"&amp;TEXT(ROW()-6,"0000"))</f>
        <v/>
      </c>
      <c r="B471" s="386" t="n"/>
      <c r="C471" s="399" t="str">
        <f>IF($B471="","",TEXT($B471,"YYYY-MM"))</f>
        <v/>
      </c>
      <c r="D471" s="400" t="str">
        <f>IF($B471="","",YEAR($B471))</f>
        <v/>
      </c>
      <c r="E471" s="391" t="n"/>
      <c r="F471" s="391" t="n"/>
      <c r="G471" s="391" t="n"/>
      <c r="H471" s="391" t="n"/>
      <c r="I471" s="391" t="n"/>
      <c r="J471" s="391" t="n"/>
      <c r="K471" s="391" t="n"/>
      <c r="L471" s="391" t="n"/>
      <c r="M471" s="391" t="n"/>
      <c r="N471" s="391" t="n"/>
      <c r="O471" s="392" t="n"/>
      <c r="P471" s="391" t="n"/>
      <c r="Q471" s="385" t="str">
        <f>IF($B471="","",IF($P471&lt;&gt;"AED",0,IF($F471="Income",$O471,IF($F471="Expense",-$O471,0))))</f>
        <v/>
      </c>
      <c r="R471" s="381" t="n"/>
      <c r="S471" s="381" t="n"/>
      <c r="T471" s="381" t="n"/>
      <c r="U471" s="381" t="n"/>
    </row>
    <row r="472" ht="15" customHeight="1" s="278">
      <c r="A472" s="399" t="str">
        <f>IF($B472="","","T"&amp;TEXT(ROW()-6,"0000"))</f>
        <v/>
      </c>
      <c r="B472" s="386" t="n"/>
      <c r="C472" s="399" t="str">
        <f>IF($B472="","",TEXT($B472,"YYYY-MM"))</f>
        <v/>
      </c>
      <c r="D472" s="400" t="str">
        <f>IF($B472="","",YEAR($B472))</f>
        <v/>
      </c>
      <c r="E472" s="391" t="n"/>
      <c r="F472" s="391" t="n"/>
      <c r="G472" s="391" t="n"/>
      <c r="H472" s="391" t="n"/>
      <c r="I472" s="391" t="n"/>
      <c r="J472" s="391" t="n"/>
      <c r="K472" s="391" t="n"/>
      <c r="L472" s="391" t="n"/>
      <c r="M472" s="391" t="n"/>
      <c r="N472" s="391" t="n"/>
      <c r="O472" s="392" t="n"/>
      <c r="P472" s="391" t="n"/>
      <c r="Q472" s="385" t="str">
        <f>IF($B472="","",IF($P472&lt;&gt;"AED",0,IF($F472="Income",$O472,IF($F472="Expense",-$O472,0))))</f>
        <v/>
      </c>
      <c r="R472" s="381" t="n"/>
      <c r="S472" s="381" t="n"/>
      <c r="T472" s="381" t="n"/>
      <c r="U472" s="381" t="n"/>
    </row>
    <row r="473" ht="15" customHeight="1" s="278">
      <c r="A473" s="399" t="str">
        <f>IF($B473="","","T"&amp;TEXT(ROW()-6,"0000"))</f>
        <v/>
      </c>
      <c r="B473" s="386" t="n"/>
      <c r="C473" s="399" t="str">
        <f>IF($B473="","",TEXT($B473,"YYYY-MM"))</f>
        <v/>
      </c>
      <c r="D473" s="400" t="str">
        <f>IF($B473="","",YEAR($B473))</f>
        <v/>
      </c>
      <c r="E473" s="391" t="n"/>
      <c r="F473" s="391" t="n"/>
      <c r="G473" s="391" t="n"/>
      <c r="H473" s="391" t="n"/>
      <c r="I473" s="391" t="n"/>
      <c r="J473" s="391" t="n"/>
      <c r="K473" s="391" t="n"/>
      <c r="L473" s="391" t="n"/>
      <c r="M473" s="391" t="n"/>
      <c r="N473" s="391" t="n"/>
      <c r="O473" s="392" t="n"/>
      <c r="P473" s="391" t="n"/>
      <c r="Q473" s="385" t="str">
        <f>IF($B473="","",IF($P473&lt;&gt;"AED",0,IF($F473="Income",$O473,IF($F473="Expense",-$O473,0))))</f>
        <v/>
      </c>
      <c r="R473" s="381" t="n"/>
      <c r="S473" s="381" t="n"/>
      <c r="T473" s="381" t="n"/>
      <c r="U473" s="381" t="n"/>
    </row>
    <row r="474" ht="15" customHeight="1" s="278">
      <c r="A474" s="399" t="str">
        <f>IF($B474="","","T"&amp;TEXT(ROW()-6,"0000"))</f>
        <v/>
      </c>
      <c r="B474" s="386" t="n"/>
      <c r="C474" s="399" t="str">
        <f>IF($B474="","",TEXT($B474,"YYYY-MM"))</f>
        <v/>
      </c>
      <c r="D474" s="400" t="str">
        <f>IF($B474="","",YEAR($B474))</f>
        <v/>
      </c>
      <c r="E474" s="391" t="n"/>
      <c r="F474" s="391" t="n"/>
      <c r="G474" s="391" t="n"/>
      <c r="H474" s="391" t="n"/>
      <c r="I474" s="391" t="n"/>
      <c r="J474" s="391" t="n"/>
      <c r="K474" s="391" t="n"/>
      <c r="L474" s="391" t="n"/>
      <c r="M474" s="391" t="n"/>
      <c r="N474" s="391" t="n"/>
      <c r="O474" s="392" t="n"/>
      <c r="P474" s="391" t="n"/>
      <c r="Q474" s="385" t="str">
        <f>IF($B474="","",IF($P474&lt;&gt;"AED",0,IF($F474="Income",$O474,IF($F474="Expense",-$O474,0))))</f>
        <v/>
      </c>
      <c r="R474" s="381" t="n"/>
      <c r="S474" s="381" t="n"/>
      <c r="T474" s="381" t="n"/>
      <c r="U474" s="381" t="n"/>
    </row>
    <row r="475" ht="15" customHeight="1" s="278">
      <c r="A475" s="399" t="str">
        <f>IF($B475="","","T"&amp;TEXT(ROW()-6,"0000"))</f>
        <v/>
      </c>
      <c r="B475" s="386" t="n"/>
      <c r="C475" s="399" t="str">
        <f>IF($B475="","",TEXT($B475,"YYYY-MM"))</f>
        <v/>
      </c>
      <c r="D475" s="400" t="str">
        <f>IF($B475="","",YEAR($B475))</f>
        <v/>
      </c>
      <c r="E475" s="391" t="n"/>
      <c r="F475" s="391" t="n"/>
      <c r="G475" s="391" t="n"/>
      <c r="H475" s="391" t="n"/>
      <c r="I475" s="391" t="n"/>
      <c r="J475" s="391" t="n"/>
      <c r="K475" s="391" t="n"/>
      <c r="L475" s="391" t="n"/>
      <c r="M475" s="391" t="n"/>
      <c r="N475" s="391" t="n"/>
      <c r="O475" s="392" t="n"/>
      <c r="P475" s="391" t="n"/>
      <c r="Q475" s="385" t="str">
        <f>IF($B475="","",IF($P475&lt;&gt;"AED",0,IF($F475="Income",$O475,IF($F475="Expense",-$O475,0))))</f>
        <v/>
      </c>
      <c r="R475" s="381" t="n"/>
      <c r="S475" s="381" t="n"/>
      <c r="T475" s="381" t="n"/>
      <c r="U475" s="381" t="n"/>
    </row>
    <row r="476" ht="15" customHeight="1" s="278">
      <c r="A476" s="399" t="str">
        <f>IF($B476="","","T"&amp;TEXT(ROW()-6,"0000"))</f>
        <v/>
      </c>
      <c r="B476" s="386" t="n"/>
      <c r="C476" s="399" t="str">
        <f>IF($B476="","",TEXT($B476,"YYYY-MM"))</f>
        <v/>
      </c>
      <c r="D476" s="400" t="str">
        <f>IF($B476="","",YEAR($B476))</f>
        <v/>
      </c>
      <c r="E476" s="391" t="n"/>
      <c r="F476" s="391" t="n"/>
      <c r="G476" s="391" t="n"/>
      <c r="H476" s="391" t="n"/>
      <c r="I476" s="391" t="n"/>
      <c r="J476" s="391" t="n"/>
      <c r="K476" s="391" t="n"/>
      <c r="L476" s="391" t="n"/>
      <c r="M476" s="391" t="n"/>
      <c r="N476" s="391" t="n"/>
      <c r="O476" s="392" t="n"/>
      <c r="P476" s="391" t="n"/>
      <c r="Q476" s="385" t="str">
        <f>IF($B476="","",IF($P476&lt;&gt;"AED",0,IF($F476="Income",$O476,IF($F476="Expense",-$O476,0))))</f>
        <v/>
      </c>
      <c r="R476" s="381" t="n"/>
      <c r="S476" s="381" t="n"/>
      <c r="T476" s="381" t="n"/>
      <c r="U476" s="381" t="n"/>
    </row>
    <row r="477" ht="15" customHeight="1" s="278">
      <c r="A477" s="399" t="str">
        <f>IF($B477="","","T"&amp;TEXT(ROW()-6,"0000"))</f>
        <v/>
      </c>
      <c r="B477" s="386" t="n"/>
      <c r="C477" s="399" t="str">
        <f>IF($B477="","",TEXT($B477,"YYYY-MM"))</f>
        <v/>
      </c>
      <c r="D477" s="400" t="str">
        <f>IF($B477="","",YEAR($B477))</f>
        <v/>
      </c>
      <c r="E477" s="391" t="n"/>
      <c r="F477" s="391" t="n"/>
      <c r="G477" s="391" t="n"/>
      <c r="H477" s="391" t="n"/>
      <c r="I477" s="391" t="n"/>
      <c r="J477" s="391" t="n"/>
      <c r="K477" s="391" t="n"/>
      <c r="L477" s="391" t="n"/>
      <c r="M477" s="391" t="n"/>
      <c r="N477" s="391" t="n"/>
      <c r="O477" s="392" t="n"/>
      <c r="P477" s="391" t="n"/>
      <c r="Q477" s="385" t="str">
        <f>IF($B477="","",IF($P477&lt;&gt;"AED",0,IF($F477="Income",$O477,IF($F477="Expense",-$O477,0))))</f>
        <v/>
      </c>
      <c r="R477" s="381" t="n"/>
      <c r="S477" s="381" t="n"/>
      <c r="T477" s="381" t="n"/>
      <c r="U477" s="381" t="n"/>
    </row>
    <row r="478" ht="15" customHeight="1" s="278">
      <c r="A478" s="399" t="str">
        <f>IF($B478="","","T"&amp;TEXT(ROW()-6,"0000"))</f>
        <v/>
      </c>
      <c r="B478" s="386" t="n"/>
      <c r="C478" s="399" t="str">
        <f>IF($B478="","",TEXT($B478,"YYYY-MM"))</f>
        <v/>
      </c>
      <c r="D478" s="400" t="str">
        <f>IF($B478="","",YEAR($B478))</f>
        <v/>
      </c>
      <c r="E478" s="391" t="n"/>
      <c r="F478" s="391" t="n"/>
      <c r="G478" s="391" t="n"/>
      <c r="H478" s="391" t="n"/>
      <c r="I478" s="391" t="n"/>
      <c r="J478" s="391" t="n"/>
      <c r="K478" s="391" t="n"/>
      <c r="L478" s="391" t="n"/>
      <c r="M478" s="391" t="n"/>
      <c r="N478" s="391" t="n"/>
      <c r="O478" s="392" t="n"/>
      <c r="P478" s="391" t="n"/>
      <c r="Q478" s="385" t="str">
        <f>IF($B478="","",IF($P478&lt;&gt;"AED",0,IF($F478="Income",$O478,IF($F478="Expense",-$O478,0))))</f>
        <v/>
      </c>
      <c r="R478" s="381" t="n"/>
      <c r="S478" s="381" t="n"/>
      <c r="T478" s="381" t="n"/>
      <c r="U478" s="381" t="n"/>
    </row>
    <row r="479" ht="15" customHeight="1" s="278">
      <c r="A479" s="399" t="str">
        <f>IF($B479="","","T"&amp;TEXT(ROW()-6,"0000"))</f>
        <v/>
      </c>
      <c r="B479" s="386" t="n"/>
      <c r="C479" s="399" t="str">
        <f>IF($B479="","",TEXT($B479,"YYYY-MM"))</f>
        <v/>
      </c>
      <c r="D479" s="400" t="str">
        <f>IF($B479="","",YEAR($B479))</f>
        <v/>
      </c>
      <c r="E479" s="391" t="n"/>
      <c r="F479" s="391" t="n"/>
      <c r="G479" s="391" t="n"/>
      <c r="H479" s="391" t="n"/>
      <c r="I479" s="391" t="n"/>
      <c r="J479" s="391" t="n"/>
      <c r="K479" s="391" t="n"/>
      <c r="L479" s="391" t="n"/>
      <c r="M479" s="391" t="n"/>
      <c r="N479" s="391" t="n"/>
      <c r="O479" s="392" t="n"/>
      <c r="P479" s="391" t="n"/>
      <c r="Q479" s="385" t="str">
        <f>IF($B479="","",IF($P479&lt;&gt;"AED",0,IF($F479="Income",$O479,IF($F479="Expense",-$O479,0))))</f>
        <v/>
      </c>
      <c r="R479" s="381" t="n"/>
      <c r="S479" s="381" t="n"/>
      <c r="T479" s="381" t="n"/>
      <c r="U479" s="381" t="n"/>
    </row>
    <row r="480" ht="15" customHeight="1" s="278">
      <c r="A480" s="399" t="str">
        <f>IF($B480="","","T"&amp;TEXT(ROW()-6,"0000"))</f>
        <v/>
      </c>
      <c r="B480" s="386" t="n"/>
      <c r="C480" s="399" t="str">
        <f>IF($B480="","",TEXT($B480,"YYYY-MM"))</f>
        <v/>
      </c>
      <c r="D480" s="400" t="str">
        <f>IF($B480="","",YEAR($B480))</f>
        <v/>
      </c>
      <c r="E480" s="391" t="n"/>
      <c r="F480" s="391" t="n"/>
      <c r="G480" s="391" t="n"/>
      <c r="H480" s="391" t="n"/>
      <c r="I480" s="391" t="n"/>
      <c r="J480" s="391" t="n"/>
      <c r="K480" s="391" t="n"/>
      <c r="L480" s="391" t="n"/>
      <c r="M480" s="391" t="n"/>
      <c r="N480" s="391" t="n"/>
      <c r="O480" s="392" t="n"/>
      <c r="P480" s="391" t="n"/>
      <c r="Q480" s="385" t="str">
        <f>IF($B480="","",IF($P480&lt;&gt;"AED",0,IF($F480="Income",$O480,IF($F480="Expense",-$O480,0))))</f>
        <v/>
      </c>
      <c r="R480" s="381" t="n"/>
      <c r="S480" s="381" t="n"/>
      <c r="T480" s="381" t="n"/>
      <c r="U480" s="381" t="n"/>
    </row>
    <row r="481" ht="15" customHeight="1" s="278">
      <c r="A481" s="399" t="str">
        <f>IF($B481="","","T"&amp;TEXT(ROW()-6,"0000"))</f>
        <v/>
      </c>
      <c r="B481" s="386" t="n"/>
      <c r="C481" s="399" t="str">
        <f>IF($B481="","",TEXT($B481,"YYYY-MM"))</f>
        <v/>
      </c>
      <c r="D481" s="400" t="str">
        <f>IF($B481="","",YEAR($B481))</f>
        <v/>
      </c>
      <c r="E481" s="391" t="n"/>
      <c r="F481" s="391" t="n"/>
      <c r="G481" s="391" t="n"/>
      <c r="H481" s="391" t="n"/>
      <c r="I481" s="391" t="n"/>
      <c r="J481" s="391" t="n"/>
      <c r="K481" s="391" t="n"/>
      <c r="L481" s="391" t="n"/>
      <c r="M481" s="391" t="n"/>
      <c r="N481" s="391" t="n"/>
      <c r="O481" s="392" t="n"/>
      <c r="P481" s="391" t="n"/>
      <c r="Q481" s="385" t="str">
        <f>IF($B481="","",IF($P481&lt;&gt;"AED",0,IF($F481="Income",$O481,IF($F481="Expense",-$O481,0))))</f>
        <v/>
      </c>
      <c r="R481" s="381" t="n"/>
      <c r="S481" s="381" t="n"/>
      <c r="T481" s="381" t="n"/>
      <c r="U481" s="381" t="n"/>
    </row>
    <row r="482" ht="15" customHeight="1" s="278">
      <c r="A482" s="399" t="str">
        <f>IF($B482="","","T"&amp;TEXT(ROW()-6,"0000"))</f>
        <v/>
      </c>
      <c r="B482" s="386" t="n"/>
      <c r="C482" s="399" t="str">
        <f>IF($B482="","",TEXT($B482,"YYYY-MM"))</f>
        <v/>
      </c>
      <c r="D482" s="400" t="str">
        <f>IF($B482="","",YEAR($B482))</f>
        <v/>
      </c>
      <c r="E482" s="391" t="n"/>
      <c r="F482" s="391" t="n"/>
      <c r="G482" s="391" t="n"/>
      <c r="H482" s="391" t="n"/>
      <c r="I482" s="391" t="n"/>
      <c r="J482" s="391" t="n"/>
      <c r="K482" s="391" t="n"/>
      <c r="L482" s="391" t="n"/>
      <c r="M482" s="391" t="n"/>
      <c r="N482" s="391" t="n"/>
      <c r="O482" s="392" t="n"/>
      <c r="P482" s="391" t="n"/>
      <c r="Q482" s="385" t="str">
        <f>IF($B482="","",IF($P482&lt;&gt;"AED",0,IF($F482="Income",$O482,IF($F482="Expense",-$O482,0))))</f>
        <v/>
      </c>
      <c r="R482" s="381" t="n"/>
      <c r="S482" s="381" t="n"/>
      <c r="T482" s="381" t="n"/>
      <c r="U482" s="381" t="n"/>
    </row>
    <row r="483" ht="15" customHeight="1" s="278">
      <c r="A483" s="399" t="str">
        <f>IF($B483="","","T"&amp;TEXT(ROW()-6,"0000"))</f>
        <v/>
      </c>
      <c r="B483" s="386" t="n"/>
      <c r="C483" s="399" t="str">
        <f>IF($B483="","",TEXT($B483,"YYYY-MM"))</f>
        <v/>
      </c>
      <c r="D483" s="400" t="str">
        <f>IF($B483="","",YEAR($B483))</f>
        <v/>
      </c>
      <c r="E483" s="391" t="n"/>
      <c r="F483" s="391" t="n"/>
      <c r="G483" s="391" t="n"/>
      <c r="H483" s="391" t="n"/>
      <c r="I483" s="391" t="n"/>
      <c r="J483" s="391" t="n"/>
      <c r="K483" s="391" t="n"/>
      <c r="L483" s="391" t="n"/>
      <c r="M483" s="391" t="n"/>
      <c r="N483" s="391" t="n"/>
      <c r="O483" s="392" t="n"/>
      <c r="P483" s="391" t="n"/>
      <c r="Q483" s="385" t="str">
        <f>IF($B483="","",IF($P483&lt;&gt;"AED",0,IF($F483="Income",$O483,IF($F483="Expense",-$O483,0))))</f>
        <v/>
      </c>
      <c r="R483" s="381" t="n"/>
      <c r="S483" s="381" t="n"/>
      <c r="T483" s="381" t="n"/>
      <c r="U483" s="381" t="n"/>
    </row>
    <row r="484" ht="15" customHeight="1" s="278">
      <c r="A484" s="399" t="str">
        <f>IF($B484="","","T"&amp;TEXT(ROW()-6,"0000"))</f>
        <v/>
      </c>
      <c r="B484" s="386" t="n"/>
      <c r="C484" s="399" t="str">
        <f>IF($B484="","",TEXT($B484,"YYYY-MM"))</f>
        <v/>
      </c>
      <c r="D484" s="400" t="str">
        <f>IF($B484="","",YEAR($B484))</f>
        <v/>
      </c>
      <c r="E484" s="391" t="n"/>
      <c r="F484" s="391" t="n"/>
      <c r="G484" s="391" t="n"/>
      <c r="H484" s="391" t="n"/>
      <c r="I484" s="391" t="n"/>
      <c r="J484" s="391" t="n"/>
      <c r="K484" s="391" t="n"/>
      <c r="L484" s="391" t="n"/>
      <c r="M484" s="391" t="n"/>
      <c r="N484" s="391" t="n"/>
      <c r="O484" s="392" t="n"/>
      <c r="P484" s="391" t="n"/>
      <c r="Q484" s="385" t="str">
        <f>IF($B484="","",IF($P484&lt;&gt;"AED",0,IF($F484="Income",$O484,IF($F484="Expense",-$O484,0))))</f>
        <v/>
      </c>
      <c r="R484" s="381" t="n"/>
      <c r="S484" s="381" t="n"/>
      <c r="T484" s="381" t="n"/>
      <c r="U484" s="381" t="n"/>
    </row>
    <row r="485" ht="15" customHeight="1" s="278">
      <c r="A485" s="399" t="str">
        <f>IF($B485="","","T"&amp;TEXT(ROW()-6,"0000"))</f>
        <v/>
      </c>
      <c r="B485" s="386" t="n"/>
      <c r="C485" s="399" t="str">
        <f>IF($B485="","",TEXT($B485,"YYYY-MM"))</f>
        <v/>
      </c>
      <c r="D485" s="400" t="str">
        <f>IF($B485="","",YEAR($B485))</f>
        <v/>
      </c>
      <c r="E485" s="391" t="n"/>
      <c r="F485" s="391" t="n"/>
      <c r="G485" s="391" t="n"/>
      <c r="H485" s="391" t="n"/>
      <c r="I485" s="391" t="n"/>
      <c r="J485" s="391" t="n"/>
      <c r="K485" s="391" t="n"/>
      <c r="L485" s="391" t="n"/>
      <c r="M485" s="391" t="n"/>
      <c r="N485" s="391" t="n"/>
      <c r="O485" s="392" t="n"/>
      <c r="P485" s="391" t="n"/>
      <c r="Q485" s="385" t="str">
        <f>IF($B485="","",IF($P485&lt;&gt;"AED",0,IF($F485="Income",$O485,IF($F485="Expense",-$O485,0))))</f>
        <v/>
      </c>
      <c r="R485" s="381" t="n"/>
      <c r="S485" s="381" t="n"/>
      <c r="T485" s="381" t="n"/>
      <c r="U485" s="381" t="n"/>
    </row>
    <row r="486" ht="15" customHeight="1" s="278">
      <c r="A486" s="399" t="str">
        <f>IF($B486="","","T"&amp;TEXT(ROW()-6,"0000"))</f>
        <v/>
      </c>
      <c r="B486" s="386" t="n"/>
      <c r="C486" s="399" t="str">
        <f>IF($B486="","",TEXT($B486,"YYYY-MM"))</f>
        <v/>
      </c>
      <c r="D486" s="400" t="str">
        <f>IF($B486="","",YEAR($B486))</f>
        <v/>
      </c>
      <c r="E486" s="391" t="n"/>
      <c r="F486" s="391" t="n"/>
      <c r="G486" s="391" t="n"/>
      <c r="H486" s="391" t="n"/>
      <c r="I486" s="391" t="n"/>
      <c r="J486" s="391" t="n"/>
      <c r="K486" s="391" t="n"/>
      <c r="L486" s="391" t="n"/>
      <c r="M486" s="391" t="n"/>
      <c r="N486" s="391" t="n"/>
      <c r="O486" s="392" t="n"/>
      <c r="P486" s="391" t="n"/>
      <c r="Q486" s="385" t="str">
        <f>IF($B486="","",IF($P486&lt;&gt;"AED",0,IF($F486="Income",$O486,IF($F486="Expense",-$O486,0))))</f>
        <v/>
      </c>
      <c r="R486" s="381" t="n"/>
      <c r="S486" s="381" t="n"/>
      <c r="T486" s="381" t="n"/>
      <c r="U486" s="381" t="n"/>
    </row>
    <row r="487" ht="15" customHeight="1" s="278">
      <c r="A487" s="399" t="str">
        <f>IF($B487="","","T"&amp;TEXT(ROW()-6,"0000"))</f>
        <v/>
      </c>
      <c r="B487" s="386" t="n"/>
      <c r="C487" s="399" t="str">
        <f>IF($B487="","",TEXT($B487,"YYYY-MM"))</f>
        <v/>
      </c>
      <c r="D487" s="400" t="str">
        <f>IF($B487="","",YEAR($B487))</f>
        <v/>
      </c>
      <c r="E487" s="391" t="n"/>
      <c r="F487" s="391" t="n"/>
      <c r="G487" s="391" t="n"/>
      <c r="H487" s="391" t="n"/>
      <c r="I487" s="391" t="n"/>
      <c r="J487" s="391" t="n"/>
      <c r="K487" s="391" t="n"/>
      <c r="L487" s="391" t="n"/>
      <c r="M487" s="391" t="n"/>
      <c r="N487" s="391" t="n"/>
      <c r="O487" s="392" t="n"/>
      <c r="P487" s="391" t="n"/>
      <c r="Q487" s="385" t="str">
        <f>IF($B487="","",IF($P487&lt;&gt;"AED",0,IF($F487="Income",$O487,IF($F487="Expense",-$O487,0))))</f>
        <v/>
      </c>
      <c r="R487" s="381" t="n"/>
      <c r="S487" s="381" t="n"/>
      <c r="T487" s="381" t="n"/>
      <c r="U487" s="381" t="n"/>
    </row>
    <row r="488" ht="15" customHeight="1" s="278">
      <c r="A488" s="399" t="str">
        <f>IF($B488="","","T"&amp;TEXT(ROW()-6,"0000"))</f>
        <v/>
      </c>
      <c r="B488" s="386" t="n"/>
      <c r="C488" s="399" t="str">
        <f>IF($B488="","",TEXT($B488,"YYYY-MM"))</f>
        <v/>
      </c>
      <c r="D488" s="400" t="str">
        <f>IF($B488="","",YEAR($B488))</f>
        <v/>
      </c>
      <c r="E488" s="391" t="n"/>
      <c r="F488" s="391" t="n"/>
      <c r="G488" s="391" t="n"/>
      <c r="H488" s="391" t="n"/>
      <c r="I488" s="391" t="n"/>
      <c r="J488" s="391" t="n"/>
      <c r="K488" s="391" t="n"/>
      <c r="L488" s="391" t="n"/>
      <c r="M488" s="391" t="n"/>
      <c r="N488" s="391" t="n"/>
      <c r="O488" s="392" t="n"/>
      <c r="P488" s="391" t="n"/>
      <c r="Q488" s="385" t="str">
        <f>IF($B488="","",IF($P488&lt;&gt;"AED",0,IF($F488="Income",$O488,IF($F488="Expense",-$O488,0))))</f>
        <v/>
      </c>
      <c r="R488" s="381" t="n"/>
      <c r="S488" s="381" t="n"/>
      <c r="T488" s="381" t="n"/>
      <c r="U488" s="381" t="n"/>
    </row>
    <row r="489" ht="15" customHeight="1" s="278">
      <c r="A489" s="399" t="str">
        <f>IF($B489="","","T"&amp;TEXT(ROW()-6,"0000"))</f>
        <v/>
      </c>
      <c r="B489" s="386" t="n"/>
      <c r="C489" s="399" t="str">
        <f>IF($B489="","",TEXT($B489,"YYYY-MM"))</f>
        <v/>
      </c>
      <c r="D489" s="400" t="str">
        <f>IF($B489="","",YEAR($B489))</f>
        <v/>
      </c>
      <c r="E489" s="391" t="n"/>
      <c r="F489" s="391" t="n"/>
      <c r="G489" s="391" t="n"/>
      <c r="H489" s="391" t="n"/>
      <c r="I489" s="391" t="n"/>
      <c r="J489" s="391" t="n"/>
      <c r="K489" s="391" t="n"/>
      <c r="L489" s="391" t="n"/>
      <c r="M489" s="391" t="n"/>
      <c r="N489" s="391" t="n"/>
      <c r="O489" s="392" t="n"/>
      <c r="P489" s="391" t="n"/>
      <c r="Q489" s="385" t="str">
        <f>IF($B489="","",IF($P489&lt;&gt;"AED",0,IF($F489="Income",$O489,IF($F489="Expense",-$O489,0))))</f>
        <v/>
      </c>
      <c r="R489" s="381" t="n"/>
      <c r="S489" s="381" t="n"/>
      <c r="T489" s="381" t="n"/>
      <c r="U489" s="381" t="n"/>
    </row>
    <row r="490" ht="15" customHeight="1" s="278">
      <c r="A490" s="399" t="str">
        <f>IF($B490="","","T"&amp;TEXT(ROW()-6,"0000"))</f>
        <v/>
      </c>
      <c r="B490" s="386" t="n"/>
      <c r="C490" s="399" t="str">
        <f>IF($B490="","",TEXT($B490,"YYYY-MM"))</f>
        <v/>
      </c>
      <c r="D490" s="400" t="str">
        <f>IF($B490="","",YEAR($B490))</f>
        <v/>
      </c>
      <c r="E490" s="391" t="n"/>
      <c r="F490" s="391" t="n"/>
      <c r="G490" s="391" t="n"/>
      <c r="H490" s="391" t="n"/>
      <c r="I490" s="391" t="n"/>
      <c r="J490" s="391" t="n"/>
      <c r="K490" s="391" t="n"/>
      <c r="L490" s="391" t="n"/>
      <c r="M490" s="391" t="n"/>
      <c r="N490" s="391" t="n"/>
      <c r="O490" s="392" t="n"/>
      <c r="P490" s="391" t="n"/>
      <c r="Q490" s="385" t="str">
        <f>IF($B490="","",IF($P490&lt;&gt;"AED",0,IF($F490="Income",$O490,IF($F490="Expense",-$O490,0))))</f>
        <v/>
      </c>
      <c r="R490" s="381" t="n"/>
      <c r="S490" s="381" t="n"/>
      <c r="T490" s="381" t="n"/>
      <c r="U490" s="381" t="n"/>
    </row>
    <row r="491" ht="15" customHeight="1" s="278">
      <c r="A491" s="399" t="str">
        <f>IF($B491="","","T"&amp;TEXT(ROW()-6,"0000"))</f>
        <v/>
      </c>
      <c r="B491" s="386" t="n"/>
      <c r="C491" s="399" t="str">
        <f>IF($B491="","",TEXT($B491,"YYYY-MM"))</f>
        <v/>
      </c>
      <c r="D491" s="400" t="str">
        <f>IF($B491="","",YEAR($B491))</f>
        <v/>
      </c>
      <c r="E491" s="391" t="n"/>
      <c r="F491" s="391" t="n"/>
      <c r="G491" s="391" t="n"/>
      <c r="H491" s="391" t="n"/>
      <c r="I491" s="391" t="n"/>
      <c r="J491" s="391" t="n"/>
      <c r="K491" s="391" t="n"/>
      <c r="L491" s="391" t="n"/>
      <c r="M491" s="391" t="n"/>
      <c r="N491" s="391" t="n"/>
      <c r="O491" s="392" t="n"/>
      <c r="P491" s="391" t="n"/>
      <c r="Q491" s="385" t="str">
        <f>IF($B491="","",IF($P491&lt;&gt;"AED",0,IF($F491="Income",$O491,IF($F491="Expense",-$O491,0))))</f>
        <v/>
      </c>
      <c r="R491" s="381" t="n"/>
      <c r="S491" s="381" t="n"/>
      <c r="T491" s="381" t="n"/>
      <c r="U491" s="381" t="n"/>
    </row>
    <row r="492" ht="15" customHeight="1" s="278">
      <c r="A492" s="399" t="str">
        <f>IF($B492="","","T"&amp;TEXT(ROW()-6,"0000"))</f>
        <v/>
      </c>
      <c r="B492" s="386" t="n"/>
      <c r="C492" s="399" t="str">
        <f>IF($B492="","",TEXT($B492,"YYYY-MM"))</f>
        <v/>
      </c>
      <c r="D492" s="400" t="str">
        <f>IF($B492="","",YEAR($B492))</f>
        <v/>
      </c>
      <c r="E492" s="391" t="n"/>
      <c r="F492" s="391" t="n"/>
      <c r="G492" s="391" t="n"/>
      <c r="H492" s="391" t="n"/>
      <c r="I492" s="391" t="n"/>
      <c r="J492" s="391" t="n"/>
      <c r="K492" s="391" t="n"/>
      <c r="L492" s="391" t="n"/>
      <c r="M492" s="391" t="n"/>
      <c r="N492" s="391" t="n"/>
      <c r="O492" s="392" t="n"/>
      <c r="P492" s="391" t="n"/>
      <c r="Q492" s="385" t="str">
        <f>IF($B492="","",IF($P492&lt;&gt;"AED",0,IF($F492="Income",$O492,IF($F492="Expense",-$O492,0))))</f>
        <v/>
      </c>
      <c r="R492" s="381" t="n"/>
      <c r="S492" s="381" t="n"/>
      <c r="T492" s="381" t="n"/>
      <c r="U492" s="381" t="n"/>
    </row>
    <row r="493" ht="15" customHeight="1" s="278">
      <c r="A493" s="399" t="str">
        <f>IF($B493="","","T"&amp;TEXT(ROW()-6,"0000"))</f>
        <v/>
      </c>
      <c r="B493" s="386" t="n"/>
      <c r="C493" s="399" t="str">
        <f>IF($B493="","",TEXT($B493,"YYYY-MM"))</f>
        <v/>
      </c>
      <c r="D493" s="400" t="str">
        <f>IF($B493="","",YEAR($B493))</f>
        <v/>
      </c>
      <c r="E493" s="391" t="n"/>
      <c r="F493" s="391" t="n"/>
      <c r="G493" s="391" t="n"/>
      <c r="H493" s="391" t="n"/>
      <c r="I493" s="391" t="n"/>
      <c r="J493" s="391" t="n"/>
      <c r="K493" s="391" t="n"/>
      <c r="L493" s="391" t="n"/>
      <c r="M493" s="391" t="n"/>
      <c r="N493" s="391" t="n"/>
      <c r="O493" s="392" t="n"/>
      <c r="P493" s="391" t="n"/>
      <c r="Q493" s="385" t="str">
        <f>IF($B493="","",IF($P493&lt;&gt;"AED",0,IF($F493="Income",$O493,IF($F493="Expense",-$O493,0))))</f>
        <v/>
      </c>
      <c r="R493" s="381" t="n"/>
      <c r="S493" s="381" t="n"/>
      <c r="T493" s="381" t="n"/>
      <c r="U493" s="381" t="n"/>
    </row>
    <row r="494" ht="15" customHeight="1" s="278">
      <c r="A494" s="399" t="str">
        <f>IF($B494="","","T"&amp;TEXT(ROW()-6,"0000"))</f>
        <v/>
      </c>
      <c r="B494" s="386" t="n"/>
      <c r="C494" s="399" t="str">
        <f>IF($B494="","",TEXT($B494,"YYYY-MM"))</f>
        <v/>
      </c>
      <c r="D494" s="400" t="str">
        <f>IF($B494="","",YEAR($B494))</f>
        <v/>
      </c>
      <c r="E494" s="391" t="n"/>
      <c r="F494" s="391" t="n"/>
      <c r="G494" s="391" t="n"/>
      <c r="H494" s="391" t="n"/>
      <c r="I494" s="391" t="n"/>
      <c r="J494" s="391" t="n"/>
      <c r="K494" s="391" t="n"/>
      <c r="L494" s="391" t="n"/>
      <c r="M494" s="391" t="n"/>
      <c r="N494" s="391" t="n"/>
      <c r="O494" s="392" t="n"/>
      <c r="P494" s="391" t="n"/>
      <c r="Q494" s="385" t="str">
        <f>IF($B494="","",IF($P494&lt;&gt;"AED",0,IF($F494="Income",$O494,IF($F494="Expense",-$O494,0))))</f>
        <v/>
      </c>
      <c r="R494" s="381" t="n"/>
      <c r="S494" s="381" t="n"/>
      <c r="T494" s="381" t="n"/>
      <c r="U494" s="381" t="n"/>
    </row>
    <row r="495" ht="15" customHeight="1" s="278">
      <c r="A495" s="399" t="str">
        <f>IF($B495="","","T"&amp;TEXT(ROW()-6,"0000"))</f>
        <v/>
      </c>
      <c r="B495" s="386" t="n"/>
      <c r="C495" s="399" t="str">
        <f>IF($B495="","",TEXT($B495,"YYYY-MM"))</f>
        <v/>
      </c>
      <c r="D495" s="400" t="str">
        <f>IF($B495="","",YEAR($B495))</f>
        <v/>
      </c>
      <c r="E495" s="391" t="n"/>
      <c r="F495" s="391" t="n"/>
      <c r="G495" s="391" t="n"/>
      <c r="H495" s="391" t="n"/>
      <c r="I495" s="391" t="n"/>
      <c r="J495" s="391" t="n"/>
      <c r="K495" s="391" t="n"/>
      <c r="L495" s="391" t="n"/>
      <c r="M495" s="391" t="n"/>
      <c r="N495" s="391" t="n"/>
      <c r="O495" s="392" t="n"/>
      <c r="P495" s="391" t="n"/>
      <c r="Q495" s="385" t="str">
        <f>IF($B495="","",IF($P495&lt;&gt;"AED",0,IF($F495="Income",$O495,IF($F495="Expense",-$O495,0))))</f>
        <v/>
      </c>
      <c r="R495" s="381" t="n"/>
      <c r="S495" s="381" t="n"/>
      <c r="T495" s="381" t="n"/>
      <c r="U495" s="381" t="n"/>
    </row>
    <row r="496" ht="15" customHeight="1" s="278">
      <c r="A496" s="399" t="str">
        <f>IF($B496="","","T"&amp;TEXT(ROW()-6,"0000"))</f>
        <v/>
      </c>
      <c r="B496" s="386" t="n"/>
      <c r="C496" s="399" t="str">
        <f>IF($B496="","",TEXT($B496,"YYYY-MM"))</f>
        <v/>
      </c>
      <c r="D496" s="400" t="str">
        <f>IF($B496="","",YEAR($B496))</f>
        <v/>
      </c>
      <c r="E496" s="391" t="n"/>
      <c r="F496" s="391" t="n"/>
      <c r="G496" s="391" t="n"/>
      <c r="H496" s="391" t="n"/>
      <c r="I496" s="391" t="n"/>
      <c r="J496" s="391" t="n"/>
      <c r="K496" s="391" t="n"/>
      <c r="L496" s="391" t="n"/>
      <c r="M496" s="391" t="n"/>
      <c r="N496" s="391" t="n"/>
      <c r="O496" s="392" t="n"/>
      <c r="P496" s="391" t="n"/>
      <c r="Q496" s="385" t="str">
        <f>IF($B496="","",IF($P496&lt;&gt;"AED",0,IF($F496="Income",$O496,IF($F496="Expense",-$O496,0))))</f>
        <v/>
      </c>
      <c r="R496" s="381" t="n"/>
      <c r="S496" s="381" t="n"/>
      <c r="T496" s="381" t="n"/>
      <c r="U496" s="381" t="n"/>
    </row>
    <row r="497" ht="15" customHeight="1" s="278">
      <c r="A497" s="399" t="str">
        <f>IF($B497="","","T"&amp;TEXT(ROW()-6,"0000"))</f>
        <v/>
      </c>
      <c r="B497" s="386" t="n"/>
      <c r="C497" s="399" t="str">
        <f>IF($B497="","",TEXT($B497,"YYYY-MM"))</f>
        <v/>
      </c>
      <c r="D497" s="400" t="str">
        <f>IF($B497="","",YEAR($B497))</f>
        <v/>
      </c>
      <c r="E497" s="391" t="n"/>
      <c r="F497" s="391" t="n"/>
      <c r="G497" s="391" t="n"/>
      <c r="H497" s="391" t="n"/>
      <c r="I497" s="391" t="n"/>
      <c r="J497" s="391" t="n"/>
      <c r="K497" s="391" t="n"/>
      <c r="L497" s="391" t="n"/>
      <c r="M497" s="391" t="n"/>
      <c r="N497" s="391" t="n"/>
      <c r="O497" s="392" t="n"/>
      <c r="P497" s="391" t="n"/>
      <c r="Q497" s="385" t="str">
        <f>IF($B497="","",IF($P497&lt;&gt;"AED",0,IF($F497="Income",$O497,IF($F497="Expense",-$O497,0))))</f>
        <v/>
      </c>
      <c r="R497" s="381" t="n"/>
      <c r="S497" s="381" t="n"/>
      <c r="T497" s="381" t="n"/>
      <c r="U497" s="381" t="n"/>
    </row>
    <row r="498" ht="15" customHeight="1" s="278">
      <c r="A498" s="399" t="str">
        <f>IF($B498="","","T"&amp;TEXT(ROW()-6,"0000"))</f>
        <v/>
      </c>
      <c r="B498" s="386" t="n"/>
      <c r="C498" s="399" t="str">
        <f>IF($B498="","",TEXT($B498,"YYYY-MM"))</f>
        <v/>
      </c>
      <c r="D498" s="400" t="str">
        <f>IF($B498="","",YEAR($B498))</f>
        <v/>
      </c>
      <c r="E498" s="391" t="n"/>
      <c r="F498" s="391" t="n"/>
      <c r="G498" s="391" t="n"/>
      <c r="H498" s="391" t="n"/>
      <c r="I498" s="391" t="n"/>
      <c r="J498" s="391" t="n"/>
      <c r="K498" s="391" t="n"/>
      <c r="L498" s="391" t="n"/>
      <c r="M498" s="391" t="n"/>
      <c r="N498" s="391" t="n"/>
      <c r="O498" s="392" t="n"/>
      <c r="P498" s="391" t="n"/>
      <c r="Q498" s="385" t="str">
        <f>IF($B498="","",IF($P498&lt;&gt;"AED",0,IF($F498="Income",$O498,IF($F498="Expense",-$O498,0))))</f>
        <v/>
      </c>
      <c r="R498" s="381" t="n"/>
      <c r="S498" s="381" t="n"/>
      <c r="T498" s="381" t="n"/>
      <c r="U498" s="381" t="n"/>
    </row>
    <row r="499" ht="15" customHeight="1" s="278">
      <c r="A499" s="399" t="str">
        <f>IF($B499="","","T"&amp;TEXT(ROW()-6,"0000"))</f>
        <v/>
      </c>
      <c r="B499" s="386" t="n"/>
      <c r="C499" s="399" t="str">
        <f>IF($B499="","",TEXT($B499,"YYYY-MM"))</f>
        <v/>
      </c>
      <c r="D499" s="400" t="str">
        <f>IF($B499="","",YEAR($B499))</f>
        <v/>
      </c>
      <c r="E499" s="391" t="n"/>
      <c r="F499" s="391" t="n"/>
      <c r="G499" s="391" t="n"/>
      <c r="H499" s="391" t="n"/>
      <c r="I499" s="391" t="n"/>
      <c r="J499" s="391" t="n"/>
      <c r="K499" s="391" t="n"/>
      <c r="L499" s="391" t="n"/>
      <c r="M499" s="391" t="n"/>
      <c r="N499" s="391" t="n"/>
      <c r="O499" s="392" t="n"/>
      <c r="P499" s="391" t="n"/>
      <c r="Q499" s="385" t="str">
        <f>IF($B499="","",IF($P499&lt;&gt;"AED",0,IF($F499="Income",$O499,IF($F499="Expense",-$O499,0))))</f>
        <v/>
      </c>
      <c r="R499" s="381" t="n"/>
      <c r="S499" s="381" t="n"/>
      <c r="T499" s="381" t="n"/>
      <c r="U499" s="381" t="n"/>
    </row>
    <row r="500" ht="15" customHeight="1" s="278">
      <c r="A500" s="399" t="str">
        <f>IF($B500="","","T"&amp;TEXT(ROW()-6,"0000"))</f>
        <v/>
      </c>
      <c r="B500" s="386" t="n"/>
      <c r="C500" s="399" t="str">
        <f>IF($B500="","",TEXT($B500,"YYYY-MM"))</f>
        <v/>
      </c>
      <c r="D500" s="400" t="str">
        <f>IF($B500="","",YEAR($B500))</f>
        <v/>
      </c>
      <c r="E500" s="391" t="n"/>
      <c r="F500" s="391" t="n"/>
      <c r="G500" s="391" t="n"/>
      <c r="H500" s="391" t="n"/>
      <c r="I500" s="391" t="n"/>
      <c r="J500" s="391" t="n"/>
      <c r="K500" s="391" t="n"/>
      <c r="L500" s="391" t="n"/>
      <c r="M500" s="391" t="n"/>
      <c r="N500" s="391" t="n"/>
      <c r="O500" s="392" t="n"/>
      <c r="P500" s="391" t="n"/>
      <c r="Q500" s="385" t="str">
        <f>IF($B500="","",IF($P500&lt;&gt;"AED",0,IF($F500="Income",$O500,IF($F500="Expense",-$O500,0))))</f>
        <v/>
      </c>
      <c r="R500" s="381" t="n"/>
      <c r="S500" s="381" t="n"/>
      <c r="T500" s="381" t="n"/>
      <c r="U500" s="381" t="n"/>
    </row>
    <row r="501" ht="15" customHeight="1" s="278">
      <c r="A501" s="399" t="str">
        <f>IF($B501="","","T"&amp;TEXT(ROW()-6,"0000"))</f>
        <v/>
      </c>
      <c r="B501" s="386" t="n"/>
      <c r="C501" s="399" t="str">
        <f>IF($B501="","",TEXT($B501,"YYYY-MM"))</f>
        <v/>
      </c>
      <c r="D501" s="400" t="str">
        <f>IF($B501="","",YEAR($B501))</f>
        <v/>
      </c>
      <c r="E501" s="391" t="n"/>
      <c r="F501" s="391" t="n"/>
      <c r="G501" s="391" t="n"/>
      <c r="H501" s="391" t="n"/>
      <c r="I501" s="391" t="n"/>
      <c r="J501" s="391" t="n"/>
      <c r="K501" s="391" t="n"/>
      <c r="L501" s="391" t="n"/>
      <c r="M501" s="391" t="n"/>
      <c r="N501" s="391" t="n"/>
      <c r="O501" s="392" t="n"/>
      <c r="P501" s="391" t="n"/>
      <c r="Q501" s="385" t="str">
        <f>IF($B501="","",IF($P501&lt;&gt;"AED",0,IF($F501="Income",$O501,IF($F501="Expense",-$O501,0))))</f>
        <v/>
      </c>
      <c r="R501" s="381" t="n"/>
      <c r="S501" s="381" t="n"/>
      <c r="T501" s="381" t="n"/>
      <c r="U501" s="381" t="n"/>
    </row>
    <row r="502" ht="15" customHeight="1" s="278">
      <c r="A502" s="399" t="str">
        <f>IF($B502="","","T"&amp;TEXT(ROW()-6,"0000"))</f>
        <v/>
      </c>
      <c r="B502" s="386" t="n"/>
      <c r="C502" s="399" t="str">
        <f>IF($B502="","",TEXT($B502,"YYYY-MM"))</f>
        <v/>
      </c>
      <c r="D502" s="400" t="str">
        <f>IF($B502="","",YEAR($B502))</f>
        <v/>
      </c>
      <c r="E502" s="391" t="n"/>
      <c r="F502" s="391" t="n"/>
      <c r="G502" s="391" t="n"/>
      <c r="H502" s="391" t="n"/>
      <c r="I502" s="391" t="n"/>
      <c r="J502" s="391" t="n"/>
      <c r="K502" s="391" t="n"/>
      <c r="L502" s="391" t="n"/>
      <c r="M502" s="391" t="n"/>
      <c r="N502" s="391" t="n"/>
      <c r="O502" s="392" t="n"/>
      <c r="P502" s="391" t="n"/>
      <c r="Q502" s="385" t="str">
        <f>IF($B502="","",IF($P502&lt;&gt;"AED",0,IF($F502="Income",$O502,IF($F502="Expense",-$O502,0))))</f>
        <v/>
      </c>
      <c r="R502" s="381" t="n"/>
      <c r="S502" s="381" t="n"/>
      <c r="T502" s="381" t="n"/>
      <c r="U502" s="381" t="n"/>
    </row>
    <row r="503" ht="15" customHeight="1" s="278">
      <c r="A503" s="399" t="str">
        <f>IF($B503="","","T"&amp;TEXT(ROW()-6,"0000"))</f>
        <v/>
      </c>
      <c r="B503" s="386" t="n"/>
      <c r="C503" s="399" t="str">
        <f>IF($B503="","",TEXT($B503,"YYYY-MM"))</f>
        <v/>
      </c>
      <c r="D503" s="400" t="str">
        <f>IF($B503="","",YEAR($B503))</f>
        <v/>
      </c>
      <c r="E503" s="391" t="n"/>
      <c r="F503" s="391" t="n"/>
      <c r="G503" s="391" t="n"/>
      <c r="H503" s="391" t="n"/>
      <c r="I503" s="391" t="n"/>
      <c r="J503" s="391" t="n"/>
      <c r="K503" s="391" t="n"/>
      <c r="L503" s="391" t="n"/>
      <c r="M503" s="391" t="n"/>
      <c r="N503" s="391" t="n"/>
      <c r="O503" s="392" t="n"/>
      <c r="P503" s="391" t="n"/>
      <c r="Q503" s="385" t="str">
        <f>IF($B503="","",IF($P503&lt;&gt;"AED",0,IF($F503="Income",$O503,IF($F503="Expense",-$O503,0))))</f>
        <v/>
      </c>
      <c r="R503" s="381" t="n"/>
      <c r="S503" s="381" t="n"/>
      <c r="T503" s="381" t="n"/>
      <c r="U503" s="381" t="n"/>
    </row>
    <row r="504" ht="15" customHeight="1" s="278">
      <c r="A504" s="399" t="str">
        <f>IF($B504="","","T"&amp;TEXT(ROW()-6,"0000"))</f>
        <v/>
      </c>
      <c r="B504" s="386" t="n"/>
      <c r="C504" s="399" t="str">
        <f>IF($B504="","",TEXT($B504,"YYYY-MM"))</f>
        <v/>
      </c>
      <c r="D504" s="400" t="str">
        <f>IF($B504="","",YEAR($B504))</f>
        <v/>
      </c>
      <c r="E504" s="391" t="n"/>
      <c r="F504" s="391" t="n"/>
      <c r="G504" s="391" t="n"/>
      <c r="H504" s="391" t="n"/>
      <c r="I504" s="391" t="n"/>
      <c r="J504" s="391" t="n"/>
      <c r="K504" s="391" t="n"/>
      <c r="L504" s="391" t="n"/>
      <c r="M504" s="391" t="n"/>
      <c r="N504" s="391" t="n"/>
      <c r="O504" s="392" t="n"/>
      <c r="P504" s="391" t="n"/>
      <c r="Q504" s="385" t="str">
        <f>IF($B504="","",IF($P504&lt;&gt;"AED",0,IF($F504="Income",$O504,IF($F504="Expense",-$O504,0))))</f>
        <v/>
      </c>
      <c r="R504" s="381" t="n"/>
      <c r="S504" s="381" t="n"/>
      <c r="T504" s="381" t="n"/>
      <c r="U504" s="381" t="n"/>
    </row>
    <row r="505" ht="15" customHeight="1" s="278">
      <c r="A505" s="399" t="str">
        <f>IF($B505="","","T"&amp;TEXT(ROW()-6,"0000"))</f>
        <v/>
      </c>
      <c r="B505" s="386" t="n"/>
      <c r="C505" s="399" t="str">
        <f>IF($B505="","",TEXT($B505,"YYYY-MM"))</f>
        <v/>
      </c>
      <c r="D505" s="400" t="str">
        <f>IF($B505="","",YEAR($B505))</f>
        <v/>
      </c>
      <c r="E505" s="391" t="n"/>
      <c r="F505" s="391" t="n"/>
      <c r="G505" s="391" t="n"/>
      <c r="H505" s="391" t="n"/>
      <c r="I505" s="391" t="n"/>
      <c r="J505" s="391" t="n"/>
      <c r="K505" s="391" t="n"/>
      <c r="L505" s="391" t="n"/>
      <c r="M505" s="391" t="n"/>
      <c r="N505" s="391" t="n"/>
      <c r="O505" s="392" t="n"/>
      <c r="P505" s="391" t="n"/>
      <c r="Q505" s="385" t="str">
        <f>IF($B505="","",IF($P505&lt;&gt;"AED",0,IF($F505="Income",$O505,IF($F505="Expense",-$O505,0))))</f>
        <v/>
      </c>
      <c r="R505" s="381" t="n"/>
      <c r="S505" s="381" t="n"/>
      <c r="T505" s="381" t="n"/>
      <c r="U505" s="381" t="n"/>
    </row>
    <row r="506" ht="15" customHeight="1" s="278">
      <c r="A506" s="399" t="str">
        <f>IF($B506="","","T"&amp;TEXT(ROW()-6,"0000"))</f>
        <v/>
      </c>
      <c r="B506" s="386" t="n"/>
      <c r="C506" s="399" t="str">
        <f>IF($B506="","",TEXT($B506,"YYYY-MM"))</f>
        <v/>
      </c>
      <c r="D506" s="400" t="str">
        <f>IF($B506="","",YEAR($B506))</f>
        <v/>
      </c>
      <c r="E506" s="391" t="n"/>
      <c r="F506" s="391" t="n"/>
      <c r="G506" s="391" t="n"/>
      <c r="H506" s="391" t="n"/>
      <c r="I506" s="391" t="n"/>
      <c r="J506" s="391" t="n"/>
      <c r="K506" s="391" t="n"/>
      <c r="L506" s="391" t="n"/>
      <c r="M506" s="391" t="n"/>
      <c r="N506" s="391" t="n"/>
      <c r="O506" s="392" t="n"/>
      <c r="P506" s="391" t="n"/>
      <c r="Q506" s="385" t="str">
        <f>IF($B506="","",IF($P506&lt;&gt;"AED",0,IF($F506="Income",$O506,IF($F506="Expense",-$O506,0))))</f>
        <v/>
      </c>
      <c r="R506" s="381" t="n"/>
      <c r="S506" s="381" t="n"/>
      <c r="T506" s="381" t="n"/>
      <c r="U506" s="381" t="n"/>
    </row>
    <row r="507" ht="15" customHeight="1" s="278">
      <c r="A507" s="399" t="str">
        <f>IF($B507="","","T"&amp;TEXT(ROW()-6,"0000"))</f>
        <v/>
      </c>
      <c r="B507" s="386" t="n"/>
      <c r="C507" s="399" t="str">
        <f>IF($B507="","",TEXT($B507,"YYYY-MM"))</f>
        <v/>
      </c>
      <c r="D507" s="400" t="str">
        <f>IF($B507="","",YEAR($B507))</f>
        <v/>
      </c>
      <c r="E507" s="391" t="n"/>
      <c r="F507" s="391" t="n"/>
      <c r="G507" s="391" t="n"/>
      <c r="H507" s="391" t="n"/>
      <c r="I507" s="391" t="n"/>
      <c r="J507" s="391" t="n"/>
      <c r="K507" s="391" t="n"/>
      <c r="L507" s="391" t="n"/>
      <c r="M507" s="391" t="n"/>
      <c r="N507" s="391" t="n"/>
      <c r="O507" s="392" t="n"/>
      <c r="P507" s="391" t="n"/>
      <c r="Q507" s="385" t="str">
        <f>IF($B507="","",IF($P507&lt;&gt;"AED",0,IF($F507="Income",$O507,IF($F507="Expense",-$O507,0))))</f>
        <v/>
      </c>
      <c r="R507" s="381" t="n"/>
      <c r="S507" s="381" t="n"/>
      <c r="T507" s="381" t="n"/>
      <c r="U507" s="381" t="n"/>
    </row>
    <row r="508" ht="15" customHeight="1" s="278">
      <c r="A508" s="399" t="str">
        <f>IF($B508="","","T"&amp;TEXT(ROW()-6,"0000"))</f>
        <v/>
      </c>
      <c r="B508" s="386" t="n"/>
      <c r="C508" s="399" t="str">
        <f>IF($B508="","",TEXT($B508,"YYYY-MM"))</f>
        <v/>
      </c>
      <c r="D508" s="400" t="str">
        <f>IF($B508="","",YEAR($B508))</f>
        <v/>
      </c>
      <c r="E508" s="391" t="n"/>
      <c r="F508" s="391" t="n"/>
      <c r="G508" s="391" t="n"/>
      <c r="H508" s="391" t="n"/>
      <c r="I508" s="391" t="n"/>
      <c r="J508" s="391" t="n"/>
      <c r="K508" s="391" t="n"/>
      <c r="L508" s="391" t="n"/>
      <c r="M508" s="391" t="n"/>
      <c r="N508" s="391" t="n"/>
      <c r="O508" s="392" t="n"/>
      <c r="P508" s="391" t="n"/>
      <c r="Q508" s="385" t="str">
        <f>IF($B508="","",IF($P508&lt;&gt;"AED",0,IF($F508="Income",$O508,IF($F508="Expense",-$O508,0))))</f>
        <v/>
      </c>
      <c r="R508" s="381" t="n"/>
      <c r="S508" s="381" t="n"/>
      <c r="T508" s="381" t="n"/>
      <c r="U508" s="381" t="n"/>
    </row>
    <row r="509" ht="15" customHeight="1" s="278">
      <c r="A509" s="399" t="str">
        <f>IF($B509="","","T"&amp;TEXT(ROW()-6,"0000"))</f>
        <v/>
      </c>
      <c r="B509" s="386" t="n"/>
      <c r="C509" s="399" t="str">
        <f>IF($B509="","",TEXT($B509,"YYYY-MM"))</f>
        <v/>
      </c>
      <c r="D509" s="400" t="str">
        <f>IF($B509="","",YEAR($B509))</f>
        <v/>
      </c>
      <c r="E509" s="391" t="n"/>
      <c r="F509" s="391" t="n"/>
      <c r="G509" s="391" t="n"/>
      <c r="H509" s="391" t="n"/>
      <c r="I509" s="391" t="n"/>
      <c r="J509" s="391" t="n"/>
      <c r="K509" s="391" t="n"/>
      <c r="L509" s="391" t="n"/>
      <c r="M509" s="391" t="n"/>
      <c r="N509" s="391" t="n"/>
      <c r="O509" s="392" t="n"/>
      <c r="P509" s="391" t="n"/>
      <c r="Q509" s="385" t="str">
        <f>IF($B509="","",IF($P509&lt;&gt;"AED",0,IF($F509="Income",$O509,IF($F509="Expense",-$O509,0))))</f>
        <v/>
      </c>
      <c r="R509" s="381" t="n"/>
      <c r="S509" s="381" t="n"/>
      <c r="T509" s="381" t="n"/>
      <c r="U509" s="381" t="n"/>
    </row>
    <row r="510" ht="15" customHeight="1" s="278">
      <c r="A510" s="399" t="str">
        <f>IF($B510="","","T"&amp;TEXT(ROW()-6,"0000"))</f>
        <v/>
      </c>
      <c r="B510" s="386" t="n"/>
      <c r="C510" s="399" t="str">
        <f>IF($B510="","",TEXT($B510,"YYYY-MM"))</f>
        <v/>
      </c>
      <c r="D510" s="400" t="str">
        <f>IF($B510="","",YEAR($B510))</f>
        <v/>
      </c>
      <c r="E510" s="391" t="n"/>
      <c r="F510" s="391" t="n"/>
      <c r="G510" s="391" t="n"/>
      <c r="H510" s="391" t="n"/>
      <c r="I510" s="391" t="n"/>
      <c r="J510" s="391" t="n"/>
      <c r="K510" s="391" t="n"/>
      <c r="L510" s="391" t="n"/>
      <c r="M510" s="391" t="n"/>
      <c r="N510" s="391" t="n"/>
      <c r="O510" s="392" t="n"/>
      <c r="P510" s="391" t="n"/>
      <c r="Q510" s="385" t="str">
        <f>IF($B510="","",IF($P510&lt;&gt;"AED",0,IF($F510="Income",$O510,IF($F510="Expense",-$O510,0))))</f>
        <v/>
      </c>
      <c r="R510" s="381" t="n"/>
      <c r="S510" s="381" t="n"/>
      <c r="T510" s="381" t="n"/>
      <c r="U510" s="381" t="n"/>
    </row>
    <row r="511" ht="15" customHeight="1" s="278">
      <c r="A511" s="399" t="str">
        <f>IF($B511="","","T"&amp;TEXT(ROW()-6,"0000"))</f>
        <v/>
      </c>
      <c r="B511" s="386" t="n"/>
      <c r="C511" s="399" t="str">
        <f>IF($B511="","",TEXT($B511,"YYYY-MM"))</f>
        <v/>
      </c>
      <c r="D511" s="400" t="str">
        <f>IF($B511="","",YEAR($B511))</f>
        <v/>
      </c>
      <c r="E511" s="391" t="n"/>
      <c r="F511" s="391" t="n"/>
      <c r="G511" s="391" t="n"/>
      <c r="H511" s="391" t="n"/>
      <c r="I511" s="391" t="n"/>
      <c r="J511" s="391" t="n"/>
      <c r="K511" s="391" t="n"/>
      <c r="L511" s="391" t="n"/>
      <c r="M511" s="391" t="n"/>
      <c r="N511" s="391" t="n"/>
      <c r="O511" s="392" t="n"/>
      <c r="P511" s="391" t="n"/>
      <c r="Q511" s="385" t="str">
        <f>IF($B511="","",IF($P511&lt;&gt;"AED",0,IF($F511="Income",$O511,IF($F511="Expense",-$O511,0))))</f>
        <v/>
      </c>
      <c r="R511" s="381" t="n"/>
      <c r="S511" s="381" t="n"/>
      <c r="T511" s="381" t="n"/>
      <c r="U511" s="381" t="n"/>
    </row>
    <row r="512" ht="15" customHeight="1" s="278">
      <c r="A512" s="399" t="str">
        <f>IF($B512="","","T"&amp;TEXT(ROW()-6,"0000"))</f>
        <v/>
      </c>
      <c r="B512" s="386" t="n"/>
      <c r="C512" s="399" t="str">
        <f>IF($B512="","",TEXT($B512,"YYYY-MM"))</f>
        <v/>
      </c>
      <c r="D512" s="400" t="str">
        <f>IF($B512="","",YEAR($B512))</f>
        <v/>
      </c>
      <c r="E512" s="391" t="n"/>
      <c r="F512" s="391" t="n"/>
      <c r="G512" s="391" t="n"/>
      <c r="H512" s="391" t="n"/>
      <c r="I512" s="391" t="n"/>
      <c r="J512" s="391" t="n"/>
      <c r="K512" s="391" t="n"/>
      <c r="L512" s="391" t="n"/>
      <c r="M512" s="391" t="n"/>
      <c r="N512" s="391" t="n"/>
      <c r="O512" s="392" t="n"/>
      <c r="P512" s="391" t="n"/>
      <c r="Q512" s="385" t="str">
        <f>IF($B512="","",IF($P512&lt;&gt;"AED",0,IF($F512="Income",$O512,IF($F512="Expense",-$O512,0))))</f>
        <v/>
      </c>
      <c r="R512" s="381" t="n"/>
      <c r="S512" s="381" t="n"/>
      <c r="T512" s="381" t="n"/>
      <c r="U512" s="381" t="n"/>
    </row>
    <row r="513" ht="15" customHeight="1" s="278">
      <c r="A513" s="399" t="str">
        <f>IF($B513="","","T"&amp;TEXT(ROW()-6,"0000"))</f>
        <v/>
      </c>
      <c r="B513" s="386" t="n"/>
      <c r="C513" s="399" t="str">
        <f>IF($B513="","",TEXT($B513,"YYYY-MM"))</f>
        <v/>
      </c>
      <c r="D513" s="400" t="str">
        <f>IF($B513="","",YEAR($B513))</f>
        <v/>
      </c>
      <c r="E513" s="391" t="n"/>
      <c r="F513" s="391" t="n"/>
      <c r="G513" s="391" t="n"/>
      <c r="H513" s="391" t="n"/>
      <c r="I513" s="391" t="n"/>
      <c r="J513" s="391" t="n"/>
      <c r="K513" s="391" t="n"/>
      <c r="L513" s="391" t="n"/>
      <c r="M513" s="391" t="n"/>
      <c r="N513" s="391" t="n"/>
      <c r="O513" s="392" t="n"/>
      <c r="P513" s="391" t="n"/>
      <c r="Q513" s="385" t="str">
        <f>IF($B513="","",IF($P513&lt;&gt;"AED",0,IF($F513="Income",$O513,IF($F513="Expense",-$O513,0))))</f>
        <v/>
      </c>
      <c r="R513" s="381" t="n"/>
      <c r="S513" s="381" t="n"/>
      <c r="T513" s="381" t="n"/>
      <c r="U513" s="381" t="n"/>
    </row>
    <row r="514" ht="15" customHeight="1" s="278">
      <c r="A514" s="399" t="str">
        <f>IF($B514="","","T"&amp;TEXT(ROW()-6,"0000"))</f>
        <v/>
      </c>
      <c r="B514" s="386" t="n"/>
      <c r="C514" s="399" t="str">
        <f>IF($B514="","",TEXT($B514,"YYYY-MM"))</f>
        <v/>
      </c>
      <c r="D514" s="400" t="str">
        <f>IF($B514="","",YEAR($B514))</f>
        <v/>
      </c>
      <c r="E514" s="391" t="n"/>
      <c r="F514" s="391" t="n"/>
      <c r="G514" s="391" t="n"/>
      <c r="H514" s="391" t="n"/>
      <c r="I514" s="391" t="n"/>
      <c r="J514" s="391" t="n"/>
      <c r="K514" s="391" t="n"/>
      <c r="L514" s="391" t="n"/>
      <c r="M514" s="391" t="n"/>
      <c r="N514" s="391" t="n"/>
      <c r="O514" s="392" t="n"/>
      <c r="P514" s="391" t="n"/>
      <c r="Q514" s="385" t="str">
        <f>IF($B514="","",IF($P514&lt;&gt;"AED",0,IF($F514="Income",$O514,IF($F514="Expense",-$O514,0))))</f>
        <v/>
      </c>
      <c r="R514" s="381" t="n"/>
      <c r="S514" s="381" t="n"/>
      <c r="T514" s="381" t="n"/>
      <c r="U514" s="381" t="n"/>
    </row>
    <row r="515" ht="15" customHeight="1" s="278">
      <c r="A515" s="399" t="str">
        <f>IF($B515="","","T"&amp;TEXT(ROW()-6,"0000"))</f>
        <v/>
      </c>
      <c r="B515" s="386" t="n"/>
      <c r="C515" s="399" t="str">
        <f>IF($B515="","",TEXT($B515,"YYYY-MM"))</f>
        <v/>
      </c>
      <c r="D515" s="400" t="str">
        <f>IF($B515="","",YEAR($B515))</f>
        <v/>
      </c>
      <c r="E515" s="391" t="n"/>
      <c r="F515" s="391" t="n"/>
      <c r="G515" s="391" t="n"/>
      <c r="H515" s="391" t="n"/>
      <c r="I515" s="391" t="n"/>
      <c r="J515" s="391" t="n"/>
      <c r="K515" s="391" t="n"/>
      <c r="L515" s="391" t="n"/>
      <c r="M515" s="391" t="n"/>
      <c r="N515" s="391" t="n"/>
      <c r="O515" s="392" t="n"/>
      <c r="P515" s="391" t="n"/>
      <c r="Q515" s="385" t="str">
        <f>IF($B515="","",IF($P515&lt;&gt;"AED",0,IF($F515="Income",$O515,IF($F515="Expense",-$O515,0))))</f>
        <v/>
      </c>
      <c r="R515" s="381" t="n"/>
      <c r="S515" s="381" t="n"/>
      <c r="T515" s="381" t="n"/>
      <c r="U515" s="381" t="n"/>
    </row>
    <row r="516" ht="15" customHeight="1" s="278">
      <c r="A516" s="399" t="str">
        <f>IF($B516="","","T"&amp;TEXT(ROW()-6,"0000"))</f>
        <v/>
      </c>
      <c r="B516" s="386" t="n"/>
      <c r="C516" s="399" t="str">
        <f>IF($B516="","",TEXT($B516,"YYYY-MM"))</f>
        <v/>
      </c>
      <c r="D516" s="400" t="str">
        <f>IF($B516="","",YEAR($B516))</f>
        <v/>
      </c>
      <c r="E516" s="391" t="n"/>
      <c r="F516" s="391" t="n"/>
      <c r="G516" s="391" t="n"/>
      <c r="H516" s="391" t="n"/>
      <c r="I516" s="391" t="n"/>
      <c r="J516" s="391" t="n"/>
      <c r="K516" s="391" t="n"/>
      <c r="L516" s="391" t="n"/>
      <c r="M516" s="391" t="n"/>
      <c r="N516" s="391" t="n"/>
      <c r="O516" s="392" t="n"/>
      <c r="P516" s="391" t="n"/>
      <c r="Q516" s="385" t="str">
        <f>IF($B516="","",IF($P516&lt;&gt;"AED",0,IF($F516="Income",$O516,IF($F516="Expense",-$O516,0))))</f>
        <v/>
      </c>
      <c r="R516" s="381" t="n"/>
      <c r="S516" s="381" t="n"/>
      <c r="T516" s="381" t="n"/>
      <c r="U516" s="381" t="n"/>
    </row>
    <row r="517" ht="15" customHeight="1" s="278">
      <c r="A517" s="399" t="str">
        <f>IF($B517="","","T"&amp;TEXT(ROW()-6,"0000"))</f>
        <v/>
      </c>
      <c r="B517" s="386" t="n"/>
      <c r="C517" s="399" t="str">
        <f>IF($B517="","",TEXT($B517,"YYYY-MM"))</f>
        <v/>
      </c>
      <c r="D517" s="400" t="str">
        <f>IF($B517="","",YEAR($B517))</f>
        <v/>
      </c>
      <c r="E517" s="391" t="n"/>
      <c r="F517" s="391" t="n"/>
      <c r="G517" s="391" t="n"/>
      <c r="H517" s="391" t="n"/>
      <c r="I517" s="391" t="n"/>
      <c r="J517" s="391" t="n"/>
      <c r="K517" s="391" t="n"/>
      <c r="L517" s="391" t="n"/>
      <c r="M517" s="391" t="n"/>
      <c r="N517" s="391" t="n"/>
      <c r="O517" s="392" t="n"/>
      <c r="P517" s="391" t="n"/>
      <c r="Q517" s="385" t="str">
        <f>IF($B517="","",IF($P517&lt;&gt;"AED",0,IF($F517="Income",$O517,IF($F517="Expense",-$O517,0))))</f>
        <v/>
      </c>
      <c r="R517" s="381" t="n"/>
      <c r="S517" s="381" t="n"/>
      <c r="T517" s="381" t="n"/>
      <c r="U517" s="381" t="n"/>
    </row>
    <row r="518" ht="15" customHeight="1" s="278">
      <c r="A518" s="399" t="str">
        <f>IF($B518="","","T"&amp;TEXT(ROW()-6,"0000"))</f>
        <v/>
      </c>
      <c r="B518" s="386" t="n"/>
      <c r="C518" s="399" t="str">
        <f>IF($B518="","",TEXT($B518,"YYYY-MM"))</f>
        <v/>
      </c>
      <c r="D518" s="400" t="str">
        <f>IF($B518="","",YEAR($B518))</f>
        <v/>
      </c>
      <c r="E518" s="391" t="n"/>
      <c r="F518" s="391" t="n"/>
      <c r="G518" s="391" t="n"/>
      <c r="H518" s="391" t="n"/>
      <c r="I518" s="391" t="n"/>
      <c r="J518" s="391" t="n"/>
      <c r="K518" s="391" t="n"/>
      <c r="L518" s="391" t="n"/>
      <c r="M518" s="391" t="n"/>
      <c r="N518" s="391" t="n"/>
      <c r="O518" s="392" t="n"/>
      <c r="P518" s="391" t="n"/>
      <c r="Q518" s="385" t="str">
        <f>IF($B518="","",IF($P518&lt;&gt;"AED",0,IF($F518="Income",$O518,IF($F518="Expense",-$O518,0))))</f>
        <v/>
      </c>
      <c r="R518" s="381" t="n"/>
      <c r="S518" s="381" t="n"/>
      <c r="T518" s="381" t="n"/>
      <c r="U518" s="381" t="n"/>
    </row>
    <row r="519" ht="15" customHeight="1" s="278">
      <c r="A519" s="399" t="str">
        <f>IF($B519="","","T"&amp;TEXT(ROW()-6,"0000"))</f>
        <v/>
      </c>
      <c r="B519" s="386" t="n"/>
      <c r="C519" s="399" t="str">
        <f>IF($B519="","",TEXT($B519,"YYYY-MM"))</f>
        <v/>
      </c>
      <c r="D519" s="400" t="str">
        <f>IF($B519="","",YEAR($B519))</f>
        <v/>
      </c>
      <c r="E519" s="391" t="n"/>
      <c r="F519" s="391" t="n"/>
      <c r="G519" s="391" t="n"/>
      <c r="H519" s="391" t="n"/>
      <c r="I519" s="391" t="n"/>
      <c r="J519" s="391" t="n"/>
      <c r="K519" s="391" t="n"/>
      <c r="L519" s="391" t="n"/>
      <c r="M519" s="391" t="n"/>
      <c r="N519" s="391" t="n"/>
      <c r="O519" s="392" t="n"/>
      <c r="P519" s="391" t="n"/>
      <c r="Q519" s="385" t="str">
        <f>IF($B519="","",IF($P519&lt;&gt;"AED",0,IF($F519="Income",$O519,IF($F519="Expense",-$O519,0))))</f>
        <v/>
      </c>
      <c r="R519" s="381" t="n"/>
      <c r="S519" s="381" t="n"/>
      <c r="T519" s="381" t="n"/>
      <c r="U519" s="381" t="n"/>
    </row>
    <row r="520" ht="15" customHeight="1" s="278">
      <c r="A520" s="399" t="str">
        <f>IF($B520="","","T"&amp;TEXT(ROW()-6,"0000"))</f>
        <v/>
      </c>
      <c r="B520" s="386" t="n"/>
      <c r="C520" s="399" t="str">
        <f>IF($B520="","",TEXT($B520,"YYYY-MM"))</f>
        <v/>
      </c>
      <c r="D520" s="400" t="str">
        <f>IF($B520="","",YEAR($B520))</f>
        <v/>
      </c>
      <c r="E520" s="391" t="n"/>
      <c r="F520" s="391" t="n"/>
      <c r="G520" s="391" t="n"/>
      <c r="H520" s="391" t="n"/>
      <c r="I520" s="391" t="n"/>
      <c r="J520" s="391" t="n"/>
      <c r="K520" s="391" t="n"/>
      <c r="L520" s="391" t="n"/>
      <c r="M520" s="391" t="n"/>
      <c r="N520" s="391" t="n"/>
      <c r="O520" s="392" t="n"/>
      <c r="P520" s="391" t="n"/>
      <c r="Q520" s="385" t="str">
        <f>IF($B520="","",IF($P520&lt;&gt;"AED",0,IF($F520="Income",$O520,IF($F520="Expense",-$O520,0))))</f>
        <v/>
      </c>
      <c r="R520" s="381" t="n"/>
      <c r="S520" s="381" t="n"/>
      <c r="T520" s="381" t="n"/>
      <c r="U520" s="381" t="n"/>
    </row>
  </sheetData>
  <autoFilter ref="A6:U520"/>
  <mergeCells count="1">
    <mergeCell ref="A4:U4"/>
  </mergeCells>
  <dataValidations count="8">
    <dataValidation sqref="E7:E520" showDropDown="0" showInputMessage="0" showErrorMessage="0" allowBlank="1" type="list" errorStyle="stop" operator="between">
      <formula1>Settings!$I$36:$I$43</formula1>
      <formula2>0</formula2>
    </dataValidation>
    <dataValidation sqref="F7:F520" showDropDown="0" showInputMessage="0" showErrorMessage="0" allowBlank="1" type="list" errorStyle="stop" operator="between">
      <formula1>Settings!$H$36:$H$39</formula1>
      <formula2>0</formula2>
    </dataValidation>
    <dataValidation sqref="G7:G520" showDropDown="0" showInputMessage="0" showErrorMessage="0" allowBlank="1" type="list" errorStyle="stop" operator="between">
      <formula1>Settings!$F$36:$F$56</formula1>
      <formula2>0</formula2>
    </dataValidation>
    <dataValidation sqref="K7:K520" showDropDown="0" showInputMessage="0" showErrorMessage="0" allowBlank="1" type="list" errorStyle="stop" operator="between">
      <formula1>Settings!$K$36:$K$37</formula1>
      <formula2>0</formula2>
    </dataValidation>
    <dataValidation sqref="L7:L520" showDropDown="0" showInputMessage="0" showErrorMessage="0" allowBlank="1" type="list" errorStyle="stop" operator="between">
      <formula1>Settings!$J$36:$J$37</formula1>
      <formula2>0</formula2>
    </dataValidation>
    <dataValidation sqref="N7:N520" showDropDown="0" showInputMessage="0" showErrorMessage="0" allowBlank="1" type="list" errorStyle="stop" operator="between">
      <formula1>Settings!$L$36:$L$37</formula1>
      <formula2>0</formula2>
    </dataValidation>
    <dataValidation sqref="S7:S520" showDropDown="0" showInputMessage="0" showErrorMessage="0" allowBlank="1" type="list" errorStyle="stop" operator="between">
      <formula1>Settings!$L$36:$L$37</formula1>
      <formula2>0</formula2>
    </dataValidation>
    <dataValidation sqref="J7:J520" showDropDown="0" showInputMessage="0" showErrorMessage="0" allowBlank="1" type="list" errorStyle="stop" operator="between">
      <formula1>Settings!$G$36:$G$41</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xmlns:r="http://schemas.openxmlformats.org/officeDocument/2006/relationships">
  <sheetPr filterMode="0">
    <tabColor rgb="FF5B6B80"/>
    <outlinePr summaryBelow="1" summaryRight="1"/>
    <pageSetUpPr fitToPage="0"/>
  </sheetPr>
  <dimension ref="A1:I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77" min="1" max="1"/>
    <col width="14" customWidth="1" style="277" min="2" max="2"/>
    <col width="12" customWidth="1" style="277" min="3" max="3"/>
    <col width="14" customWidth="1" style="277" min="4" max="4"/>
    <col width="13" customWidth="1" style="277" min="5" max="5"/>
    <col width="40" customWidth="1" style="277" min="6" max="6"/>
    <col width="3" customWidth="1" style="277" min="7" max="7"/>
    <col width="12" customWidth="1" style="277" min="8" max="9"/>
  </cols>
  <sheetData>
    <row r="1" ht="30" customHeight="1" s="278">
      <c r="A1" s="345" t="inlineStr">
        <is>
          <t>Spending Breakdown</t>
        </is>
      </c>
    </row>
    <row r="2" ht="13.5" customHeight="1" s="278">
      <c r="A2" s="565" t="inlineStr">
        <is>
          <t>Where every dirham has actually gone since 3 August. Reimbursable business outflows are excluded — this is your own money only.</t>
        </is>
      </c>
    </row>
    <row r="3" ht="6" customHeight="1" s="278"/>
    <row r="5" ht="19.5" customHeight="1" s="278">
      <c r="A5" s="382" t="inlineStr">
        <is>
          <t>BY CATEGORY</t>
        </is>
      </c>
      <c r="B5" s="287" t="n"/>
      <c r="C5" s="287" t="n"/>
      <c r="D5" s="287" t="n"/>
      <c r="E5" s="287" t="n"/>
      <c r="F5" s="287" t="n"/>
    </row>
    <row r="6" ht="27.75" customHeight="1" s="278">
      <c r="A6" s="383" t="inlineStr">
        <is>
          <t>Category</t>
        </is>
      </c>
      <c r="B6" s="383" t="inlineStr">
        <is>
          <t>Amount</t>
        </is>
      </c>
      <c r="C6" s="383" t="inlineStr">
        <is>
          <t>% of total</t>
        </is>
      </c>
      <c r="D6" s="383" t="inlineStr">
        <is>
          <t>Essential?</t>
        </is>
      </c>
      <c r="E6" s="383" t="inlineStr">
        <is>
          <t>Recurring?</t>
        </is>
      </c>
      <c r="F6" s="383" t="inlineStr">
        <is>
          <t>What this is</t>
        </is>
      </c>
      <c r="H6" s="409" t="inlineStr">
        <is>
          <t>Category</t>
        </is>
      </c>
      <c r="I6" s="409" t="inlineStr">
        <is>
          <t>Amount</t>
        </is>
      </c>
    </row>
    <row r="7" ht="18.75" customHeight="1" s="278">
      <c r="A7" s="296" t="inlineStr">
        <is>
          <t>Travel &amp; Airfare</t>
        </is>
      </c>
      <c r="B7" s="373" t="n">
        <v>1430</v>
      </c>
      <c r="C7" s="410">
        <f>B7/$B$16</f>
        <v>0.4003729348</v>
      </c>
      <c r="D7" s="304" t="inlineStr">
        <is>
          <t>Essential</t>
        </is>
      </c>
      <c r="E7" s="304" t="inlineStr">
        <is>
          <t>One-off</t>
        </is>
      </c>
      <c r="F7" s="368" t="inlineStr">
        <is>
          <t>Emirates ticket — fully refunded 12 Aug, so this nets to zero</t>
        </is>
      </c>
      <c r="H7" s="561" t="inlineStr">
        <is>
          <t>Travel &amp; Airfare</t>
        </is>
      </c>
      <c r="I7" s="411" t="n">
        <v>1430</v>
      </c>
    </row>
    <row r="8" ht="15" customHeight="1" s="278">
      <c r="A8" s="296" t="inlineStr">
        <is>
          <t>Utilities</t>
        </is>
      </c>
      <c r="B8" s="373" t="n">
        <v>914.9299999999999</v>
      </c>
      <c r="C8" s="410">
        <f>B8/$B$16</f>
        <v>0.2561630834</v>
      </c>
      <c r="D8" s="304" t="inlineStr">
        <is>
          <t>Essential</t>
        </is>
      </c>
      <c r="E8" s="304" t="inlineStr">
        <is>
          <t>Monthly</t>
        </is>
      </c>
      <c r="F8" s="368" t="inlineStr">
        <is>
          <t>du + Etisalat via DubaiPay, paid 3 Aug</t>
        </is>
      </c>
      <c r="H8" s="561" t="inlineStr">
        <is>
          <t>Utilities</t>
        </is>
      </c>
      <c r="I8" s="411" t="n">
        <v>914.9299999999999</v>
      </c>
    </row>
    <row r="9" ht="18.75" customHeight="1" s="278">
      <c r="A9" s="296" t="inlineStr">
        <is>
          <t>Lifestyle</t>
        </is>
      </c>
      <c r="B9" s="373" t="n">
        <v>577.25</v>
      </c>
      <c r="C9" s="410">
        <f>B9/$B$16</f>
        <v>0.1616190746</v>
      </c>
      <c r="D9" s="384" t="inlineStr">
        <is>
          <t>Non-essential</t>
        </is>
      </c>
      <c r="E9" s="304" t="inlineStr">
        <is>
          <t>Variable</t>
        </is>
      </c>
      <c r="F9" s="368" t="inlineStr">
        <is>
          <t>Hotel AED 386.75, convenience stores, fuel — the biggest controllable line</t>
        </is>
      </c>
      <c r="H9" s="561" t="inlineStr">
        <is>
          <t>Lifestyle</t>
        </is>
      </c>
      <c r="I9" s="411" t="n">
        <v>549.75</v>
      </c>
    </row>
    <row r="10" ht="15" customHeight="1" s="278">
      <c r="A10" s="296" t="inlineStr">
        <is>
          <t>Food &amp; Dining</t>
        </is>
      </c>
      <c r="B10" s="373" t="n">
        <v>316.52</v>
      </c>
      <c r="C10" s="410">
        <f>B10/$B$16</f>
        <v>0.0886196093</v>
      </c>
      <c r="D10" s="304" t="inlineStr">
        <is>
          <t>Mixed</t>
        </is>
      </c>
      <c r="E10" s="304" t="inlineStr">
        <is>
          <t>Variable</t>
        </is>
      </c>
      <c r="F10" s="368" t="inlineStr">
        <is>
          <t>Restaurants, delivery, KFC — second biggest controllable</t>
        </is>
      </c>
      <c r="H10" s="561" t="inlineStr">
        <is>
          <t>Food &amp; Dining</t>
        </is>
      </c>
      <c r="I10" s="411" t="n">
        <v>306.52</v>
      </c>
    </row>
    <row r="11" ht="15" customHeight="1" s="278">
      <c r="A11" s="296" t="inlineStr">
        <is>
          <t>Family Support</t>
        </is>
      </c>
      <c r="B11" s="373" t="n">
        <v>100</v>
      </c>
      <c r="C11" s="410">
        <f>B11/$B$16</f>
        <v>0.0279981073</v>
      </c>
      <c r="D11" s="304" t="inlineStr">
        <is>
          <t>Essential</t>
        </is>
      </c>
      <c r="E11" s="304" t="inlineStr">
        <is>
          <t>Occasional</t>
        </is>
      </c>
      <c r="F11" s="368" t="inlineStr">
        <is>
          <t>e&amp; Money medical support</t>
        </is>
      </c>
      <c r="H11" s="561" t="inlineStr">
        <is>
          <t>Family Support</t>
        </is>
      </c>
      <c r="I11" s="411" t="n">
        <v>100</v>
      </c>
    </row>
    <row r="12" ht="15" customHeight="1" s="278">
      <c r="A12" s="296" t="inlineStr">
        <is>
          <t>Groceries</t>
        </is>
      </c>
      <c r="B12" s="373" t="n">
        <v>120</v>
      </c>
      <c r="C12" s="410">
        <f>B12/$B$16</f>
        <v>0.0335977288</v>
      </c>
      <c r="D12" s="304" t="inlineStr">
        <is>
          <t>Essential</t>
        </is>
      </c>
      <c r="E12" s="304" t="inlineStr">
        <is>
          <t>Variable</t>
        </is>
      </c>
      <c r="F12" s="368" t="inlineStr">
        <is>
          <t>Actual food shopping</t>
        </is>
      </c>
      <c r="H12" s="561" t="inlineStr">
        <is>
          <t>Groceries</t>
        </is>
      </c>
      <c r="I12" s="411" t="n">
        <v>77.75</v>
      </c>
    </row>
    <row r="13" ht="15" customHeight="1" s="278">
      <c r="A13" s="296" t="inlineStr">
        <is>
          <t>Transport</t>
        </is>
      </c>
      <c r="B13" s="373" t="n">
        <v>70</v>
      </c>
      <c r="C13" s="410">
        <f>B13/$B$16</f>
        <v>0.0195986751</v>
      </c>
      <c r="D13" s="304" t="inlineStr">
        <is>
          <t>Essential</t>
        </is>
      </c>
      <c r="E13" s="304" t="inlineStr">
        <is>
          <t>Variable</t>
        </is>
      </c>
      <c r="F13" s="368" t="inlineStr">
        <is>
          <t>Fuel and Nol top-up</t>
        </is>
      </c>
      <c r="H13" s="561" t="inlineStr">
        <is>
          <t>Transport</t>
        </is>
      </c>
      <c r="I13" s="411" t="n">
        <v>70</v>
      </c>
    </row>
    <row r="14" ht="15" customHeight="1" s="278">
      <c r="A14" s="296" t="inlineStr">
        <is>
          <t>Household Other</t>
        </is>
      </c>
      <c r="B14" s="373" t="n">
        <v>22.97</v>
      </c>
      <c r="C14" s="410">
        <f>B14/$B$16</f>
        <v>0.0064311653</v>
      </c>
      <c r="D14" s="304" t="inlineStr">
        <is>
          <t>Essential</t>
        </is>
      </c>
      <c r="E14" s="304" t="inlineStr">
        <is>
          <t>Occasional</t>
        </is>
      </c>
      <c r="F14" s="368" t="inlineStr">
        <is>
          <t>Home supplies</t>
        </is>
      </c>
      <c r="H14" s="561" t="inlineStr">
        <is>
          <t>Household Other</t>
        </is>
      </c>
      <c r="I14" s="411" t="n">
        <v>22.97</v>
      </c>
    </row>
    <row r="15" ht="15" customHeight="1" s="278">
      <c r="A15" s="296" t="inlineStr">
        <is>
          <t>Entertainment</t>
        </is>
      </c>
      <c r="B15" s="373" t="n">
        <v>20</v>
      </c>
      <c r="C15" s="410">
        <f>B15/$B$16</f>
        <v>0.0055996215</v>
      </c>
      <c r="D15" s="384" t="inlineStr">
        <is>
          <t>Non-essential</t>
        </is>
      </c>
      <c r="E15" s="304" t="inlineStr">
        <is>
          <t>Occasional</t>
        </is>
      </c>
      <c r="F15" s="368" t="inlineStr">
        <is>
          <t>Cinema</t>
        </is>
      </c>
      <c r="H15" s="561" t="inlineStr">
        <is>
          <t>Entertainment</t>
        </is>
      </c>
      <c r="I15" s="411" t="n">
        <v>20</v>
      </c>
    </row>
    <row r="16" ht="15" customHeight="1" s="278">
      <c r="A16" s="376" t="inlineStr">
        <is>
          <t>TOTAL</t>
        </is>
      </c>
      <c r="B16" s="378">
        <f>SUM(B7:B15)</f>
        <v>3571.67</v>
      </c>
      <c r="C16" s="377" t="n"/>
      <c r="D16" s="377" t="n"/>
      <c r="E16" s="377" t="n"/>
      <c r="F16" s="377" t="n"/>
    </row>
    <row r="18" ht="19.5" customHeight="1" s="278">
      <c r="A18" s="382" t="inlineStr">
        <is>
          <t>THE CONTROLLABLE PART  ·  what you can actually change</t>
        </is>
      </c>
      <c r="B18" s="287" t="n"/>
      <c r="C18" s="287" t="n"/>
      <c r="D18" s="287" t="n"/>
      <c r="E18" s="287" t="n"/>
      <c r="F18" s="287" t="n"/>
    </row>
    <row r="19" ht="27.75" customHeight="1" s="278">
      <c r="A19" s="383" t="inlineStr">
        <is>
          <t>Line</t>
        </is>
      </c>
      <c r="B19" s="383" t="inlineStr">
        <is>
          <t>Amount</t>
        </is>
      </c>
      <c r="C19" s="383" t="inlineStr">
        <is>
          <t>Note</t>
        </is>
      </c>
    </row>
    <row r="20" ht="15" customHeight="1" s="278">
      <c r="A20" s="366" t="inlineStr">
        <is>
          <t>Lifestyle</t>
        </is>
      </c>
      <c r="B20" s="293">
        <f>B9</f>
        <v>577.25</v>
      </c>
      <c r="C20" s="368" t="inlineStr">
        <is>
          <t>Hotel, convenience stores, fuel</t>
        </is>
      </c>
      <c r="D20" s="318" t="n"/>
      <c r="E20" s="318" t="n"/>
      <c r="F20" s="319" t="n"/>
    </row>
    <row r="21" ht="15" customHeight="1" s="278">
      <c r="A21" s="366" t="inlineStr">
        <is>
          <t>Food &amp; Dining</t>
        </is>
      </c>
      <c r="B21" s="293">
        <f>B10</f>
        <v>316.52</v>
      </c>
      <c r="C21" s="368" t="inlineStr">
        <is>
          <t>Restaurants and delivery</t>
        </is>
      </c>
      <c r="D21" s="318" t="n"/>
      <c r="E21" s="318" t="n"/>
      <c r="F21" s="319" t="n"/>
    </row>
    <row r="22" ht="15" customHeight="1" s="278">
      <c r="A22" s="366" t="inlineStr">
        <is>
          <t>Entertainment</t>
        </is>
      </c>
      <c r="B22" s="293">
        <f>B15</f>
        <v>20.0</v>
      </c>
      <c r="C22" s="368" t="inlineStr">
        <is>
          <t>Cinema</t>
        </is>
      </c>
      <c r="D22" s="318" t="n"/>
      <c r="E22" s="318" t="n"/>
      <c r="F22" s="319" t="n"/>
    </row>
    <row r="23" ht="15" customHeight="1" s="278">
      <c r="A23" s="296" t="inlineStr">
        <is>
          <t>TOTAL DISCRETIONARY</t>
        </is>
      </c>
      <c r="B23" s="297">
        <f>B20+B21+B22</f>
        <v>913.77</v>
      </c>
      <c r="C23" s="368" t="inlineStr">
        <is>
          <t>This is the only pool that responds to willpower</t>
        </is>
      </c>
      <c r="D23" s="318" t="n"/>
      <c r="E23" s="318" t="n"/>
      <c r="F23" s="319" t="n"/>
    </row>
    <row r="24" ht="15" customHeight="1" s="278">
      <c r="A24" s="366" t="inlineStr">
        <is>
          <t>Fixed and essential</t>
        </is>
      </c>
      <c r="B24" s="293">
        <f>B16-B23</f>
        <v>2657.9</v>
      </c>
      <c r="C24" s="368" t="inlineStr">
        <is>
          <t>Utilities, groceries, transport, family, the refunded ticket</t>
        </is>
      </c>
      <c r="D24" s="318" t="n"/>
      <c r="E24" s="318" t="n"/>
      <c r="F24" s="319" t="n"/>
    </row>
    <row r="25" ht="15" customHeight="1" s="278">
      <c r="A25" s="366" t="inlineStr">
        <is>
          <t>Discretionary as % of all spending</t>
        </is>
      </c>
      <c r="B25" s="412">
        <f>B23/B16</f>
        <v>0.2558383053</v>
      </c>
      <c r="C25" s="368" t="inlineStr">
        <is>
          <t>Everything else is committed</t>
        </is>
      </c>
      <c r="D25" s="318" t="n"/>
      <c r="E25" s="318" t="n"/>
      <c r="F25" s="319" t="n"/>
    </row>
    <row r="27" ht="15" customHeight="1" s="278">
      <c r="A27" s="413" t="inlineStr">
        <is>
          <t>Even cutting every discretionary dirham to zero saves about AED 876 — half the roughly AED 1,773 you need. The rest has to be earned. That is the honest arithmetic of your position.</t>
        </is>
      </c>
    </row>
    <row r="28" ht="15" customHeight="1" s="278"/>
    <row r="30" ht="19.5" customHeight="1" s="278">
      <c r="A30" s="382" t="inlineStr">
        <is>
          <t>TOP MERCHANTS</t>
        </is>
      </c>
      <c r="B30" s="287" t="n"/>
      <c r="C30" s="287" t="n"/>
      <c r="D30" s="287" t="n"/>
      <c r="E30" s="287" t="n"/>
      <c r="F30" s="287" t="n"/>
    </row>
    <row r="31" ht="27.75" customHeight="1" s="278">
      <c r="A31" s="383" t="inlineStr">
        <is>
          <t>Merchant</t>
        </is>
      </c>
      <c r="B31" s="383" t="inlineStr">
        <is>
          <t>Amount</t>
        </is>
      </c>
      <c r="C31" s="383" t="inlineStr">
        <is>
          <t>Visits</t>
        </is>
      </c>
      <c r="D31" s="383" t="n"/>
      <c r="E31" s="383" t="n"/>
      <c r="F31" s="383" t="inlineStr">
        <is>
          <t>Note</t>
        </is>
      </c>
    </row>
    <row r="32" ht="15" customHeight="1" s="278">
      <c r="A32" s="366" t="inlineStr">
        <is>
          <t>Emirates ticket</t>
        </is>
      </c>
      <c r="B32" s="373" t="n">
        <v>1430</v>
      </c>
      <c r="C32" s="414" t="n">
        <v>1</v>
      </c>
      <c r="F32" s="368" t="inlineStr">
        <is>
          <t>Refunded</t>
        </is>
      </c>
    </row>
    <row r="33" ht="15" customHeight="1" s="278">
      <c r="A33" s="366" t="inlineStr">
        <is>
          <t>du + Etisalat</t>
        </is>
      </c>
      <c r="B33" s="373" t="n">
        <v>914.9299999999999</v>
      </c>
      <c r="C33" s="414" t="n">
        <v>1</v>
      </c>
      <c r="F33" s="368" t="inlineStr">
        <is>
          <t>Monthly utilities</t>
        </is>
      </c>
    </row>
    <row r="34" ht="15" customHeight="1" s="278">
      <c r="A34" s="366" t="inlineStr">
        <is>
          <t>RTS Business Bay Hotel</t>
        </is>
      </c>
      <c r="B34" s="373" t="n">
        <v>386.75</v>
      </c>
      <c r="C34" s="414" t="n">
        <v>3</v>
      </c>
      <c r="F34" s="368" t="inlineStr">
        <is>
          <t>Three charges, one day — 08 Aug</t>
        </is>
      </c>
    </row>
    <row r="35" ht="15" customHeight="1" s="278">
      <c r="A35" s="366" t="inlineStr">
        <is>
          <t>Asas Al Madina General</t>
        </is>
      </c>
      <c r="B35" s="373" t="n">
        <v>192</v>
      </c>
      <c r="C35" s="414" t="n">
        <v>8</v>
      </c>
      <c r="F35" s="368" t="inlineStr">
        <is>
          <t>Convenience store — most frequent stop</t>
        </is>
      </c>
    </row>
    <row r="36" ht="15" customHeight="1" s="278">
      <c r="A36" s="366" t="inlineStr">
        <is>
          <t>Salkara / Team Taste</t>
        </is>
      </c>
      <c r="B36" s="373" t="n">
        <v>101.5</v>
      </c>
      <c r="C36" s="414" t="n">
        <v>1</v>
      </c>
      <c r="F36" s="368" t="inlineStr">
        <is>
          <t>Restaurant</t>
        </is>
      </c>
    </row>
    <row r="37" ht="15" customHeight="1" s="278">
      <c r="A37" s="366" t="inlineStr">
        <is>
          <t>e&amp; Money</t>
        </is>
      </c>
      <c r="B37" s="373" t="n">
        <v>100</v>
      </c>
      <c r="C37" s="414" t="n">
        <v>1</v>
      </c>
      <c r="F37" s="368" t="inlineStr">
        <is>
          <t>Family medical</t>
        </is>
      </c>
    </row>
    <row r="38" ht="15" customHeight="1" s="278">
      <c r="A38" s="366" t="inlineStr">
        <is>
          <t>Zomato</t>
        </is>
      </c>
      <c r="B38" s="373" t="n">
        <v>66.52</v>
      </c>
      <c r="C38" s="414" t="n">
        <v>1</v>
      </c>
      <c r="F38" s="368" t="inlineStr">
        <is>
          <t>Delivery</t>
        </is>
      </c>
    </row>
    <row r="39" ht="15" customHeight="1" s="278">
      <c r="A39" s="366" t="inlineStr">
        <is>
          <t>ENOC</t>
        </is>
      </c>
      <c r="B39" s="373" t="n">
        <v>50</v>
      </c>
      <c r="C39" s="414" t="n">
        <v>1</v>
      </c>
      <c r="F39" s="368" t="inlineStr">
        <is>
          <t>Fuel</t>
        </is>
      </c>
    </row>
    <row r="40" ht="15" customHeight="1" s="278">
      <c r="A40" s="366" t="inlineStr">
        <is>
          <t>KFC</t>
        </is>
      </c>
      <c r="B40" s="373" t="n">
        <v>34.5</v>
      </c>
      <c r="C40" s="414" t="n">
        <v>2</v>
      </c>
      <c r="F40" s="368" t="inlineStr">
        <is>
          <t>12 Aug</t>
        </is>
      </c>
    </row>
  </sheetData>
  <mergeCells count="7">
    <mergeCell ref="C22:F22"/>
    <mergeCell ref="C23:F23"/>
    <mergeCell ref="C20:F20"/>
    <mergeCell ref="C21:F21"/>
    <mergeCell ref="A27:F28"/>
    <mergeCell ref="C25:F25"/>
    <mergeCell ref="C24:F24"/>
  </mergeCells>
  <conditionalFormatting sqref="B7:B15">
    <cfRule type="dataBar" priority="2">
      <dataBar minLength="10" maxLength="90" showValue="1">
        <cfvo type="min" val="0"/>
        <cfvo type="max" val="0"/>
        <color rgb="FFC9A227"/>
      </dataBar>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r:id="rId1"/>
</worksheet>
</file>

<file path=xl/worksheets/sheet10.xml><?xml version="1.0" encoding="utf-8"?>
<worksheet xmlns="http://schemas.openxmlformats.org/spreadsheetml/2006/main">
  <sheetPr filterMode="0">
    <tabColor rgb="FF10213A"/>
    <outlinePr summaryBelow="1" summaryRight="1"/>
    <pageSetUpPr fitToPage="1"/>
  </sheetPr>
  <dimension ref="A1:T116"/>
  <sheetViews>
    <sheetView showFormulas="0" showGridLines="1" showRowColHeaders="1" showZeros="1" rightToLeft="0" tabSelected="0" showOutlineSymbols="1" defaultGridColor="1"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baseColWidth="8" defaultColWidth="8.6796875" defaultRowHeight="15" zeroHeight="0" outlineLevelRow="0"/>
  <cols>
    <col width="12" customWidth="1" style="277" min="1" max="1"/>
    <col width="30" customWidth="1" style="277" min="2" max="2"/>
    <col width="15" customWidth="1" style="277" min="3" max="3"/>
    <col width="11" customWidth="1" style="277" min="4" max="4"/>
    <col width="13" customWidth="1" style="277" min="5" max="6"/>
    <col width="14" customWidth="1" style="277" min="7" max="7"/>
    <col width="9" customWidth="1" style="277" min="8" max="8"/>
    <col width="10" customWidth="1" style="277" min="9" max="9"/>
    <col width="12" customWidth="1" style="277" min="10" max="10"/>
    <col width="22" customWidth="1" style="277" min="11" max="11"/>
    <col width="12" customWidth="1" style="277" min="12" max="12"/>
    <col width="11" customWidth="1" style="277" min="13" max="13"/>
    <col width="14" customWidth="1" style="277" min="14" max="14"/>
    <col width="13" customWidth="1" style="277" min="15" max="15"/>
    <col width="10" customWidth="1" style="277" min="16" max="16"/>
    <col width="15" customWidth="1" style="277" min="17" max="17"/>
    <col width="40" customWidth="1" style="277" min="18" max="18"/>
    <col width="11" customWidth="1" style="277" min="19" max="20"/>
  </cols>
  <sheetData>
    <row r="1" ht="30" customHeight="1" s="278">
      <c r="A1" s="345" t="inlineStr">
        <is>
          <t>Bills &amp; Commitments</t>
        </is>
      </c>
    </row>
    <row r="2" ht="13.5" customHeight="1" s="278">
      <c r="A2" s="565" t="inlineStr">
        <is>
          <t>Everything owed and everything expected. The dashboard reads this sheet directly — if a bill is not here, it is invisible to the plan.</t>
        </is>
      </c>
    </row>
    <row r="3" ht="6" customHeight="1" s="278"/>
    <row r="4" ht="19.5" customHeight="1" s="278">
      <c r="A4" s="398" t="inlineStr">
        <is>
          <t>BILLING RULES  ·  DEWA: issued on the 20th, due by month-end.   du + Etisalat: issued 2nd–3rd, due by the 15th.   Tabby: statement due on the 3rd.</t>
        </is>
      </c>
    </row>
    <row r="5" ht="19.5" customHeight="1" s="278">
      <c r="A5" s="382" t="inlineStr">
        <is>
          <t>COMMITMENT REGISTER</t>
        </is>
      </c>
      <c r="B5" s="287" t="n"/>
      <c r="C5" s="287" t="n"/>
      <c r="D5" s="287" t="n"/>
      <c r="E5" s="287" t="n"/>
      <c r="F5" s="287" t="n"/>
      <c r="G5" s="287" t="n"/>
      <c r="H5" s="287" t="n"/>
      <c r="I5" s="287" t="n"/>
      <c r="J5" s="287" t="n"/>
      <c r="K5" s="287" t="n"/>
      <c r="L5" s="287" t="n"/>
      <c r="M5" s="287" t="n"/>
      <c r="N5" s="287" t="n"/>
      <c r="O5" s="287" t="n"/>
      <c r="P5" s="287" t="n"/>
      <c r="Q5" s="287" t="n"/>
      <c r="R5" s="287" t="n"/>
    </row>
    <row r="6" ht="27.75" customHeight="1" s="278">
      <c r="A6" s="383" t="inlineStr">
        <is>
          <t>Due Date</t>
        </is>
      </c>
      <c r="B6" s="383" t="inlineStr">
        <is>
          <t>Item</t>
        </is>
      </c>
      <c r="C6" s="383" t="inlineStr">
        <is>
          <t>Category</t>
        </is>
      </c>
      <c r="D6" s="383" t="inlineStr">
        <is>
          <t>Direction</t>
        </is>
      </c>
      <c r="E6" s="383" t="inlineStr">
        <is>
          <t>Expected</t>
        </is>
      </c>
      <c r="F6" s="383" t="inlineStr">
        <is>
          <t>Actual</t>
        </is>
      </c>
      <c r="G6" s="383" t="inlineStr">
        <is>
          <t>Amount Used</t>
        </is>
      </c>
      <c r="H6" s="383" t="inlineStr">
        <is>
          <t>Cur</t>
        </is>
      </c>
      <c r="I6" s="383" t="inlineStr">
        <is>
          <t>Settled?</t>
        </is>
      </c>
      <c r="J6" s="383" t="inlineStr">
        <is>
          <t>Settled Date</t>
        </is>
      </c>
      <c r="K6" s="383" t="inlineStr">
        <is>
          <t>Account</t>
        </is>
      </c>
      <c r="L6" s="383" t="inlineStr">
        <is>
          <t>Recurrence</t>
        </is>
      </c>
      <c r="M6" s="383" t="inlineStr">
        <is>
          <t>Mandatory?</t>
        </is>
      </c>
      <c r="N6" s="383" t="inlineStr">
        <is>
          <t>Priority</t>
        </is>
      </c>
      <c r="O6" s="383" t="inlineStr">
        <is>
          <t>Certainty</t>
        </is>
      </c>
      <c r="P6" s="383" t="inlineStr">
        <is>
          <t>Days Left</t>
        </is>
      </c>
      <c r="Q6" s="383" t="inlineStr">
        <is>
          <t>Status</t>
        </is>
      </c>
      <c r="R6" s="383" t="inlineStr">
        <is>
          <t>Notes</t>
        </is>
      </c>
      <c r="S6" s="383" t="inlineStr">
        <is>
          <t>Sort key</t>
        </is>
      </c>
      <c r="T6" s="383" t="inlineStr">
        <is>
          <t>Size key</t>
        </is>
      </c>
    </row>
    <row r="7" ht="15" customHeight="1" s="278">
      <c r="A7" s="386" t="n">
        <v>46229</v>
      </c>
      <c r="B7" s="391" t="inlineStr">
        <is>
          <t>DEWA — July</t>
        </is>
      </c>
      <c r="C7" s="391" t="inlineStr">
        <is>
          <t>Utilities</t>
        </is>
      </c>
      <c r="D7" s="391" t="inlineStr">
        <is>
          <t>Outflow</t>
        </is>
      </c>
      <c r="E7" s="392" t="n">
        <v>793.42</v>
      </c>
      <c r="F7" s="392" t="n">
        <v>793.42</v>
      </c>
      <c r="G7" s="293">
        <f>IF($A7="","",IF($F7="",$E7,$F7))</f>
        <v>793.42</v>
      </c>
      <c r="H7" s="391" t="inlineStr">
        <is>
          <t>AED</t>
        </is>
      </c>
      <c r="I7" s="391" t="inlineStr">
        <is>
          <t>Yes</t>
        </is>
      </c>
      <c r="J7" s="386" t="n">
        <v>46229</v>
      </c>
      <c r="K7" s="391" t="inlineStr">
        <is>
          <t>FAB 4001 Current</t>
        </is>
      </c>
      <c r="L7" s="391" t="inlineStr">
        <is>
          <t>Monthly</t>
        </is>
      </c>
      <c r="M7" s="391" t="inlineStr">
        <is>
          <t>Yes</t>
        </is>
      </c>
      <c r="N7" s="391" t="inlineStr">
        <is>
          <t>Essential</t>
        </is>
      </c>
      <c r="O7" s="391" t="inlineStr">
        <is>
          <t>Actual</t>
        </is>
      </c>
      <c r="P7" s="415">
        <f>IF($A7="","",$A7-Settings!$B$9)</f>
        <v>-31.0</v>
      </c>
      <c r="Q7" s="416" t="str">
        <f>IF($A7="","",IF($I7="Yes","Settled",IF($P7&lt;0,"OVERDUE",IF($P7&lt;=3,"DUE ≤3 DAYS",IF($P7&lt;=7,"DUE ≤7 DAYS","Scheduled")))))</f>
        <v>Settled</v>
      </c>
      <c r="R7" s="368" t="inlineStr">
        <is>
          <t>Paid — do not deduct again</t>
        </is>
      </c>
      <c r="S7" s="417">
        <f>IF(OR($A7="",$I7="Yes",$D7&lt;&gt;"Outflow",$H7&lt;&gt;"AED"),99999+ROW()/1000000,$P7+ROW()/1000000)</f>
        <v>99999.000007</v>
      </c>
      <c r="T7" s="418">
        <f>IF(OR($A7="",$I7="Yes",$D7&lt;&gt;"Outflow",$H7&lt;&gt;"AED",$A7&gt;Settings!$B$21),-1-ROW()/1000000,$G7+ROW()/1000000)</f>
        <v>-1.000007</v>
      </c>
    </row>
    <row r="8" ht="15" customHeight="1" s="278">
      <c r="A8" s="386" t="n">
        <v>46237</v>
      </c>
      <c r="B8" s="391" t="inlineStr">
        <is>
          <t>du — August</t>
        </is>
      </c>
      <c r="C8" s="391" t="inlineStr">
        <is>
          <t>Telecom</t>
        </is>
      </c>
      <c r="D8" s="391" t="inlineStr">
        <is>
          <t>Outflow</t>
        </is>
      </c>
      <c r="E8" s="392" t="n">
        <v>590.98</v>
      </c>
      <c r="F8" s="392" t="n">
        <v>590.98</v>
      </c>
      <c r="G8" s="293">
        <f>IF($A8="","",IF($F8="",$E8,$F8))</f>
        <v>590.98</v>
      </c>
      <c r="H8" s="391" t="inlineStr">
        <is>
          <t>AED</t>
        </is>
      </c>
      <c r="I8" s="391" t="inlineStr">
        <is>
          <t>Yes</t>
        </is>
      </c>
      <c r="J8" s="386" t="n">
        <v>46237</v>
      </c>
      <c r="K8" s="391" t="inlineStr">
        <is>
          <t>FAB 4001 Current</t>
        </is>
      </c>
      <c r="L8" s="391" t="inlineStr">
        <is>
          <t>Monthly</t>
        </is>
      </c>
      <c r="M8" s="391" t="inlineStr">
        <is>
          <t>Yes</t>
        </is>
      </c>
      <c r="N8" s="391" t="inlineStr">
        <is>
          <t>Essential</t>
        </is>
      </c>
      <c r="O8" s="391" t="inlineStr">
        <is>
          <t>Actual</t>
        </is>
      </c>
      <c r="P8" s="415">
        <f>IF($A8="","",$A8-Settings!$B$9)</f>
        <v>-23.0</v>
      </c>
      <c r="Q8" s="416" t="str">
        <f>IF($A8="","",IF($I8="Yes","Settled",IF($P8&lt;0,"OVERDUE",IF($P8&lt;=3,"DUE ≤3 DAYS",IF($P8&lt;=7,"DUE ≤7 DAYS","Scheduled")))))</f>
        <v>Settled</v>
      </c>
      <c r="R8" s="368" t="inlineStr">
        <is>
          <t>Paid via DubaiPay</t>
        </is>
      </c>
      <c r="S8" s="417">
        <f>IF(OR($A8="",$I8="Yes",$D8&lt;&gt;"Outflow",$H8&lt;&gt;"AED"),99999+ROW()/1000000,$P8+ROW()/1000000)</f>
        <v>99999.000008</v>
      </c>
      <c r="T8" s="418">
        <f>IF(OR($A8="",$I8="Yes",$D8&lt;&gt;"Outflow",$H8&lt;&gt;"AED",$A8&gt;Settings!$B$21),-1-ROW()/1000000,$G8+ROW()/1000000)</f>
        <v>-1.000008</v>
      </c>
    </row>
    <row r="9" ht="15" customHeight="1" s="278">
      <c r="A9" s="386" t="n">
        <v>46237</v>
      </c>
      <c r="B9" s="391" t="inlineStr">
        <is>
          <t>Etisalat — August</t>
        </is>
      </c>
      <c r="C9" s="391" t="inlineStr">
        <is>
          <t>Telecom</t>
        </is>
      </c>
      <c r="D9" s="391" t="inlineStr">
        <is>
          <t>Outflow</t>
        </is>
      </c>
      <c r="E9" s="392" t="n">
        <v>323.95</v>
      </c>
      <c r="F9" s="392" t="n">
        <v>323.95</v>
      </c>
      <c r="G9" s="293">
        <f>IF($A9="","",IF($F9="",$E9,$F9))</f>
        <v>323.95</v>
      </c>
      <c r="H9" s="391" t="inlineStr">
        <is>
          <t>AED</t>
        </is>
      </c>
      <c r="I9" s="391" t="inlineStr">
        <is>
          <t>Yes</t>
        </is>
      </c>
      <c r="J9" s="386" t="n">
        <v>46237</v>
      </c>
      <c r="K9" s="391" t="inlineStr">
        <is>
          <t>FAB 4001 Current</t>
        </is>
      </c>
      <c r="L9" s="391" t="inlineStr">
        <is>
          <t>Monthly</t>
        </is>
      </c>
      <c r="M9" s="391" t="inlineStr">
        <is>
          <t>Yes</t>
        </is>
      </c>
      <c r="N9" s="391" t="inlineStr">
        <is>
          <t>Essential</t>
        </is>
      </c>
      <c r="O9" s="391" t="inlineStr">
        <is>
          <t>Actual</t>
        </is>
      </c>
      <c r="P9" s="415">
        <f>IF($A9="","",$A9-Settings!$B$9)</f>
        <v>-23.0</v>
      </c>
      <c r="Q9" s="416" t="str">
        <f>IF($A9="","",IF($I9="Yes","Settled",IF($P9&lt;0,"OVERDUE",IF($P9&lt;=3,"DUE ≤3 DAYS",IF($P9&lt;=7,"DUE ≤7 DAYS","Scheduled")))))</f>
        <v>Settled</v>
      </c>
      <c r="R9" s="368" t="inlineStr">
        <is>
          <t>Paid via DubaiPay</t>
        </is>
      </c>
      <c r="S9" s="417">
        <f>IF(OR($A9="",$I9="Yes",$D9&lt;&gt;"Outflow",$H9&lt;&gt;"AED"),99999+ROW()/1000000,$P9+ROW()/1000000)</f>
        <v>99999.000009</v>
      </c>
      <c r="T9" s="418">
        <f>IF(OR($A9="",$I9="Yes",$D9&lt;&gt;"Outflow",$H9&lt;&gt;"AED",$A9&gt;Settings!$B$21),-1-ROW()/1000000,$G9+ROW()/1000000)</f>
        <v>-1.000009</v>
      </c>
    </row>
    <row r="10" ht="15" customHeight="1" s="278">
      <c r="A10" s="386" t="n">
        <v>46244</v>
      </c>
      <c r="B10" s="391" t="inlineStr">
        <is>
          <t>Nippon SIP — August</t>
        </is>
      </c>
      <c r="C10" s="391" t="inlineStr">
        <is>
          <t>Investments</t>
        </is>
      </c>
      <c r="D10" s="391" t="inlineStr">
        <is>
          <t>Outflow</t>
        </is>
      </c>
      <c r="E10" s="392" t="n">
        <v>12000</v>
      </c>
      <c r="F10" s="392" t="n">
        <v>12000</v>
      </c>
      <c r="G10" s="293">
        <f>IF($A10="","",IF($F10="",$E10,$F10))</f>
        <v>12000.0</v>
      </c>
      <c r="H10" s="391" t="inlineStr">
        <is>
          <t>INR</t>
        </is>
      </c>
      <c r="I10" s="391" t="inlineStr">
        <is>
          <t>Yes</t>
        </is>
      </c>
      <c r="J10" s="386" t="n">
        <v>46244</v>
      </c>
      <c r="K10" s="391" t="inlineStr">
        <is>
          <t>ICICI (INR)</t>
        </is>
      </c>
      <c r="L10" s="391" t="inlineStr">
        <is>
          <t>Monthly</t>
        </is>
      </c>
      <c r="M10" s="391" t="inlineStr">
        <is>
          <t>Yes</t>
        </is>
      </c>
      <c r="N10" s="391" t="inlineStr">
        <is>
          <t>Core investment</t>
        </is>
      </c>
      <c r="O10" s="391" t="inlineStr">
        <is>
          <t>Actual</t>
        </is>
      </c>
      <c r="P10" s="415">
        <f>IF($A10="","",$A10-Settings!$B$9)</f>
        <v>-16.0</v>
      </c>
      <c r="Q10" s="416" t="str">
        <f>IF($A10="","",IF($I10="Yes","Settled",IF($P10&lt;0,"OVERDUE",IF($P10&lt;=3,"DUE ≤3 DAYS",IF($P10&lt;=7,"DUE ≤7 DAYS","Scheduled")))))</f>
        <v>Settled</v>
      </c>
      <c r="R10" s="368" t="inlineStr">
        <is>
          <t>Four INR 3,000 SIPs completed</t>
        </is>
      </c>
      <c r="S10" s="417">
        <f>IF(OR($A10="",$I10="Yes",$D10&lt;&gt;"Outflow",$H10&lt;&gt;"AED"),99999+ROW()/1000000,$P10+ROW()/1000000)</f>
        <v>99999.00001</v>
      </c>
      <c r="T10" s="418">
        <f>IF(OR($A10="",$I10="Yes",$D10&lt;&gt;"Outflow",$H10&lt;&gt;"AED",$A10&gt;Settings!$B$21),-1-ROW()/1000000,$G10+ROW()/1000000)</f>
        <v>-1.00001</v>
      </c>
    </row>
    <row r="11" ht="18.75" customHeight="1" s="278">
      <c r="A11" s="386" t="n">
        <v>46266</v>
      </c>
      <c r="B11" s="391" t="inlineStr">
        <is>
          <t>DEWA — August</t>
        </is>
      </c>
      <c r="C11" s="391" t="inlineStr">
        <is>
          <t>Utilities</t>
        </is>
      </c>
      <c r="D11" s="391" t="inlineStr">
        <is>
          <t>Outflow</t>
        </is>
      </c>
      <c r="E11" s="392" t="n">
        <v>813.28</v>
      </c>
      <c r="F11" s="392" t="n"/>
      <c r="G11" s="293">
        <f>IF($A11="","",IF($F11="",$E11,$F11))</f>
        <v>813.28</v>
      </c>
      <c r="H11" s="391" t="inlineStr">
        <is>
          <t>AED</t>
        </is>
      </c>
      <c r="I11" s="391" t="inlineStr">
        <is>
          <t>Yes</t>
        </is>
      </c>
      <c r="J11" s="419" t="n">
        <v>46260</v>
      </c>
      <c r="K11" s="391" t="inlineStr">
        <is>
          <t>NBD Current</t>
        </is>
      </c>
      <c r="L11" s="391" t="inlineStr">
        <is>
          <t>Monthly</t>
        </is>
      </c>
      <c r="M11" s="391" t="inlineStr">
        <is>
          <t>Yes</t>
        </is>
      </c>
      <c r="N11" s="391" t="inlineStr">
        <is>
          <t>Essential</t>
        </is>
      </c>
      <c r="O11" s="391" t="inlineStr">
        <is>
          <t>Actual</t>
        </is>
      </c>
      <c r="P11" s="415">
        <f>IF($A11="","",$A11-Settings!$B$9)</f>
        <v>6.0</v>
      </c>
      <c r="Q11" s="416" t="str">
        <f>IF($A11="","",IF($I11="Yes","Settled",IF($P11&lt;0,"OVERDUE",IF($P11&lt;=3,"DUE ≤3 DAYS",IF($P11&lt;=7,"DUE ≤7 DAYS","Scheduled")))))</f>
        <v>Settled</v>
      </c>
      <c r="R11" s="404" t="inlineStr">
        <is>
          <t>CONFIRMED PAID 26 Aug — same day as salary, Tabby, and SIP. Not 1 Sep as first logged.</t>
        </is>
      </c>
      <c r="S11" s="417">
        <f>IF(OR($A11="",$I11="Yes",$D11&lt;&gt;"Outflow",$H11&lt;&gt;"AED"),99999+ROW()/1000000,$P11+ROW()/1000000)</f>
        <v>99999.000011</v>
      </c>
      <c r="T11" s="418">
        <f>IF(OR($A11="",$I11="Yes",$D11&lt;&gt;"Outflow",$H11&lt;&gt;"AED",$A11&gt;Settings!$B$21),-1-ROW()/1000000,$G11+ROW()/1000000)</f>
        <v>-1.000011</v>
      </c>
    </row>
    <row r="12" ht="27.75" customHeight="1" s="278">
      <c r="A12" s="386" t="n">
        <v>46260</v>
      </c>
      <c r="B12" s="391" t="inlineStr">
        <is>
          <t>Remaining August payday (confirmed)</t>
        </is>
      </c>
      <c r="C12" s="391" t="inlineStr">
        <is>
          <t>Salary</t>
        </is>
      </c>
      <c r="D12" s="391" t="inlineStr">
        <is>
          <t>Inflow</t>
        </is>
      </c>
      <c r="E12" s="392" t="n">
        <v>2906</v>
      </c>
      <c r="F12" s="392" t="n"/>
      <c r="G12" s="293">
        <f>IF($A12="","",IF($F12="",$E12,$F12))</f>
        <v>2906.0</v>
      </c>
      <c r="H12" s="391" t="inlineStr">
        <is>
          <t>AED</t>
        </is>
      </c>
      <c r="I12" s="420" t="inlineStr">
        <is>
          <t>Yes</t>
        </is>
      </c>
      <c r="J12" s="419" t="n">
        <v>46260</v>
      </c>
      <c r="K12" s="391" t="inlineStr">
        <is>
          <t>NBD Current</t>
        </is>
      </c>
      <c r="L12" s="391" t="inlineStr">
        <is>
          <t>Monthly</t>
        </is>
      </c>
      <c r="M12" s="391" t="inlineStr">
        <is>
          <t>–</t>
        </is>
      </c>
      <c r="N12" s="391" t="inlineStr">
        <is>
          <t>Critical</t>
        </is>
      </c>
      <c r="O12" s="391" t="inlineStr">
        <is>
          <t>Actual</t>
        </is>
      </c>
      <c r="P12" s="415">
        <f>IF($A12="","",$A12-Settings!$B$9)</f>
        <v>0.0</v>
      </c>
      <c r="Q12" s="416" t="str">
        <f>IF($A12="","",IF($I12="Yes","Settled",IF($P12&lt;0,"OVERDUE",IF($P12&lt;=3,"DUE ≤3 DAYS",IF($P12&lt;=7,"DUE ≤7 DAYS","Scheduled")))))</f>
        <v>Settled</v>
      </c>
      <c r="R12" s="404" t="inlineStr">
        <is>
          <t>CONFIRMED landed 26 Aug via SMS — into NBD, not FAB. Marked settled to avoid double-counting against current liquid cash.</t>
        </is>
      </c>
      <c r="S12" s="417">
        <f>IF(OR($A12="",$I12="Yes",$D12&lt;&gt;"Outflow",$H12&lt;&gt;"AED"),99999+ROW()/1000000,$P12+ROW()/1000000)</f>
        <v>99999.000012</v>
      </c>
      <c r="T12" s="418">
        <f>IF(OR($A12="",$I12="Yes",$D12&lt;&gt;"Outflow",$H12&lt;&gt;"AED",$A12&gt;Settings!$B$21),-1-ROW()/1000000,$G12+ROW()/1000000)</f>
        <v>-1.000012</v>
      </c>
    </row>
    <row r="13" ht="30" customHeight="1" s="278">
      <c r="A13" s="386" t="n">
        <v>46246</v>
      </c>
      <c r="B13" s="391" t="inlineStr">
        <is>
          <t>Advance August salary (2nd portion)</t>
        </is>
      </c>
      <c r="C13" s="391" t="inlineStr">
        <is>
          <t>Salary</t>
        </is>
      </c>
      <c r="D13" s="391" t="inlineStr">
        <is>
          <t>Inflow</t>
        </is>
      </c>
      <c r="E13" s="392" t="n">
        <v>1540</v>
      </c>
      <c r="F13" s="392" t="n"/>
      <c r="G13" s="293">
        <f>IF($A13="","",IF($F13="",$E13,$F13))</f>
        <v>1540.0</v>
      </c>
      <c r="H13" s="391" t="inlineStr">
        <is>
          <t>AED</t>
        </is>
      </c>
      <c r="I13" s="391" t="inlineStr">
        <is>
          <t>Yes</t>
        </is>
      </c>
      <c r="J13" s="386" t="n">
        <v>46246</v>
      </c>
      <c r="K13" s="391" t="inlineStr">
        <is>
          <t>FAB 4001 Current</t>
        </is>
      </c>
      <c r="L13" s="391" t="inlineStr">
        <is>
          <t>None</t>
        </is>
      </c>
      <c r="M13" s="391" t="inlineStr">
        <is>
          <t>–</t>
        </is>
      </c>
      <c r="N13" s="391" t="inlineStr">
        <is>
          <t>Critical</t>
        </is>
      </c>
      <c r="O13" s="391" t="inlineStr">
        <is>
          <t>Estimated</t>
        </is>
      </c>
      <c r="P13" s="415">
        <f>IF($A13="","",$A13-Settings!$B$9)</f>
        <v>-14.0</v>
      </c>
      <c r="Q13" s="416" t="str">
        <f>IF($A13="","",IF($I13="Yes","Settled",IF($P13&lt;0,"OVERDUE",IF($P13&lt;=3,"DUE ≤3 DAYS",IF($P13&lt;=7,"DUE ≤7 DAYS","Scheduled")))))</f>
        <v>Settled</v>
      </c>
      <c r="R13" s="302" t="inlineStr">
        <is>
          <t>CONFIRMED 12 Aug — landed in FAB 4001 (not 4002 as planned), combined with the 1,430 refund as one AED 3,000 remittance. AED 30 surplus above the expected 2,970 remains unexplained.</t>
        </is>
      </c>
      <c r="S13" s="417">
        <f>IF(OR($A13="",$I13="Yes",$D13&lt;&gt;"Outflow",$H13&lt;&gt;"AED"),99999+ROW()/1000000,$P13+ROW()/1000000)</f>
        <v>99999.000013</v>
      </c>
      <c r="T13" s="418">
        <f>IF(OR($A13="",$I13="Yes",$D13&lt;&gt;"Outflow",$H13&lt;&gt;"AED",$A13&gt;Settings!$B$21),-1-ROW()/1000000,$G13+ROW()/1000000)</f>
        <v>-1.000013</v>
      </c>
    </row>
    <row r="14" ht="15" customHeight="1" s="278">
      <c r="A14" s="386" t="n"/>
      <c r="B14" s="391" t="n"/>
      <c r="C14" s="391" t="n"/>
      <c r="D14" s="391" t="n"/>
      <c r="E14" s="392" t="n"/>
      <c r="F14" s="392" t="n"/>
      <c r="G14" s="293" t="str">
        <f>IF($A14="","",IF($F14="",$E14,$F14))</f>
        <v/>
      </c>
      <c r="H14" s="391" t="n"/>
      <c r="I14" s="391" t="n"/>
      <c r="J14" s="386" t="n"/>
      <c r="K14" s="391" t="n"/>
      <c r="L14" s="391" t="n"/>
      <c r="M14" s="391" t="n"/>
      <c r="N14" s="391" t="n"/>
      <c r="O14" s="391" t="n"/>
      <c r="P14" s="415" t="str">
        <f>IF($A14="","",$A14-Settings!$B$9)</f>
        <v/>
      </c>
      <c r="Q14" s="416" t="str">
        <f>IF($A14="","",IF($I14="Yes","Settled",IF($P14&lt;0,"OVERDUE",IF($P14&lt;=3,"DUE ≤3 DAYS",IF($P14&lt;=7,"DUE ≤7 DAYS","Scheduled")))))</f>
        <v/>
      </c>
      <c r="R14" s="368" t="n"/>
      <c r="S14" s="417">
        <f>IF(OR($A14="",$I14="Yes",$D14&lt;&gt;"Outflow",$H14&lt;&gt;"AED"),99999+ROW()/1000000,$P14+ROW()/1000000)</f>
        <v>99999.000014</v>
      </c>
      <c r="T14" s="418">
        <f>IF(OR($A14="",$I14="Yes",$D14&lt;&gt;"Outflow",$H14&lt;&gt;"AED",$A14&gt;Settings!$B$21),-1-ROW()/1000000,$G14+ROW()/1000000)</f>
        <v>-1.000014</v>
      </c>
    </row>
    <row r="15" ht="27.75" customHeight="1" s="278">
      <c r="A15" s="386" t="n">
        <v>46246</v>
      </c>
      <c r="B15" s="391" t="inlineStr">
        <is>
          <t>Rent refund — Emirates ticket</t>
        </is>
      </c>
      <c r="C15" s="391" t="inlineStr">
        <is>
          <t>Refund / Reimbursement</t>
        </is>
      </c>
      <c r="D15" s="391" t="inlineStr">
        <is>
          <t>Inflow</t>
        </is>
      </c>
      <c r="E15" s="392" t="n">
        <v>1430</v>
      </c>
      <c r="F15" s="392" t="n"/>
      <c r="G15" s="293">
        <f>IF($A15="","",IF($F15="",$E15,$F15))</f>
        <v>1430.0</v>
      </c>
      <c r="H15" s="391" t="inlineStr">
        <is>
          <t>AED</t>
        </is>
      </c>
      <c r="I15" s="391" t="inlineStr">
        <is>
          <t>Yes</t>
        </is>
      </c>
      <c r="J15" s="386" t="n"/>
      <c r="K15" s="391" t="inlineStr">
        <is>
          <t>FAB 4001 Current</t>
        </is>
      </c>
      <c r="L15" s="391" t="inlineStr">
        <is>
          <t>None</t>
        </is>
      </c>
      <c r="M15" s="391" t="inlineStr">
        <is>
          <t>–</t>
        </is>
      </c>
      <c r="N15" s="391" t="inlineStr">
        <is>
          <t>Critical</t>
        </is>
      </c>
      <c r="O15" s="391" t="inlineStr">
        <is>
          <t>Estimated</t>
        </is>
      </c>
      <c r="P15" s="415">
        <f>IF($A15="","",$A15-Settings!$B$9)</f>
        <v>-14.0</v>
      </c>
      <c r="Q15" s="416" t="str">
        <f>IF($A15="","",IF($I15="Yes","Settled",IF($P15&lt;0,"OVERDUE",IF($P15&lt;=3,"DUE ≤3 DAYS",IF($P15&lt;=7,"DUE ≤7 DAYS","Scheduled")))))</f>
        <v>Settled</v>
      </c>
      <c r="R15" s="302" t="inlineStr">
        <is>
          <t>CONFIRMED 12 Aug — landed in FAB 4001, NOT the vault as originally planned. Move manually to FAB 4002 to protect it for rent.</t>
        </is>
      </c>
      <c r="S15" s="417">
        <f>IF(OR($A15="",$I15="Yes",$D15&lt;&gt;"Outflow",$H15&lt;&gt;"AED"),99999+ROW()/1000000,$P15+ROW()/1000000)</f>
        <v>99999.000015</v>
      </c>
      <c r="T15" s="418">
        <f>IF(OR($A15="",$I15="Yes",$D15&lt;&gt;"Outflow",$H15&lt;&gt;"AED",$A15&gt;Settings!$B$21),-1-ROW()/1000000,$G15+ROW()/1000000)</f>
        <v>-1.000015</v>
      </c>
    </row>
    <row r="16" ht="15" customHeight="1" s="278">
      <c r="A16" s="386" t="n">
        <v>46268</v>
      </c>
      <c r="B16" s="391" t="inlineStr">
        <is>
          <t>Tabby — no-fee minimum</t>
        </is>
      </c>
      <c r="C16" s="391" t="inlineStr">
        <is>
          <t>BNPL</t>
        </is>
      </c>
      <c r="D16" s="391" t="inlineStr">
        <is>
          <t>Outflow</t>
        </is>
      </c>
      <c r="E16" s="392" t="n">
        <v>1314.5</v>
      </c>
      <c r="F16" s="392" t="n"/>
      <c r="G16" s="293">
        <f>IF($A16="","",IF($F16="",$E16,$F16))</f>
        <v>1314.5</v>
      </c>
      <c r="H16" s="391" t="inlineStr">
        <is>
          <t>AED</t>
        </is>
      </c>
      <c r="I16" s="391" t="inlineStr">
        <is>
          <t>Yes</t>
        </is>
      </c>
      <c r="J16" s="419" t="n">
        <v>46260</v>
      </c>
      <c r="K16" s="391" t="inlineStr">
        <is>
          <t>NBD Current</t>
        </is>
      </c>
      <c r="L16" s="391" t="inlineStr">
        <is>
          <t>None</t>
        </is>
      </c>
      <c r="M16" s="391" t="inlineStr">
        <is>
          <t>Yes</t>
        </is>
      </c>
      <c r="N16" s="391" t="inlineStr">
        <is>
          <t>Essential</t>
        </is>
      </c>
      <c r="O16" s="391" t="inlineStr">
        <is>
          <t>Actual</t>
        </is>
      </c>
      <c r="P16" s="415">
        <f>IF($A16="","",$A16-Settings!$B$9)</f>
        <v>8.0</v>
      </c>
      <c r="Q16" s="416" t="str">
        <f>IF($A16="","",IF($I16="Yes","Settled",IF($P16&lt;0,"OVERDUE",IF($P16&lt;=3,"DUE ≤3 DAYS",IF($P16&lt;=7,"DUE ≤7 DAYS","Scheduled")))))</f>
        <v>Settled</v>
      </c>
      <c r="R16" s="404" t="inlineStr">
        <is>
          <t>CONFIRMED PAID via Tabby app screenshot — no-fee minimum fully settled, amount due AED 0.00. Paid via NBD (1,309.65 net of 4.85 cashback), not FAB as originally modeled.</t>
        </is>
      </c>
      <c r="S16" s="417">
        <f>IF(OR($A16="",$I16="Yes",$D16&lt;&gt;"Outflow",$H16&lt;&gt;"AED"),99999+ROW()/1000000,$P16+ROW()/1000000)</f>
        <v>99999.000016</v>
      </c>
      <c r="T16" s="418">
        <f>IF(OR($A16="",$I16="Yes",$D16&lt;&gt;"Outflow",$H16&lt;&gt;"AED",$A16&gt;Settings!$B$21),-1-ROW()/1000000,$G16+ROW()/1000000)</f>
        <v>-1.000016</v>
      </c>
    </row>
    <row r="17" ht="15" customHeight="1" s="278">
      <c r="A17" s="386" t="n">
        <v>46280</v>
      </c>
      <c r="B17" s="391" t="inlineStr">
        <is>
          <t>du — September</t>
        </is>
      </c>
      <c r="C17" s="391" t="inlineStr">
        <is>
          <t>Telecom</t>
        </is>
      </c>
      <c r="D17" s="391" t="inlineStr">
        <is>
          <t>Outflow</t>
        </is>
      </c>
      <c r="E17" s="392" t="n">
        <v>590.98</v>
      </c>
      <c r="F17" s="392" t="n"/>
      <c r="G17" s="293">
        <f>IF($A17="","",IF($F17="",$E17,$F17))</f>
        <v>590.98</v>
      </c>
      <c r="H17" s="391" t="inlineStr">
        <is>
          <t>AED</t>
        </is>
      </c>
      <c r="I17" s="391" t="inlineStr">
        <is>
          <t>No</t>
        </is>
      </c>
      <c r="J17" s="386" t="n"/>
      <c r="K17" s="391" t="inlineStr">
        <is>
          <t>FAB 4001 Current</t>
        </is>
      </c>
      <c r="L17" s="391" t="inlineStr">
        <is>
          <t>Monthly</t>
        </is>
      </c>
      <c r="M17" s="391" t="inlineStr">
        <is>
          <t>Yes</t>
        </is>
      </c>
      <c r="N17" s="391" t="inlineStr">
        <is>
          <t>Essential</t>
        </is>
      </c>
      <c r="O17" s="391" t="inlineStr">
        <is>
          <t>Estimated</t>
        </is>
      </c>
      <c r="P17" s="415">
        <f>IF($A17="","",$A17-Settings!$B$9)</f>
        <v>20.0</v>
      </c>
      <c r="Q17" s="416" t="str">
        <f>IF($A17="","",IF($I17="Yes","Settled",IF($P17&lt;0,"OVERDUE",IF($P17&lt;=3,"DUE ≤3 DAYS",IF($P17&lt;=7,"DUE ≤7 DAYS","Scheduled")))))</f>
        <v>Scheduled</v>
      </c>
      <c r="R17" s="368" t="inlineStr">
        <is>
          <t>Bill issued 2–3 Sep · due by the 15th</t>
        </is>
      </c>
      <c r="S17" s="417">
        <f>IF(OR($A17="",$I17="Yes",$D17&lt;&gt;"Outflow",$H17&lt;&gt;"AED"),99999+ROW()/1000000,$P17+ROW()/1000000)</f>
        <v>20.000017</v>
      </c>
      <c r="T17" s="418">
        <f>IF(OR($A17="",$I17="Yes",$D17&lt;&gt;"Outflow",$H17&lt;&gt;"AED",$A17&gt;Settings!$B$21),-1-ROW()/1000000,$G17+ROW()/1000000)</f>
        <v>590.980017</v>
      </c>
    </row>
    <row r="18" ht="15" customHeight="1" s="278">
      <c r="A18" s="386" t="n">
        <v>46280</v>
      </c>
      <c r="B18" s="391" t="inlineStr">
        <is>
          <t>Etisalat — September</t>
        </is>
      </c>
      <c r="C18" s="391" t="inlineStr">
        <is>
          <t>Telecom</t>
        </is>
      </c>
      <c r="D18" s="391" t="inlineStr">
        <is>
          <t>Outflow</t>
        </is>
      </c>
      <c r="E18" s="392" t="n">
        <v>323.95</v>
      </c>
      <c r="F18" s="392" t="n"/>
      <c r="G18" s="293">
        <f>IF($A18="","",IF($F18="",$E18,$F18))</f>
        <v>323.95</v>
      </c>
      <c r="H18" s="391" t="inlineStr">
        <is>
          <t>AED</t>
        </is>
      </c>
      <c r="I18" s="391" t="inlineStr">
        <is>
          <t>No</t>
        </is>
      </c>
      <c r="J18" s="386" t="n"/>
      <c r="K18" s="391" t="inlineStr">
        <is>
          <t>FAB 4001 Current</t>
        </is>
      </c>
      <c r="L18" s="391" t="inlineStr">
        <is>
          <t>Monthly</t>
        </is>
      </c>
      <c r="M18" s="391" t="inlineStr">
        <is>
          <t>Yes</t>
        </is>
      </c>
      <c r="N18" s="391" t="inlineStr">
        <is>
          <t>Essential</t>
        </is>
      </c>
      <c r="O18" s="391" t="inlineStr">
        <is>
          <t>Estimated</t>
        </is>
      </c>
      <c r="P18" s="415">
        <f>IF($A18="","",$A18-Settings!$B$9)</f>
        <v>20.0</v>
      </c>
      <c r="Q18" s="416" t="str">
        <f>IF($A18="","",IF($I18="Yes","Settled",IF($P18&lt;0,"OVERDUE",IF($P18&lt;=3,"DUE ≤3 DAYS",IF($P18&lt;=7,"DUE ≤7 DAYS","Scheduled")))))</f>
        <v>Scheduled</v>
      </c>
      <c r="R18" s="368" t="inlineStr">
        <is>
          <t>Bill issued 2–3 Sep · due by the 15th</t>
        </is>
      </c>
      <c r="S18" s="417">
        <f>IF(OR($A18="",$I18="Yes",$D18&lt;&gt;"Outflow",$H18&lt;&gt;"AED"),99999+ROW()/1000000,$P18+ROW()/1000000)</f>
        <v>20.000018</v>
      </c>
      <c r="T18" s="418">
        <f>IF(OR($A18="",$I18="Yes",$D18&lt;&gt;"Outflow",$H18&lt;&gt;"AED",$A18&gt;Settings!$B$21),-1-ROW()/1000000,$G18+ROW()/1000000)</f>
        <v>323.950018</v>
      </c>
    </row>
    <row r="19" ht="15" customHeight="1" s="278">
      <c r="A19" s="386" t="n">
        <v>46275</v>
      </c>
      <c r="B19" s="391" t="inlineStr">
        <is>
          <t>Nippon SIP — September</t>
        </is>
      </c>
      <c r="C19" s="391" t="inlineStr">
        <is>
          <t>Investments</t>
        </is>
      </c>
      <c r="D19" s="391" t="inlineStr">
        <is>
          <t>Outflow</t>
        </is>
      </c>
      <c r="E19" s="392" t="n">
        <v>462.4</v>
      </c>
      <c r="F19" s="392" t="n"/>
      <c r="G19" s="293">
        <f>IF($A19="","",IF($F19="",$E19,$F19))</f>
        <v>462.4</v>
      </c>
      <c r="H19" s="391" t="inlineStr">
        <is>
          <t>AED</t>
        </is>
      </c>
      <c r="I19" s="391" t="inlineStr">
        <is>
          <t>No</t>
        </is>
      </c>
      <c r="J19" s="386" t="n"/>
      <c r="K19" s="391" t="inlineStr">
        <is>
          <t>ICICI (INR)</t>
        </is>
      </c>
      <c r="L19" s="391" t="inlineStr">
        <is>
          <t>Monthly</t>
        </is>
      </c>
      <c r="M19" s="391" t="inlineStr">
        <is>
          <t>Yes</t>
        </is>
      </c>
      <c r="N19" s="391" t="inlineStr">
        <is>
          <t>Core investment</t>
        </is>
      </c>
      <c r="O19" s="391" t="inlineStr">
        <is>
          <t>Estimated</t>
        </is>
      </c>
      <c r="P19" s="415">
        <f>IF($A19="","",$A19-Settings!$B$9)</f>
        <v>15.0</v>
      </c>
      <c r="Q19" s="416" t="str">
        <f>IF($A19="","",IF($I19="Yes","Settled",IF($P19&lt;0,"OVERDUE",IF($P19&lt;=3,"DUE ≤3 DAYS",IF($P19&lt;=7,"DUE ≤7 DAYS","Scheduled")))))</f>
        <v>Scheduled</v>
      </c>
      <c r="R19" s="368" t="inlineStr">
        <is>
          <t>INR 12,000 at the last confirmed rate</t>
        </is>
      </c>
      <c r="S19" s="417">
        <f>IF(OR($A19="",$I19="Yes",$D19&lt;&gt;"Outflow",$H19&lt;&gt;"AED"),99999+ROW()/1000000,$P19+ROW()/1000000)</f>
        <v>15.000019</v>
      </c>
      <c r="T19" s="418">
        <f>IF(OR($A19="",$I19="Yes",$D19&lt;&gt;"Outflow",$H19&lt;&gt;"AED",$A19&gt;Settings!$B$21),-1-ROW()/1000000,$G19+ROW()/1000000)</f>
        <v>462.400019</v>
      </c>
    </row>
    <row r="20" ht="15" customHeight="1" s="278">
      <c r="A20" s="386" t="n">
        <v>46295</v>
      </c>
      <c r="B20" s="391" t="inlineStr">
        <is>
          <t>DEWA — September</t>
        </is>
      </c>
      <c r="C20" s="391" t="inlineStr">
        <is>
          <t>Utilities</t>
        </is>
      </c>
      <c r="D20" s="391" t="inlineStr">
        <is>
          <t>Outflow</t>
        </is>
      </c>
      <c r="E20" s="392" t="n">
        <v>793.42</v>
      </c>
      <c r="F20" s="392" t="n"/>
      <c r="G20" s="293">
        <f>IF($A20="","",IF($F20="",$E20,$F20))</f>
        <v>793.42</v>
      </c>
      <c r="H20" s="391" t="inlineStr">
        <is>
          <t>AED</t>
        </is>
      </c>
      <c r="I20" s="391" t="inlineStr">
        <is>
          <t>No</t>
        </is>
      </c>
      <c r="J20" s="386" t="n"/>
      <c r="K20" s="391" t="inlineStr">
        <is>
          <t>FAB 4001 Current</t>
        </is>
      </c>
      <c r="L20" s="391" t="inlineStr">
        <is>
          <t>Monthly</t>
        </is>
      </c>
      <c r="M20" s="391" t="inlineStr">
        <is>
          <t>Yes</t>
        </is>
      </c>
      <c r="N20" s="391" t="inlineStr">
        <is>
          <t>Essential</t>
        </is>
      </c>
      <c r="O20" s="391" t="inlineStr">
        <is>
          <t>Estimated</t>
        </is>
      </c>
      <c r="P20" s="415">
        <f>IF($A20="","",$A20-Settings!$B$9)</f>
        <v>35.0</v>
      </c>
      <c r="Q20" s="416" t="str">
        <f>IF($A20="","",IF($I20="Yes","Settled",IF($P20&lt;0,"OVERDUE",IF($P20&lt;=3,"DUE ≤3 DAYS",IF($P20&lt;=7,"DUE ≤7 DAYS","Scheduled")))))</f>
        <v>Scheduled</v>
      </c>
      <c r="R20" s="368" t="inlineStr">
        <is>
          <t>Bill issued 20 Sep · due by month-end</t>
        </is>
      </c>
      <c r="S20" s="417">
        <f>IF(OR($A20="",$I20="Yes",$D20&lt;&gt;"Outflow",$H20&lt;&gt;"AED"),99999+ROW()/1000000,$P20+ROW()/1000000)</f>
        <v>35.00002</v>
      </c>
      <c r="T20" s="418">
        <f>IF(OR($A20="",$I20="Yes",$D20&lt;&gt;"Outflow",$H20&lt;&gt;"AED",$A20&gt;Settings!$B$21),-1-ROW()/1000000,$G20+ROW()/1000000)</f>
        <v>793.42002</v>
      </c>
    </row>
    <row r="21" ht="15" customHeight="1" s="278">
      <c r="A21" s="386" t="n">
        <v>46291</v>
      </c>
      <c r="B21" s="391" t="inlineStr">
        <is>
          <t>September salary</t>
        </is>
      </c>
      <c r="C21" s="391" t="inlineStr">
        <is>
          <t>Salary</t>
        </is>
      </c>
      <c r="D21" s="391" t="inlineStr">
        <is>
          <t>Inflow</t>
        </is>
      </c>
      <c r="E21" s="392" t="n">
        <v>7914.88</v>
      </c>
      <c r="F21" s="392" t="n"/>
      <c r="G21" s="293">
        <f>IF($A21="","",IF($F21="",$E21,$F21))</f>
        <v>7914.88</v>
      </c>
      <c r="H21" s="391" t="inlineStr">
        <is>
          <t>AED</t>
        </is>
      </c>
      <c r="I21" s="391" t="inlineStr">
        <is>
          <t>No</t>
        </is>
      </c>
      <c r="J21" s="386" t="n"/>
      <c r="K21" s="391" t="inlineStr">
        <is>
          <t>FAB 4001 Current</t>
        </is>
      </c>
      <c r="L21" s="391" t="inlineStr">
        <is>
          <t>Monthly</t>
        </is>
      </c>
      <c r="M21" s="391" t="inlineStr">
        <is>
          <t>–</t>
        </is>
      </c>
      <c r="N21" s="391" t="inlineStr">
        <is>
          <t>Critical</t>
        </is>
      </c>
      <c r="O21" s="391" t="inlineStr">
        <is>
          <t>Estimated</t>
        </is>
      </c>
      <c r="P21" s="415">
        <f>IF($A21="","",$A21-Settings!$B$9)</f>
        <v>31.0</v>
      </c>
      <c r="Q21" s="416" t="str">
        <f>IF($A21="","",IF($I21="Yes","Settled",IF($P21&lt;0,"OVERDUE",IF($P21&lt;=3,"DUE ≤3 DAYS",IF($P21&lt;=7,"DUE ≤7 DAYS","Scheduled")))))</f>
        <v>Scheduled</v>
      </c>
      <c r="R21" s="368" t="inlineStr">
        <is>
          <t>Lands before the rent cheque clears</t>
        </is>
      </c>
      <c r="S21" s="417">
        <f>IF(OR($A21="",$I21="Yes",$D21&lt;&gt;"Outflow",$H21&lt;&gt;"AED"),99999+ROW()/1000000,$P21+ROW()/1000000)</f>
        <v>99999.000021</v>
      </c>
      <c r="T21" s="418">
        <f>IF(OR($A21="",$I21="Yes",$D21&lt;&gt;"Outflow",$H21&lt;&gt;"AED",$A21&gt;Settings!$B$21),-1-ROW()/1000000,$G21+ROW()/1000000)</f>
        <v>-1.000021</v>
      </c>
    </row>
    <row r="22" ht="15" customHeight="1" s="278">
      <c r="A22" s="386" t="n">
        <v>46310</v>
      </c>
      <c r="B22" s="391" t="inlineStr">
        <is>
          <t>du — October</t>
        </is>
      </c>
      <c r="C22" s="391" t="inlineStr">
        <is>
          <t>Telecom</t>
        </is>
      </c>
      <c r="D22" s="391" t="inlineStr">
        <is>
          <t>Outflow</t>
        </is>
      </c>
      <c r="E22" s="392" t="n">
        <v>590.98</v>
      </c>
      <c r="F22" s="392" t="n"/>
      <c r="G22" s="293">
        <f>IF($A22="","",IF($F22="",$E22,$F22))</f>
        <v>590.98</v>
      </c>
      <c r="H22" s="391" t="inlineStr">
        <is>
          <t>AED</t>
        </is>
      </c>
      <c r="I22" s="391" t="inlineStr">
        <is>
          <t>No</t>
        </is>
      </c>
      <c r="J22" s="386" t="n"/>
      <c r="K22" s="391" t="inlineStr">
        <is>
          <t>FAB 4001 Current</t>
        </is>
      </c>
      <c r="L22" s="391" t="inlineStr">
        <is>
          <t>Monthly</t>
        </is>
      </c>
      <c r="M22" s="391" t="inlineStr">
        <is>
          <t>Yes</t>
        </is>
      </c>
      <c r="N22" s="391" t="inlineStr">
        <is>
          <t>Essential</t>
        </is>
      </c>
      <c r="O22" s="391" t="inlineStr">
        <is>
          <t>Estimated</t>
        </is>
      </c>
      <c r="P22" s="415">
        <f>IF($A22="","",$A22-Settings!$B$9)</f>
        <v>50.0</v>
      </c>
      <c r="Q22" s="416" t="str">
        <f>IF($A22="","",IF($I22="Yes","Settled",IF($P22&lt;0,"OVERDUE",IF($P22&lt;=3,"DUE ≤3 DAYS",IF($P22&lt;=7,"DUE ≤7 DAYS","Scheduled")))))</f>
        <v>Scheduled</v>
      </c>
      <c r="R22" s="368" t="inlineStr">
        <is>
          <t>Bill issued 2–3 Oct · due by the 15th</t>
        </is>
      </c>
      <c r="S22" s="417">
        <f>IF(OR($A22="",$I22="Yes",$D22&lt;&gt;"Outflow",$H22&lt;&gt;"AED"),99999+ROW()/1000000,$P22+ROW()/1000000)</f>
        <v>50.000022</v>
      </c>
      <c r="T22" s="418">
        <f>IF(OR($A22="",$I22="Yes",$D22&lt;&gt;"Outflow",$H22&lt;&gt;"AED",$A22&gt;Settings!$B$21),-1-ROW()/1000000,$G22+ROW()/1000000)</f>
        <v>590.980022</v>
      </c>
    </row>
    <row r="23" ht="15" customHeight="1" s="278">
      <c r="A23" s="386" t="n">
        <v>46310</v>
      </c>
      <c r="B23" s="391" t="inlineStr">
        <is>
          <t>Etisalat — October</t>
        </is>
      </c>
      <c r="C23" s="391" t="inlineStr">
        <is>
          <t>Telecom</t>
        </is>
      </c>
      <c r="D23" s="391" t="inlineStr">
        <is>
          <t>Outflow</t>
        </is>
      </c>
      <c r="E23" s="392" t="n">
        <v>323.95</v>
      </c>
      <c r="F23" s="392" t="n"/>
      <c r="G23" s="293">
        <f>IF($A23="","",IF($F23="",$E23,$F23))</f>
        <v>323.95</v>
      </c>
      <c r="H23" s="391" t="inlineStr">
        <is>
          <t>AED</t>
        </is>
      </c>
      <c r="I23" s="391" t="inlineStr">
        <is>
          <t>No</t>
        </is>
      </c>
      <c r="J23" s="386" t="n"/>
      <c r="K23" s="391" t="inlineStr">
        <is>
          <t>FAB 4001 Current</t>
        </is>
      </c>
      <c r="L23" s="391" t="inlineStr">
        <is>
          <t>Monthly</t>
        </is>
      </c>
      <c r="M23" s="391" t="inlineStr">
        <is>
          <t>Yes</t>
        </is>
      </c>
      <c r="N23" s="391" t="inlineStr">
        <is>
          <t>Essential</t>
        </is>
      </c>
      <c r="O23" s="391" t="inlineStr">
        <is>
          <t>Estimated</t>
        </is>
      </c>
      <c r="P23" s="415">
        <f>IF($A23="","",$A23-Settings!$B$9)</f>
        <v>50.0</v>
      </c>
      <c r="Q23" s="416" t="str">
        <f>IF($A23="","",IF($I23="Yes","Settled",IF($P23&lt;0,"OVERDUE",IF($P23&lt;=3,"DUE ≤3 DAYS",IF($P23&lt;=7,"DUE ≤7 DAYS","Scheduled")))))</f>
        <v>Scheduled</v>
      </c>
      <c r="R23" s="368" t="inlineStr">
        <is>
          <t>Bill issued 2–3 Oct · due by the 15th</t>
        </is>
      </c>
      <c r="S23" s="417">
        <f>IF(OR($A23="",$I23="Yes",$D23&lt;&gt;"Outflow",$H23&lt;&gt;"AED"),99999+ROW()/1000000,$P23+ROW()/1000000)</f>
        <v>50.000023</v>
      </c>
      <c r="T23" s="418">
        <f>IF(OR($A23="",$I23="Yes",$D23&lt;&gt;"Outflow",$H23&lt;&gt;"AED",$A23&gt;Settings!$B$21),-1-ROW()/1000000,$G23+ROW()/1000000)</f>
        <v>323.950023</v>
      </c>
    </row>
    <row r="24" ht="15" customHeight="1" s="278">
      <c r="A24" s="386" t="n">
        <v>46305</v>
      </c>
      <c r="B24" s="391" t="inlineStr">
        <is>
          <t>Nippon SIP — October</t>
        </is>
      </c>
      <c r="C24" s="391" t="inlineStr">
        <is>
          <t>Investments</t>
        </is>
      </c>
      <c r="D24" s="391" t="inlineStr">
        <is>
          <t>Outflow</t>
        </is>
      </c>
      <c r="E24" s="392" t="n">
        <v>462.4</v>
      </c>
      <c r="F24" s="392" t="n"/>
      <c r="G24" s="293">
        <f>IF($A24="","",IF($F24="",$E24,$F24))</f>
        <v>462.4</v>
      </c>
      <c r="H24" s="391" t="inlineStr">
        <is>
          <t>AED</t>
        </is>
      </c>
      <c r="I24" s="391" t="inlineStr">
        <is>
          <t>No</t>
        </is>
      </c>
      <c r="J24" s="386" t="n"/>
      <c r="K24" s="391" t="inlineStr">
        <is>
          <t>ICICI (INR)</t>
        </is>
      </c>
      <c r="L24" s="391" t="inlineStr">
        <is>
          <t>Monthly</t>
        </is>
      </c>
      <c r="M24" s="391" t="inlineStr">
        <is>
          <t>Yes</t>
        </is>
      </c>
      <c r="N24" s="391" t="inlineStr">
        <is>
          <t>Core investment</t>
        </is>
      </c>
      <c r="O24" s="391" t="inlineStr">
        <is>
          <t>Estimated</t>
        </is>
      </c>
      <c r="P24" s="415">
        <f>IF($A24="","",$A24-Settings!$B$9)</f>
        <v>45.0</v>
      </c>
      <c r="Q24" s="416" t="str">
        <f>IF($A24="","",IF($I24="Yes","Settled",IF($P24&lt;0,"OVERDUE",IF($P24&lt;=3,"DUE ≤3 DAYS",IF($P24&lt;=7,"DUE ≤7 DAYS","Scheduled")))))</f>
        <v>Scheduled</v>
      </c>
      <c r="R24" s="368" t="n"/>
      <c r="S24" s="417">
        <f>IF(OR($A24="",$I24="Yes",$D24&lt;&gt;"Outflow",$H24&lt;&gt;"AED"),99999+ROW()/1000000,$P24+ROW()/1000000)</f>
        <v>45.000024</v>
      </c>
      <c r="T24" s="418">
        <f>IF(OR($A24="",$I24="Yes",$D24&lt;&gt;"Outflow",$H24&lt;&gt;"AED",$A24&gt;Settings!$B$21),-1-ROW()/1000000,$G24+ROW()/1000000)</f>
        <v>462.400024</v>
      </c>
    </row>
    <row r="25" ht="18.75" customHeight="1" s="278">
      <c r="A25" s="386" t="n">
        <v>46326</v>
      </c>
      <c r="B25" s="391" t="inlineStr">
        <is>
          <t>DEWA — October</t>
        </is>
      </c>
      <c r="C25" s="391" t="inlineStr">
        <is>
          <t>Utilities</t>
        </is>
      </c>
      <c r="D25" s="391" t="inlineStr">
        <is>
          <t>Outflow</t>
        </is>
      </c>
      <c r="E25" s="392" t="n">
        <v>793.42</v>
      </c>
      <c r="F25" s="392" t="n"/>
      <c r="G25" s="293">
        <f>IF($A25="","",IF($F25="",$E25,$F25))</f>
        <v>793.42</v>
      </c>
      <c r="H25" s="391" t="inlineStr">
        <is>
          <t>AED</t>
        </is>
      </c>
      <c r="I25" s="391" t="inlineStr">
        <is>
          <t>No</t>
        </is>
      </c>
      <c r="J25" s="386" t="n"/>
      <c r="K25" s="391" t="inlineStr">
        <is>
          <t>FAB 4001 Current</t>
        </is>
      </c>
      <c r="L25" s="391" t="inlineStr">
        <is>
          <t>Monthly</t>
        </is>
      </c>
      <c r="M25" s="391" t="inlineStr">
        <is>
          <t>Yes</t>
        </is>
      </c>
      <c r="N25" s="391" t="inlineStr">
        <is>
          <t>Essential</t>
        </is>
      </c>
      <c r="O25" s="391" t="inlineStr">
        <is>
          <t>Estimated</t>
        </is>
      </c>
      <c r="P25" s="415">
        <f>IF($A25="","",$A25-Settings!$B$9)</f>
        <v>66.0</v>
      </c>
      <c r="Q25" s="416" t="str">
        <f>IF($A25="","",IF($I25="Yes","Settled",IF($P25&lt;0,"OVERDUE",IF($P25&lt;=3,"DUE ≤3 DAYS",IF($P25&lt;=7,"DUE ≤7 DAYS","Scheduled")))))</f>
        <v>Scheduled</v>
      </c>
      <c r="R25" s="368" t="inlineStr">
        <is>
          <t>Bill issued 20 Oct · due by month-end — falls AFTER the rent cheque, funded by the 26 Oct salary</t>
        </is>
      </c>
      <c r="S25" s="417">
        <f>IF(OR($A25="",$I25="Yes",$D25&lt;&gt;"Outflow",$H25&lt;&gt;"AED"),99999+ROW()/1000000,$P25+ROW()/1000000)</f>
        <v>66.000025</v>
      </c>
      <c r="T25" s="418">
        <f>IF(OR($A25="",$I25="Yes",$D25&lt;&gt;"Outflow",$H25&lt;&gt;"AED",$A25&gt;Settings!$B$21),-1-ROW()/1000000,$G25+ROW()/1000000)</f>
        <v>-1.000025</v>
      </c>
    </row>
    <row r="26" ht="18.75" customHeight="1" s="278">
      <c r="A26" s="386" t="n">
        <v>46317</v>
      </c>
      <c r="B26" s="391" t="inlineStr">
        <is>
          <t>RENT CHEQUE</t>
        </is>
      </c>
      <c r="C26" s="391" t="inlineStr">
        <is>
          <t>Rent</t>
        </is>
      </c>
      <c r="D26" s="391" t="inlineStr">
        <is>
          <t>Outflow</t>
        </is>
      </c>
      <c r="E26" s="392" t="n">
        <v>11750</v>
      </c>
      <c r="F26" s="392" t="n"/>
      <c r="G26" s="293">
        <f>IF($A26="","",IF($F26="",$E26,$F26))</f>
        <v>11750.0</v>
      </c>
      <c r="H26" s="391" t="inlineStr">
        <is>
          <t>AED</t>
        </is>
      </c>
      <c r="I26" s="391" t="inlineStr">
        <is>
          <t>No</t>
        </is>
      </c>
      <c r="J26" s="386" t="n"/>
      <c r="K26" s="391" t="inlineStr">
        <is>
          <t>FAB 4002 Home Expenditure</t>
        </is>
      </c>
      <c r="L26" s="391" t="inlineStr">
        <is>
          <t>None</t>
        </is>
      </c>
      <c r="M26" s="391" t="inlineStr">
        <is>
          <t>Yes</t>
        </is>
      </c>
      <c r="N26" s="391" t="inlineStr">
        <is>
          <t>Critical</t>
        </is>
      </c>
      <c r="O26" s="391" t="inlineStr">
        <is>
          <t>Actual</t>
        </is>
      </c>
      <c r="P26" s="415">
        <f>IF($A26="","",$A26-Settings!$B$9)</f>
        <v>57.0</v>
      </c>
      <c r="Q26" s="416" t="str">
        <f>IF($A26="","",IF($I26="Yes","Settled",IF($P26&lt;0,"OVERDUE",IF($P26&lt;=3,"DUE ≤3 DAYS",IF($P26&lt;=7,"DUE ≤7 DAYS","Scheduled")))))</f>
        <v>Scheduled</v>
      </c>
      <c r="R26" s="368" t="inlineStr">
        <is>
          <t>Must be fully funded by 21 Oct — the 26 Oct salary is too late</t>
        </is>
      </c>
      <c r="S26" s="417">
        <f>IF(OR($A26="",$I26="Yes",$D26&lt;&gt;"Outflow",$H26&lt;&gt;"AED"),99999+ROW()/1000000,$P26+ROW()/1000000)</f>
        <v>57.000026</v>
      </c>
      <c r="T26" s="418">
        <f>IF(OR($A26="",$I26="Yes",$D26&lt;&gt;"Outflow",$H26&lt;&gt;"AED",$A26&gt;Settings!$B$21),-1-ROW()/1000000,$G26+ROW()/1000000)</f>
        <v>-1.000026</v>
      </c>
    </row>
    <row r="27" ht="30" customHeight="1" s="278">
      <c r="A27" s="386" t="n">
        <v>46298</v>
      </c>
      <c r="B27" s="391" t="inlineStr">
        <is>
          <t>Tabby — September statement</t>
        </is>
      </c>
      <c r="C27" s="391" t="inlineStr">
        <is>
          <t>BNPL</t>
        </is>
      </c>
      <c r="D27" s="391" t="inlineStr">
        <is>
          <t>Outflow</t>
        </is>
      </c>
      <c r="E27" s="392" t="n">
        <v>715.33</v>
      </c>
      <c r="F27" s="392" t="n"/>
      <c r="G27" s="385">
        <f>IF($A27="","",IF($F27="",$E27,$F27))</f>
        <v>715.33</v>
      </c>
      <c r="H27" s="391" t="inlineStr">
        <is>
          <t>AED</t>
        </is>
      </c>
      <c r="I27" s="391" t="inlineStr">
        <is>
          <t>No</t>
        </is>
      </c>
      <c r="J27" s="386" t="n"/>
      <c r="K27" s="391" t="inlineStr">
        <is>
          <t>FAB 4001 Current</t>
        </is>
      </c>
      <c r="L27" s="391" t="inlineStr">
        <is>
          <t>None</t>
        </is>
      </c>
      <c r="M27" s="391" t="inlineStr">
        <is>
          <t>Yes</t>
        </is>
      </c>
      <c r="N27" s="391" t="inlineStr">
        <is>
          <t>Essential</t>
        </is>
      </c>
      <c r="O27" s="391" t="inlineStr">
        <is>
          <t>Actual</t>
        </is>
      </c>
      <c r="P27" s="415">
        <f>IF($A27="","",$A27-Settings!$B$9)</f>
        <v>38.0</v>
      </c>
      <c r="Q27" s="307" t="str">
        <f>IF($A27="","",IF($I27="Yes","Settled",IF($P27&lt;0,"OVERDUE",IF($P27&lt;=3,"DUE ≤3 DAYS",IF($P27&lt;=7,"DUE ≤7 DAYS","Scheduled")))))</f>
        <v>Scheduled</v>
      </c>
      <c r="R27" s="355" t="inlineStr">
        <is>
          <t>CONFIRMED via Tabby chat, 15 Aug — real figure, not estimated. No-fee minimum for the September billing cycle.</t>
        </is>
      </c>
      <c r="S27" s="417">
        <f>IF(OR($A27="",$I27="Yes",$D27&lt;&gt;"Outflow",$H27&lt;&gt;"AED"),99999+ROW()/1000000,$P27+ROW()/1000000)</f>
        <v>38.000027</v>
      </c>
      <c r="T27" s="418">
        <f>IF(OR($A27="",$I27="Yes",$D27&lt;&gt;"Outflow",$H27&lt;&gt;"AED",$A27&gt;Settings!$B$21),-1-ROW()/1000000,$G27+ROW()/1000000)</f>
        <v>715.330027</v>
      </c>
    </row>
    <row r="28" ht="30" customHeight="1" s="278">
      <c r="A28" s="386" t="n">
        <v>46321</v>
      </c>
      <c r="B28" s="391" t="inlineStr">
        <is>
          <t>October salary</t>
        </is>
      </c>
      <c r="C28" s="391" t="inlineStr">
        <is>
          <t>Salary</t>
        </is>
      </c>
      <c r="D28" s="391" t="inlineStr">
        <is>
          <t>Inflow</t>
        </is>
      </c>
      <c r="E28" s="392" t="n">
        <v>7914.88</v>
      </c>
      <c r="F28" s="392" t="n"/>
      <c r="G28" s="385">
        <f>IF($A28="","",IF($F28="",$E28,$F28))</f>
        <v>7914.88</v>
      </c>
      <c r="H28" s="391" t="inlineStr">
        <is>
          <t>AED</t>
        </is>
      </c>
      <c r="I28" s="391" t="inlineStr">
        <is>
          <t>No</t>
        </is>
      </c>
      <c r="J28" s="386" t="n"/>
      <c r="K28" s="391" t="inlineStr">
        <is>
          <t>FAB 4001 Current</t>
        </is>
      </c>
      <c r="L28" s="391" t="inlineStr">
        <is>
          <t>Monthly</t>
        </is>
      </c>
      <c r="M28" s="391" t="inlineStr">
        <is>
          <t>–</t>
        </is>
      </c>
      <c r="N28" s="391" t="inlineStr">
        <is>
          <t>Critical</t>
        </is>
      </c>
      <c r="O28" s="391" t="inlineStr">
        <is>
          <t>Estimated</t>
        </is>
      </c>
      <c r="P28" s="415">
        <f>IF($A28="","",$A28-Settings!$B$9)</f>
        <v>61.0</v>
      </c>
      <c r="Q28" s="307" t="str">
        <f>IF($A28="","",IF($I28="Yes","Settled",IF($P28&lt;0,"OVERDUE",IF($P28&lt;=3,"DUE ≤3 DAYS",IF($P28&lt;=7,"DUE ≤7 DAYS","Scheduled")))))</f>
        <v>Scheduled</v>
      </c>
      <c r="R28" s="302" t="inlineStr">
        <is>
          <t>Lands FOUR DAYS AFTER the rent cheque clears. Deliberately excluded from rent funding — it exists here so the cash calendar past 21 Oct is honest.</t>
        </is>
      </c>
      <c r="S28" s="417">
        <f>IF(OR($A28="",$I28="Yes",$D28&lt;&gt;"Outflow",$H28&lt;&gt;"AED"),99999+ROW()/1000000,$P28+ROW()/1000000)</f>
        <v>99999.000028</v>
      </c>
      <c r="T28" s="418">
        <f>IF(OR($A28="",$I28="Yes",$D28&lt;&gt;"Outflow",$H28&lt;&gt;"AED",$A28&gt;Settings!$B$21),-1-ROW()/1000000,$G28+ROW()/1000000)</f>
        <v>-1.000028</v>
      </c>
    </row>
    <row r="29" ht="30" customHeight="1" s="278">
      <c r="A29" s="386" t="n">
        <v>46409</v>
      </c>
      <c r="B29" s="391" t="inlineStr">
        <is>
          <t>RENT CHEQUE — January renewal</t>
        </is>
      </c>
      <c r="C29" s="391" t="inlineStr">
        <is>
          <t>Rent</t>
        </is>
      </c>
      <c r="D29" s="391" t="inlineStr">
        <is>
          <t>Outflow</t>
        </is>
      </c>
      <c r="E29" s="392" t="n">
        <v>11750</v>
      </c>
      <c r="F29" s="392" t="n"/>
      <c r="G29" s="293">
        <f>IF($A29="","",IF($F29="",$E29,$F29))</f>
        <v>11750.0</v>
      </c>
      <c r="H29" s="391" t="inlineStr">
        <is>
          <t>AED</t>
        </is>
      </c>
      <c r="I29" s="391" t="inlineStr">
        <is>
          <t>No</t>
        </is>
      </c>
      <c r="J29" s="386" t="n"/>
      <c r="K29" s="391" t="inlineStr">
        <is>
          <t>FAB 4002 Home Expenditure</t>
        </is>
      </c>
      <c r="L29" s="391" t="inlineStr">
        <is>
          <t>Quarterly</t>
        </is>
      </c>
      <c r="M29" s="391" t="inlineStr">
        <is>
          <t>Yes</t>
        </is>
      </c>
      <c r="N29" s="391" t="inlineStr">
        <is>
          <t>Critical</t>
        </is>
      </c>
      <c r="O29" s="391" t="inlineStr">
        <is>
          <t>Estimated</t>
        </is>
      </c>
      <c r="P29" s="415">
        <f>IF($A29="","",$A29-Settings!$B$9)</f>
        <v>149.0</v>
      </c>
      <c r="Q29" s="416" t="str">
        <f>IF($A29="","",IF($I29="Yes","Settled",IF($P29&lt;0,"OVERDUE",IF($P29&lt;=3,"DUE ≤3 DAYS",IF($P29&lt;=7,"DUE ≤7 DAYS","Scheduled")))))</f>
        <v>Scheduled</v>
      </c>
      <c r="R29" s="355" t="inlineStr">
        <is>
          <t>Lease renewal falls here. Amount assumes flat rent per owner instruction — CONFIRMED date (22nd), flat-rent assumption also confirmed.</t>
        </is>
      </c>
      <c r="S29" s="417">
        <f>IF(OR($A29="",$I29="Yes",$D29&lt;&gt;"Outflow",$H29&lt;&gt;"AED"),99999+ROW()/1000000,$P29+ROW()/1000000)</f>
        <v>149.000029</v>
      </c>
      <c r="T29" s="418">
        <f>IF(OR($A29="",$I29="Yes",$D29&lt;&gt;"Outflow",$H29&lt;&gt;"AED",$A29&gt;Settings!$B$21),-1-ROW()/1000000,$G29+ROW()/1000000)</f>
        <v>-1.000029</v>
      </c>
    </row>
    <row r="30" ht="30" customHeight="1" s="278">
      <c r="A30" s="386" t="n">
        <v>46499</v>
      </c>
      <c r="B30" s="391" t="inlineStr">
        <is>
          <t>Rent cheque — April (quarterly)</t>
        </is>
      </c>
      <c r="C30" s="391" t="inlineStr">
        <is>
          <t>Rent</t>
        </is>
      </c>
      <c r="D30" s="391" t="inlineStr">
        <is>
          <t>Outflow</t>
        </is>
      </c>
      <c r="E30" s="392" t="n">
        <v>11750</v>
      </c>
      <c r="F30" s="392" t="n"/>
      <c r="G30" s="293">
        <f>IF($A30="","",IF($F30="",$E30,$F30))</f>
        <v>11750.0</v>
      </c>
      <c r="H30" s="391" t="inlineStr">
        <is>
          <t>AED</t>
        </is>
      </c>
      <c r="I30" s="391" t="inlineStr">
        <is>
          <t>No</t>
        </is>
      </c>
      <c r="J30" s="386" t="n"/>
      <c r="K30" s="391" t="inlineStr">
        <is>
          <t>FAB 4002 Home Expenditure</t>
        </is>
      </c>
      <c r="L30" s="391" t="inlineStr">
        <is>
          <t>Quarterly</t>
        </is>
      </c>
      <c r="M30" s="391" t="inlineStr">
        <is>
          <t>Yes</t>
        </is>
      </c>
      <c r="N30" s="391" t="inlineStr">
        <is>
          <t>Critical</t>
        </is>
      </c>
      <c r="O30" s="391" t="inlineStr">
        <is>
          <t>Estimated</t>
        </is>
      </c>
      <c r="P30" s="415">
        <f>IF($A30="","",$A30-Settings!$B$9)</f>
        <v>239.0</v>
      </c>
      <c r="Q30" s="416" t="str">
        <f>IF($A30="","",IF($I30="Yes","Settled",IF($P30&lt;0,"OVERDUE",IF($P30&lt;=3,"DUE ≤3 DAYS",IF($P30&lt;=7,"DUE ≤7 DAYS","Scheduled")))))</f>
        <v>Scheduled</v>
      </c>
      <c r="R30" s="421" t="inlineStr">
        <is>
          <t>Confirmed pattern — quarterly cheques, Jan date verified by owner</t>
        </is>
      </c>
      <c r="S30" s="417">
        <f>IF(OR($A30="",$I30="Yes",$D30&lt;&gt;"Outflow",$H30&lt;&gt;"AED"),99999+ROW()/1000000,$P30+ROW()/1000000)</f>
        <v>239.00003</v>
      </c>
      <c r="T30" s="418">
        <f>IF(OR($A30="",$I30="Yes",$D30&lt;&gt;"Outflow",$H30&lt;&gt;"AED",$A30&gt;Settings!$B$21),-1-ROW()/1000000,$G30+ROW()/1000000)</f>
        <v>-1.00003</v>
      </c>
    </row>
    <row r="31" ht="30" customHeight="1" s="278">
      <c r="A31" s="386" t="n">
        <v>46590</v>
      </c>
      <c r="B31" s="391" t="inlineStr">
        <is>
          <t>Rent cheque — July (quarterly)</t>
        </is>
      </c>
      <c r="C31" s="391" t="inlineStr">
        <is>
          <t>Rent</t>
        </is>
      </c>
      <c r="D31" s="391" t="inlineStr">
        <is>
          <t>Outflow</t>
        </is>
      </c>
      <c r="E31" s="392" t="n">
        <v>11750</v>
      </c>
      <c r="F31" s="392" t="n"/>
      <c r="G31" s="293">
        <f>IF($A31="","",IF($F31="",$E31,$F31))</f>
        <v>11750.0</v>
      </c>
      <c r="H31" s="391" t="inlineStr">
        <is>
          <t>AED</t>
        </is>
      </c>
      <c r="I31" s="391" t="inlineStr">
        <is>
          <t>No</t>
        </is>
      </c>
      <c r="J31" s="386" t="n"/>
      <c r="K31" s="391" t="inlineStr">
        <is>
          <t>FAB 4002 Home Expenditure</t>
        </is>
      </c>
      <c r="L31" s="391" t="inlineStr">
        <is>
          <t>Quarterly</t>
        </is>
      </c>
      <c r="M31" s="391" t="inlineStr">
        <is>
          <t>Yes</t>
        </is>
      </c>
      <c r="N31" s="391" t="inlineStr">
        <is>
          <t>Critical</t>
        </is>
      </c>
      <c r="O31" s="391" t="inlineStr">
        <is>
          <t>Estimated</t>
        </is>
      </c>
      <c r="P31" s="415">
        <f>IF($A31="","",$A31-Settings!$B$9)</f>
        <v>330.0</v>
      </c>
      <c r="Q31" s="416" t="str">
        <f>IF($A31="","",IF($I31="Yes","Settled",IF($P31&lt;0,"OVERDUE",IF($P31&lt;=3,"DUE ≤3 DAYS",IF($P31&lt;=7,"DUE ≤7 DAYS","Scheduled")))))</f>
        <v>Scheduled</v>
      </c>
      <c r="R31" s="421" t="inlineStr">
        <is>
          <t>Confirmed pattern — quarterly cheques, Jan date verified by owner</t>
        </is>
      </c>
      <c r="S31" s="417">
        <f>IF(OR($A31="",$I31="Yes",$D31&lt;&gt;"Outflow",$H31&lt;&gt;"AED"),99999+ROW()/1000000,$P31+ROW()/1000000)</f>
        <v>330.000031</v>
      </c>
      <c r="T31" s="418">
        <f>IF(OR($A31="",$I31="Yes",$D31&lt;&gt;"Outflow",$H31&lt;&gt;"AED",$A31&gt;Settings!$B$21),-1-ROW()/1000000,$G31+ROW()/1000000)</f>
        <v>-1.000031</v>
      </c>
    </row>
    <row r="32" ht="42" customHeight="1" s="278">
      <c r="A32" s="386" t="n">
        <v>46329</v>
      </c>
      <c r="B32" s="391" t="inlineStr">
        <is>
          <t>Tabby — October statement (est.)</t>
        </is>
      </c>
      <c r="C32" s="391" t="inlineStr">
        <is>
          <t>BNPL</t>
        </is>
      </c>
      <c r="D32" s="391" t="inlineStr">
        <is>
          <t>Outflow</t>
        </is>
      </c>
      <c r="E32" s="392" t="n">
        <v>657.53</v>
      </c>
      <c r="F32" s="392" t="n"/>
      <c r="G32" s="293">
        <f>IF($A32="","",IF($F32="",$E32,$F32))</f>
        <v>657.53</v>
      </c>
      <c r="H32" s="391" t="inlineStr">
        <is>
          <t>AED</t>
        </is>
      </c>
      <c r="I32" s="391" t="inlineStr">
        <is>
          <t>No</t>
        </is>
      </c>
      <c r="J32" s="386" t="n"/>
      <c r="K32" s="391" t="inlineStr">
        <is>
          <t>FAB 4001 Current</t>
        </is>
      </c>
      <c r="L32" s="391" t="inlineStr">
        <is>
          <t>None</t>
        </is>
      </c>
      <c r="M32" s="391" t="inlineStr">
        <is>
          <t>Yes</t>
        </is>
      </c>
      <c r="N32" s="391" t="inlineStr">
        <is>
          <t>Essential</t>
        </is>
      </c>
      <c r="O32" s="391" t="inlineStr">
        <is>
          <t>Actual</t>
        </is>
      </c>
      <c r="P32" s="415">
        <f>IF($A32="","",$A32-Settings!$B$9)</f>
        <v>69.0</v>
      </c>
      <c r="Q32" s="416" t="str">
        <f>IF($A32="","",IF($I32="Yes","Settled",IF($P32&lt;0,"OVERDUE",IF($P32&lt;=3,"DUE ≤3 DAYS",IF($P32&lt;=7,"DUE ≤7 DAYS","Scheduled")))))</f>
        <v>Scheduled</v>
      </c>
      <c r="R32" s="404" t="inlineStr">
        <is>
          <t>CONFIRMED via Tabby app screenshot — exact match to prior estimate. Statement balance AED 657.53, rolls to next month for free (no fee for the roll itself).</t>
        </is>
      </c>
      <c r="S32" s="417">
        <f>IF(OR($A32="",$I32="Yes",$D32&lt;&gt;"Outflow",$H32&lt;&gt;"AED"),99999+ROW()/1000000,$P32+ROW()/1000000)</f>
        <v>69.000032</v>
      </c>
      <c r="T32" s="418">
        <f>IF(OR($A32="",$I32="Yes",$D32&lt;&gt;"Outflow",$H32&lt;&gt;"AED",$A32&gt;Settings!$B$21),-1-ROW()/1000000,$G32+ROW()/1000000)</f>
        <v>-1.000032</v>
      </c>
    </row>
    <row r="33" ht="15" customHeight="1" s="278">
      <c r="A33" s="386" t="n"/>
      <c r="B33" s="391" t="n"/>
      <c r="C33" s="391" t="n"/>
      <c r="D33" s="391" t="n"/>
      <c r="E33" s="392" t="n"/>
      <c r="F33" s="392" t="n"/>
      <c r="G33" s="385" t="str">
        <f>IF($A33="","",IF($F33="",$E33,$F33))</f>
        <v/>
      </c>
      <c r="H33" s="391" t="n"/>
      <c r="I33" s="391" t="n"/>
      <c r="J33" s="386" t="n"/>
      <c r="K33" s="391" t="n"/>
      <c r="L33" s="391" t="n"/>
      <c r="M33" s="391" t="n"/>
      <c r="N33" s="391" t="n"/>
      <c r="O33" s="391" t="n"/>
      <c r="P33" s="415" t="str">
        <f>IF($A33="","",$A33-Settings!$B$9)</f>
        <v/>
      </c>
      <c r="Q33" s="307" t="str">
        <f>IF($A33="","",IF($I33="Yes","Settled",IF($P33&lt;0,"OVERDUE",IF($P33&lt;=3,"DUE ≤3 DAYS",IF($P33&lt;=7,"DUE ≤7 DAYS","Scheduled")))))</f>
        <v/>
      </c>
      <c r="R33" s="396" t="n"/>
      <c r="S33" s="417">
        <f>IF(OR($A33="",$I33="Yes",$D33&lt;&gt;"Outflow",$H33&lt;&gt;"AED"),99999+ROW()/1000000,$P33+ROW()/1000000)</f>
        <v>99999.000033</v>
      </c>
      <c r="T33" s="418">
        <f>IF(OR($A33="",$I33="Yes",$D33&lt;&gt;"Outflow",$H33&lt;&gt;"AED",$A33&gt;Settings!$B$21),-1-ROW()/1000000,$G33+ROW()/1000000)</f>
        <v>-1.000033</v>
      </c>
    </row>
    <row r="34" ht="15" customHeight="1" s="278">
      <c r="A34" s="386" t="n"/>
      <c r="B34" s="391" t="n"/>
      <c r="C34" s="391" t="n"/>
      <c r="D34" s="391" t="n"/>
      <c r="E34" s="392" t="n"/>
      <c r="F34" s="392" t="n"/>
      <c r="G34" s="385" t="str">
        <f>IF($A34="","",IF($F34="",$E34,$F34))</f>
        <v/>
      </c>
      <c r="H34" s="391" t="n"/>
      <c r="I34" s="391" t="n"/>
      <c r="J34" s="386" t="n"/>
      <c r="K34" s="391" t="n"/>
      <c r="L34" s="391" t="n"/>
      <c r="M34" s="391" t="n"/>
      <c r="N34" s="391" t="n"/>
      <c r="O34" s="391" t="n"/>
      <c r="P34" s="415" t="str">
        <f>IF($A34="","",$A34-Settings!$B$9)</f>
        <v/>
      </c>
      <c r="Q34" s="307" t="str">
        <f>IF($A34="","",IF($I34="Yes","Settled",IF($P34&lt;0,"OVERDUE",IF($P34&lt;=3,"DUE ≤3 DAYS",IF($P34&lt;=7,"DUE ≤7 DAYS","Scheduled")))))</f>
        <v/>
      </c>
      <c r="R34" s="396" t="n"/>
      <c r="S34" s="417">
        <f>IF(OR($A34="",$I34="Yes",$D34&lt;&gt;"Outflow",$H34&lt;&gt;"AED"),99999+ROW()/1000000,$P34+ROW()/1000000)</f>
        <v>99999.000034</v>
      </c>
      <c r="T34" s="418">
        <f>IF(OR($A34="",$I34="Yes",$D34&lt;&gt;"Outflow",$H34&lt;&gt;"AED",$A34&gt;Settings!$B$21),-1-ROW()/1000000,$G34+ROW()/1000000)</f>
        <v>-1.000034</v>
      </c>
    </row>
    <row r="35" ht="15" customHeight="1" s="278">
      <c r="A35" s="386" t="n"/>
      <c r="B35" s="391" t="n"/>
      <c r="C35" s="391" t="n"/>
      <c r="D35" s="391" t="n"/>
      <c r="E35" s="392" t="n"/>
      <c r="F35" s="392" t="n"/>
      <c r="G35" s="385" t="str">
        <f>IF($A35="","",IF($F35="",$E35,$F35))</f>
        <v/>
      </c>
      <c r="H35" s="391" t="n"/>
      <c r="I35" s="391" t="n"/>
      <c r="J35" s="386" t="n"/>
      <c r="K35" s="391" t="n"/>
      <c r="L35" s="391" t="n"/>
      <c r="M35" s="391" t="n"/>
      <c r="N35" s="391" t="n"/>
      <c r="O35" s="391" t="n"/>
      <c r="P35" s="415" t="str">
        <f>IF($A35="","",$A35-Settings!$B$9)</f>
        <v/>
      </c>
      <c r="Q35" s="307" t="str">
        <f>IF($A35="","",IF($I35="Yes","Settled",IF($P35&lt;0,"OVERDUE",IF($P35&lt;=3,"DUE ≤3 DAYS",IF($P35&lt;=7,"DUE ≤7 DAYS","Scheduled")))))</f>
        <v/>
      </c>
      <c r="R35" s="396" t="n"/>
      <c r="S35" s="417">
        <f>IF(OR($A35="",$I35="Yes",$D35&lt;&gt;"Outflow",$H35&lt;&gt;"AED"),99999+ROW()/1000000,$P35+ROW()/1000000)</f>
        <v>99999.000035</v>
      </c>
      <c r="T35" s="418">
        <f>IF(OR($A35="",$I35="Yes",$D35&lt;&gt;"Outflow",$H35&lt;&gt;"AED",$A35&gt;Settings!$B$21),-1-ROW()/1000000,$G35+ROW()/1000000)</f>
        <v>-1.000035</v>
      </c>
    </row>
    <row r="36" ht="15" customHeight="1" s="278">
      <c r="A36" s="386" t="n"/>
      <c r="B36" s="391" t="n"/>
      <c r="C36" s="391" t="n"/>
      <c r="D36" s="391" t="n"/>
      <c r="E36" s="392" t="n"/>
      <c r="F36" s="392" t="n"/>
      <c r="G36" s="385" t="str">
        <f>IF($A36="","",IF($F36="",$E36,$F36))</f>
        <v/>
      </c>
      <c r="H36" s="391" t="n"/>
      <c r="I36" s="391" t="n"/>
      <c r="J36" s="386" t="n"/>
      <c r="K36" s="391" t="n"/>
      <c r="L36" s="391" t="n"/>
      <c r="M36" s="391" t="n"/>
      <c r="N36" s="391" t="n"/>
      <c r="O36" s="391" t="n"/>
      <c r="P36" s="415" t="str">
        <f>IF($A36="","",$A36-Settings!$B$9)</f>
        <v/>
      </c>
      <c r="Q36" s="307" t="str">
        <f>IF($A36="","",IF($I36="Yes","Settled",IF($P36&lt;0,"OVERDUE",IF($P36&lt;=3,"DUE ≤3 DAYS",IF($P36&lt;=7,"DUE ≤7 DAYS","Scheduled")))))</f>
        <v/>
      </c>
      <c r="R36" s="396" t="n"/>
      <c r="S36" s="417">
        <f>IF(OR($A36="",$I36="Yes",$D36&lt;&gt;"Outflow",$H36&lt;&gt;"AED"),99999+ROW()/1000000,$P36+ROW()/1000000)</f>
        <v>99999.000036</v>
      </c>
      <c r="T36" s="418">
        <f>IF(OR($A36="",$I36="Yes",$D36&lt;&gt;"Outflow",$H36&lt;&gt;"AED",$A36&gt;Settings!$B$21),-1-ROW()/1000000,$G36+ROW()/1000000)</f>
        <v>-1.000036</v>
      </c>
    </row>
    <row r="37" ht="15" customHeight="1" s="278">
      <c r="A37" s="386" t="n"/>
      <c r="B37" s="391" t="n"/>
      <c r="C37" s="391" t="n"/>
      <c r="D37" s="391" t="n"/>
      <c r="E37" s="392" t="n"/>
      <c r="F37" s="392" t="n"/>
      <c r="G37" s="385" t="str">
        <f>IF($A37="","",IF($F37="",$E37,$F37))</f>
        <v/>
      </c>
      <c r="H37" s="391" t="n"/>
      <c r="I37" s="391" t="n"/>
      <c r="J37" s="386" t="n"/>
      <c r="K37" s="391" t="n"/>
      <c r="L37" s="391" t="n"/>
      <c r="M37" s="391" t="n"/>
      <c r="N37" s="391" t="n"/>
      <c r="O37" s="391" t="n"/>
      <c r="P37" s="415" t="str">
        <f>IF($A37="","",$A37-Settings!$B$9)</f>
        <v/>
      </c>
      <c r="Q37" s="307" t="str">
        <f>IF($A37="","",IF($I37="Yes","Settled",IF($P37&lt;0,"OVERDUE",IF($P37&lt;=3,"DUE ≤3 DAYS",IF($P37&lt;=7,"DUE ≤7 DAYS","Scheduled")))))</f>
        <v/>
      </c>
      <c r="R37" s="396" t="n"/>
      <c r="S37" s="417">
        <f>IF(OR($A37="",$I37="Yes",$D37&lt;&gt;"Outflow",$H37&lt;&gt;"AED"),99999+ROW()/1000000,$P37+ROW()/1000000)</f>
        <v>99999.000037</v>
      </c>
      <c r="T37" s="418">
        <f>IF(OR($A37="",$I37="Yes",$D37&lt;&gt;"Outflow",$H37&lt;&gt;"AED",$A37&gt;Settings!$B$21),-1-ROW()/1000000,$G37+ROW()/1000000)</f>
        <v>-1.000037</v>
      </c>
    </row>
    <row r="38" ht="15" customHeight="1" s="278">
      <c r="A38" s="386" t="n"/>
      <c r="B38" s="391" t="n"/>
      <c r="C38" s="391" t="n"/>
      <c r="D38" s="391" t="n"/>
      <c r="E38" s="392" t="n"/>
      <c r="F38" s="392" t="n"/>
      <c r="G38" s="385" t="str">
        <f>IF($A38="","",IF($F38="",$E38,$F38))</f>
        <v/>
      </c>
      <c r="H38" s="391" t="n"/>
      <c r="I38" s="391" t="n"/>
      <c r="J38" s="386" t="n"/>
      <c r="K38" s="391" t="n"/>
      <c r="L38" s="391" t="n"/>
      <c r="M38" s="391" t="n"/>
      <c r="N38" s="391" t="n"/>
      <c r="O38" s="391" t="n"/>
      <c r="P38" s="415" t="str">
        <f>IF($A38="","",$A38-Settings!$B$9)</f>
        <v/>
      </c>
      <c r="Q38" s="307" t="str">
        <f>IF($A38="","",IF($I38="Yes","Settled",IF($P38&lt;0,"OVERDUE",IF($P38&lt;=3,"DUE ≤3 DAYS",IF($P38&lt;=7,"DUE ≤7 DAYS","Scheduled")))))</f>
        <v/>
      </c>
      <c r="R38" s="396" t="n"/>
      <c r="S38" s="417">
        <f>IF(OR($A38="",$I38="Yes",$D38&lt;&gt;"Outflow",$H38&lt;&gt;"AED"),99999+ROW()/1000000,$P38+ROW()/1000000)</f>
        <v>99999.000038</v>
      </c>
      <c r="T38" s="418">
        <f>IF(OR($A38="",$I38="Yes",$D38&lt;&gt;"Outflow",$H38&lt;&gt;"AED",$A38&gt;Settings!$B$21),-1-ROW()/1000000,$G38+ROW()/1000000)</f>
        <v>-1.000038</v>
      </c>
    </row>
    <row r="39" ht="15" customHeight="1" s="278">
      <c r="A39" s="386" t="n"/>
      <c r="B39" s="391" t="n"/>
      <c r="C39" s="391" t="n"/>
      <c r="D39" s="391" t="n"/>
      <c r="E39" s="392" t="n"/>
      <c r="F39" s="392" t="n"/>
      <c r="G39" s="385" t="str">
        <f>IF($A39="","",IF($F39="",$E39,$F39))</f>
        <v/>
      </c>
      <c r="H39" s="391" t="n"/>
      <c r="I39" s="391" t="n"/>
      <c r="J39" s="386" t="n"/>
      <c r="K39" s="391" t="n"/>
      <c r="L39" s="391" t="n"/>
      <c r="M39" s="391" t="n"/>
      <c r="N39" s="391" t="n"/>
      <c r="O39" s="391" t="n"/>
      <c r="P39" s="415" t="str">
        <f>IF($A39="","",$A39-Settings!$B$9)</f>
        <v/>
      </c>
      <c r="Q39" s="307" t="str">
        <f>IF($A39="","",IF($I39="Yes","Settled",IF($P39&lt;0,"OVERDUE",IF($P39&lt;=3,"DUE ≤3 DAYS",IF($P39&lt;=7,"DUE ≤7 DAYS","Scheduled")))))</f>
        <v/>
      </c>
      <c r="R39" s="396" t="n"/>
      <c r="S39" s="417">
        <f>IF(OR($A39="",$I39="Yes",$D39&lt;&gt;"Outflow",$H39&lt;&gt;"AED"),99999+ROW()/1000000,$P39+ROW()/1000000)</f>
        <v>99999.000039</v>
      </c>
      <c r="T39" s="418">
        <f>IF(OR($A39="",$I39="Yes",$D39&lt;&gt;"Outflow",$H39&lt;&gt;"AED",$A39&gt;Settings!$B$21),-1-ROW()/1000000,$G39+ROW()/1000000)</f>
        <v>-1.000039</v>
      </c>
    </row>
    <row r="40" ht="15" customHeight="1" s="278">
      <c r="A40" s="386" t="n"/>
      <c r="B40" s="391" t="n"/>
      <c r="C40" s="391" t="n"/>
      <c r="D40" s="391" t="n"/>
      <c r="E40" s="392" t="n"/>
      <c r="F40" s="392" t="n"/>
      <c r="G40" s="385" t="str">
        <f>IF($A40="","",IF($F40="",$E40,$F40))</f>
        <v/>
      </c>
      <c r="H40" s="391" t="n"/>
      <c r="I40" s="391" t="n"/>
      <c r="J40" s="386" t="n"/>
      <c r="K40" s="391" t="n"/>
      <c r="L40" s="391" t="n"/>
      <c r="M40" s="391" t="n"/>
      <c r="N40" s="391" t="n"/>
      <c r="O40" s="391" t="n"/>
      <c r="P40" s="415" t="str">
        <f>IF($A40="","",$A40-Settings!$B$9)</f>
        <v/>
      </c>
      <c r="Q40" s="307" t="str">
        <f>IF($A40="","",IF($I40="Yes","Settled",IF($P40&lt;0,"OVERDUE",IF($P40&lt;=3,"DUE ≤3 DAYS",IF($P40&lt;=7,"DUE ≤7 DAYS","Scheduled")))))</f>
        <v/>
      </c>
      <c r="R40" s="396" t="n"/>
      <c r="S40" s="417">
        <f>IF(OR($A40="",$I40="Yes",$D40&lt;&gt;"Outflow",$H40&lt;&gt;"AED"),99999+ROW()/1000000,$P40+ROW()/1000000)</f>
        <v>99999.00004</v>
      </c>
      <c r="T40" s="418">
        <f>IF(OR($A40="",$I40="Yes",$D40&lt;&gt;"Outflow",$H40&lt;&gt;"AED",$A40&gt;Settings!$B$21),-1-ROW()/1000000,$G40+ROW()/1000000)</f>
        <v>-1.00004</v>
      </c>
    </row>
    <row r="41" ht="15" customHeight="1" s="278">
      <c r="A41" s="386" t="n"/>
      <c r="B41" s="391" t="n"/>
      <c r="C41" s="391" t="n"/>
      <c r="D41" s="391" t="n"/>
      <c r="E41" s="392" t="n"/>
      <c r="F41" s="392" t="n"/>
      <c r="G41" s="385" t="str">
        <f>IF($A41="","",IF($F41="",$E41,$F41))</f>
        <v/>
      </c>
      <c r="H41" s="391" t="n"/>
      <c r="I41" s="391" t="n"/>
      <c r="J41" s="386" t="n"/>
      <c r="K41" s="391" t="n"/>
      <c r="L41" s="391" t="n"/>
      <c r="M41" s="391" t="n"/>
      <c r="N41" s="391" t="n"/>
      <c r="O41" s="391" t="n"/>
      <c r="P41" s="415" t="str">
        <f>IF($A41="","",$A41-Settings!$B$9)</f>
        <v/>
      </c>
      <c r="Q41" s="307" t="str">
        <f>IF($A41="","",IF($I41="Yes","Settled",IF($P41&lt;0,"OVERDUE",IF($P41&lt;=3,"DUE ≤3 DAYS",IF($P41&lt;=7,"DUE ≤7 DAYS","Scheduled")))))</f>
        <v/>
      </c>
      <c r="R41" s="396" t="n"/>
      <c r="S41" s="417">
        <f>IF(OR($A41="",$I41="Yes",$D41&lt;&gt;"Outflow",$H41&lt;&gt;"AED"),99999+ROW()/1000000,$P41+ROW()/1000000)</f>
        <v>99999.000041</v>
      </c>
      <c r="T41" s="418">
        <f>IF(OR($A41="",$I41="Yes",$D41&lt;&gt;"Outflow",$H41&lt;&gt;"AED",$A41&gt;Settings!$B$21),-1-ROW()/1000000,$G41+ROW()/1000000)</f>
        <v>-1.000041</v>
      </c>
    </row>
    <row r="42" ht="15" customHeight="1" s="278">
      <c r="A42" s="386" t="n"/>
      <c r="B42" s="391" t="n"/>
      <c r="C42" s="391" t="n"/>
      <c r="D42" s="391" t="n"/>
      <c r="E42" s="392" t="n"/>
      <c r="F42" s="392" t="n"/>
      <c r="G42" s="385" t="str">
        <f>IF($A42="","",IF($F42="",$E42,$F42))</f>
        <v/>
      </c>
      <c r="H42" s="391" t="n"/>
      <c r="I42" s="391" t="n"/>
      <c r="J42" s="386" t="n"/>
      <c r="K42" s="391" t="n"/>
      <c r="L42" s="391" t="n"/>
      <c r="M42" s="391" t="n"/>
      <c r="N42" s="391" t="n"/>
      <c r="O42" s="391" t="n"/>
      <c r="P42" s="415" t="str">
        <f>IF($A42="","",$A42-Settings!$B$9)</f>
        <v/>
      </c>
      <c r="Q42" s="307" t="str">
        <f>IF($A42="","",IF($I42="Yes","Settled",IF($P42&lt;0,"OVERDUE",IF($P42&lt;=3,"DUE ≤3 DAYS",IF($P42&lt;=7,"DUE ≤7 DAYS","Scheduled")))))</f>
        <v/>
      </c>
      <c r="R42" s="396" t="n"/>
      <c r="S42" s="417">
        <f>IF(OR($A42="",$I42="Yes",$D42&lt;&gt;"Outflow",$H42&lt;&gt;"AED"),99999+ROW()/1000000,$P42+ROW()/1000000)</f>
        <v>99999.000042</v>
      </c>
      <c r="T42" s="418">
        <f>IF(OR($A42="",$I42="Yes",$D42&lt;&gt;"Outflow",$H42&lt;&gt;"AED",$A42&gt;Settings!$B$21),-1-ROW()/1000000,$G42+ROW()/1000000)</f>
        <v>-1.000042</v>
      </c>
    </row>
    <row r="43" ht="15" customHeight="1" s="278">
      <c r="A43" s="386" t="n"/>
      <c r="B43" s="391" t="n"/>
      <c r="C43" s="391" t="n"/>
      <c r="D43" s="391" t="n"/>
      <c r="E43" s="392" t="n"/>
      <c r="F43" s="392" t="n"/>
      <c r="G43" s="385" t="str">
        <f>IF($A43="","",IF($F43="",$E43,$F43))</f>
        <v/>
      </c>
      <c r="H43" s="391" t="n"/>
      <c r="I43" s="391" t="n"/>
      <c r="J43" s="386" t="n"/>
      <c r="K43" s="391" t="n"/>
      <c r="L43" s="391" t="n"/>
      <c r="M43" s="391" t="n"/>
      <c r="N43" s="391" t="n"/>
      <c r="O43" s="391" t="n"/>
      <c r="P43" s="415" t="str">
        <f>IF($A43="","",$A43-Settings!$B$9)</f>
        <v/>
      </c>
      <c r="Q43" s="307" t="str">
        <f>IF($A43="","",IF($I43="Yes","Settled",IF($P43&lt;0,"OVERDUE",IF($P43&lt;=3,"DUE ≤3 DAYS",IF($P43&lt;=7,"DUE ≤7 DAYS","Scheduled")))))</f>
        <v/>
      </c>
      <c r="R43" s="396" t="n"/>
      <c r="S43" s="417">
        <f>IF(OR($A43="",$I43="Yes",$D43&lt;&gt;"Outflow",$H43&lt;&gt;"AED"),99999+ROW()/1000000,$P43+ROW()/1000000)</f>
        <v>99999.000043</v>
      </c>
      <c r="T43" s="418">
        <f>IF(OR($A43="",$I43="Yes",$D43&lt;&gt;"Outflow",$H43&lt;&gt;"AED",$A43&gt;Settings!$B$21),-1-ROW()/1000000,$G43+ROW()/1000000)</f>
        <v>-1.000043</v>
      </c>
    </row>
    <row r="44" ht="15" customHeight="1" s="278">
      <c r="A44" s="386" t="n"/>
      <c r="B44" s="391" t="n"/>
      <c r="C44" s="391" t="n"/>
      <c r="D44" s="391" t="n"/>
      <c r="E44" s="392" t="n"/>
      <c r="F44" s="392" t="n"/>
      <c r="G44" s="385" t="str">
        <f>IF($A44="","",IF($F44="",$E44,$F44))</f>
        <v/>
      </c>
      <c r="H44" s="391" t="n"/>
      <c r="I44" s="391" t="n"/>
      <c r="J44" s="386" t="n"/>
      <c r="K44" s="391" t="n"/>
      <c r="L44" s="391" t="n"/>
      <c r="M44" s="391" t="n"/>
      <c r="N44" s="391" t="n"/>
      <c r="O44" s="391" t="n"/>
      <c r="P44" s="415" t="str">
        <f>IF($A44="","",$A44-Settings!$B$9)</f>
        <v/>
      </c>
      <c r="Q44" s="307" t="str">
        <f>IF($A44="","",IF($I44="Yes","Settled",IF($P44&lt;0,"OVERDUE",IF($P44&lt;=3,"DUE ≤3 DAYS",IF($P44&lt;=7,"DUE ≤7 DAYS","Scheduled")))))</f>
        <v/>
      </c>
      <c r="R44" s="396" t="n"/>
      <c r="S44" s="417">
        <f>IF(OR($A44="",$I44="Yes",$D44&lt;&gt;"Outflow",$H44&lt;&gt;"AED"),99999+ROW()/1000000,$P44+ROW()/1000000)</f>
        <v>99999.000044</v>
      </c>
      <c r="T44" s="418">
        <f>IF(OR($A44="",$I44="Yes",$D44&lt;&gt;"Outflow",$H44&lt;&gt;"AED",$A44&gt;Settings!$B$21),-1-ROW()/1000000,$G44+ROW()/1000000)</f>
        <v>-1.000044</v>
      </c>
    </row>
    <row r="45" ht="15" customHeight="1" s="278">
      <c r="A45" s="386" t="n"/>
      <c r="B45" s="391" t="n"/>
      <c r="C45" s="391" t="n"/>
      <c r="D45" s="391" t="n"/>
      <c r="E45" s="392" t="n"/>
      <c r="F45" s="392" t="n"/>
      <c r="G45" s="385" t="str">
        <f>IF($A45="","",IF($F45="",$E45,$F45))</f>
        <v/>
      </c>
      <c r="H45" s="391" t="n"/>
      <c r="I45" s="391" t="n"/>
      <c r="J45" s="386" t="n"/>
      <c r="K45" s="391" t="n"/>
      <c r="L45" s="391" t="n"/>
      <c r="M45" s="391" t="n"/>
      <c r="N45" s="391" t="n"/>
      <c r="O45" s="391" t="n"/>
      <c r="P45" s="415" t="str">
        <f>IF($A45="","",$A45-Settings!$B$9)</f>
        <v/>
      </c>
      <c r="Q45" s="307" t="str">
        <f>IF($A45="","",IF($I45="Yes","Settled",IF($P45&lt;0,"OVERDUE",IF($P45&lt;=3,"DUE ≤3 DAYS",IF($P45&lt;=7,"DUE ≤7 DAYS","Scheduled")))))</f>
        <v/>
      </c>
      <c r="R45" s="396" t="n"/>
      <c r="S45" s="417">
        <f>IF(OR($A45="",$I45="Yes",$D45&lt;&gt;"Outflow",$H45&lt;&gt;"AED"),99999+ROW()/1000000,$P45+ROW()/1000000)</f>
        <v>99999.000045</v>
      </c>
      <c r="T45" s="418">
        <f>IF(OR($A45="",$I45="Yes",$D45&lt;&gt;"Outflow",$H45&lt;&gt;"AED",$A45&gt;Settings!$B$21),-1-ROW()/1000000,$G45+ROW()/1000000)</f>
        <v>-1.000045</v>
      </c>
    </row>
    <row r="46" ht="15" customHeight="1" s="278">
      <c r="A46" s="386" t="n"/>
      <c r="B46" s="391" t="n"/>
      <c r="C46" s="391" t="n"/>
      <c r="D46" s="391" t="n"/>
      <c r="E46" s="392" t="n"/>
      <c r="F46" s="392" t="n"/>
      <c r="G46" s="385" t="str">
        <f>IF($A46="","",IF($F46="",$E46,$F46))</f>
        <v/>
      </c>
      <c r="H46" s="391" t="n"/>
      <c r="I46" s="391" t="n"/>
      <c r="J46" s="386" t="n"/>
      <c r="K46" s="391" t="n"/>
      <c r="L46" s="391" t="n"/>
      <c r="M46" s="391" t="n"/>
      <c r="N46" s="391" t="n"/>
      <c r="O46" s="391" t="n"/>
      <c r="P46" s="415" t="str">
        <f>IF($A46="","",$A46-Settings!$B$9)</f>
        <v/>
      </c>
      <c r="Q46" s="307" t="str">
        <f>IF($A46="","",IF($I46="Yes","Settled",IF($P46&lt;0,"OVERDUE",IF($P46&lt;=3,"DUE ≤3 DAYS",IF($P46&lt;=7,"DUE ≤7 DAYS","Scheduled")))))</f>
        <v/>
      </c>
      <c r="R46" s="396" t="n"/>
      <c r="S46" s="417">
        <f>IF(OR($A46="",$I46="Yes",$D46&lt;&gt;"Outflow",$H46&lt;&gt;"AED"),99999+ROW()/1000000,$P46+ROW()/1000000)</f>
        <v>99999.000046</v>
      </c>
      <c r="T46" s="418">
        <f>IF(OR($A46="",$I46="Yes",$D46&lt;&gt;"Outflow",$H46&lt;&gt;"AED",$A46&gt;Settings!$B$21),-1-ROW()/1000000,$G46+ROW()/1000000)</f>
        <v>-1.000046</v>
      </c>
    </row>
    <row r="47" ht="15" customHeight="1" s="278">
      <c r="A47" s="386" t="n"/>
      <c r="B47" s="391" t="n"/>
      <c r="C47" s="391" t="n"/>
      <c r="D47" s="391" t="n"/>
      <c r="E47" s="392" t="n"/>
      <c r="F47" s="392" t="n"/>
      <c r="G47" s="385" t="str">
        <f>IF($A47="","",IF($F47="",$E47,$F47))</f>
        <v/>
      </c>
      <c r="H47" s="391" t="n"/>
      <c r="I47" s="391" t="n"/>
      <c r="J47" s="386" t="n"/>
      <c r="K47" s="391" t="n"/>
      <c r="L47" s="391" t="n"/>
      <c r="M47" s="391" t="n"/>
      <c r="N47" s="391" t="n"/>
      <c r="O47" s="391" t="n"/>
      <c r="P47" s="415" t="str">
        <f>IF($A47="","",$A47-Settings!$B$9)</f>
        <v/>
      </c>
      <c r="Q47" s="307" t="str">
        <f>IF($A47="","",IF($I47="Yes","Settled",IF($P47&lt;0,"OVERDUE",IF($P47&lt;=3,"DUE ≤3 DAYS",IF($P47&lt;=7,"DUE ≤7 DAYS","Scheduled")))))</f>
        <v/>
      </c>
      <c r="R47" s="396" t="n"/>
      <c r="S47" s="417">
        <f>IF(OR($A47="",$I47="Yes",$D47&lt;&gt;"Outflow",$H47&lt;&gt;"AED"),99999+ROW()/1000000,$P47+ROW()/1000000)</f>
        <v>99999.000047</v>
      </c>
      <c r="T47" s="418">
        <f>IF(OR($A47="",$I47="Yes",$D47&lt;&gt;"Outflow",$H47&lt;&gt;"AED",$A47&gt;Settings!$B$21),-1-ROW()/1000000,$G47+ROW()/1000000)</f>
        <v>-1.000047</v>
      </c>
    </row>
    <row r="48" ht="15" customHeight="1" s="278">
      <c r="A48" s="386" t="n"/>
      <c r="B48" s="391" t="n"/>
      <c r="C48" s="391" t="n"/>
      <c r="D48" s="391" t="n"/>
      <c r="E48" s="392" t="n"/>
      <c r="F48" s="392" t="n"/>
      <c r="G48" s="385" t="str">
        <f>IF($A48="","",IF($F48="",$E48,$F48))</f>
        <v/>
      </c>
      <c r="H48" s="391" t="n"/>
      <c r="I48" s="391" t="n"/>
      <c r="J48" s="386" t="n"/>
      <c r="K48" s="391" t="n"/>
      <c r="L48" s="391" t="n"/>
      <c r="M48" s="391" t="n"/>
      <c r="N48" s="391" t="n"/>
      <c r="O48" s="391" t="n"/>
      <c r="P48" s="415" t="str">
        <f>IF($A48="","",$A48-Settings!$B$9)</f>
        <v/>
      </c>
      <c r="Q48" s="307" t="str">
        <f>IF($A48="","",IF($I48="Yes","Settled",IF($P48&lt;0,"OVERDUE",IF($P48&lt;=3,"DUE ≤3 DAYS",IF($P48&lt;=7,"DUE ≤7 DAYS","Scheduled")))))</f>
        <v/>
      </c>
      <c r="R48" s="396" t="n"/>
      <c r="S48" s="417">
        <f>IF(OR($A48="",$I48="Yes",$D48&lt;&gt;"Outflow",$H48&lt;&gt;"AED"),99999+ROW()/1000000,$P48+ROW()/1000000)</f>
        <v>99999.000048</v>
      </c>
      <c r="T48" s="418">
        <f>IF(OR($A48="",$I48="Yes",$D48&lt;&gt;"Outflow",$H48&lt;&gt;"AED",$A48&gt;Settings!$B$21),-1-ROW()/1000000,$G48+ROW()/1000000)</f>
        <v>-1.000048</v>
      </c>
    </row>
    <row r="49" ht="15" customHeight="1" s="278">
      <c r="A49" s="386" t="n"/>
      <c r="B49" s="391" t="n"/>
      <c r="C49" s="391" t="n"/>
      <c r="D49" s="391" t="n"/>
      <c r="E49" s="392" t="n"/>
      <c r="F49" s="392" t="n"/>
      <c r="G49" s="385" t="str">
        <f>IF($A49="","",IF($F49="",$E49,$F49))</f>
        <v/>
      </c>
      <c r="H49" s="391" t="n"/>
      <c r="I49" s="391" t="n"/>
      <c r="J49" s="386" t="n"/>
      <c r="K49" s="391" t="n"/>
      <c r="L49" s="391" t="n"/>
      <c r="M49" s="391" t="n"/>
      <c r="N49" s="391" t="n"/>
      <c r="O49" s="391" t="n"/>
      <c r="P49" s="415" t="str">
        <f>IF($A49="","",$A49-Settings!$B$9)</f>
        <v/>
      </c>
      <c r="Q49" s="307" t="str">
        <f>IF($A49="","",IF($I49="Yes","Settled",IF($P49&lt;0,"OVERDUE",IF($P49&lt;=3,"DUE ≤3 DAYS",IF($P49&lt;=7,"DUE ≤7 DAYS","Scheduled")))))</f>
        <v/>
      </c>
      <c r="R49" s="396" t="n"/>
      <c r="S49" s="417">
        <f>IF(OR($A49="",$I49="Yes",$D49&lt;&gt;"Outflow",$H49&lt;&gt;"AED"),99999+ROW()/1000000,$P49+ROW()/1000000)</f>
        <v>99999.000049</v>
      </c>
      <c r="T49" s="418">
        <f>IF(OR($A49="",$I49="Yes",$D49&lt;&gt;"Outflow",$H49&lt;&gt;"AED",$A49&gt;Settings!$B$21),-1-ROW()/1000000,$G49+ROW()/1000000)</f>
        <v>-1.000049</v>
      </c>
    </row>
    <row r="50" ht="15" customHeight="1" s="278">
      <c r="A50" s="386" t="n"/>
      <c r="B50" s="391" t="n"/>
      <c r="C50" s="391" t="n"/>
      <c r="D50" s="391" t="n"/>
      <c r="E50" s="392" t="n"/>
      <c r="F50" s="392" t="n"/>
      <c r="G50" s="385" t="str">
        <f>IF($A50="","",IF($F50="",$E50,$F50))</f>
        <v/>
      </c>
      <c r="H50" s="391" t="n"/>
      <c r="I50" s="391" t="n"/>
      <c r="J50" s="386" t="n"/>
      <c r="K50" s="391" t="n"/>
      <c r="L50" s="391" t="n"/>
      <c r="M50" s="391" t="n"/>
      <c r="N50" s="391" t="n"/>
      <c r="O50" s="391" t="n"/>
      <c r="P50" s="415" t="str">
        <f>IF($A50="","",$A50-Settings!$B$9)</f>
        <v/>
      </c>
      <c r="Q50" s="307" t="str">
        <f>IF($A50="","",IF($I50="Yes","Settled",IF($P50&lt;0,"OVERDUE",IF($P50&lt;=3,"DUE ≤3 DAYS",IF($P50&lt;=7,"DUE ≤7 DAYS","Scheduled")))))</f>
        <v/>
      </c>
      <c r="R50" s="396" t="n"/>
      <c r="S50" s="417">
        <f>IF(OR($A50="",$I50="Yes",$D50&lt;&gt;"Outflow",$H50&lt;&gt;"AED"),99999+ROW()/1000000,$P50+ROW()/1000000)</f>
        <v>99999.00005</v>
      </c>
      <c r="T50" s="418">
        <f>IF(OR($A50="",$I50="Yes",$D50&lt;&gt;"Outflow",$H50&lt;&gt;"AED",$A50&gt;Settings!$B$21),-1-ROW()/1000000,$G50+ROW()/1000000)</f>
        <v>-1.00005</v>
      </c>
    </row>
    <row r="51" ht="15" customHeight="1" s="278">
      <c r="A51" s="386" t="n"/>
      <c r="B51" s="391" t="n"/>
      <c r="C51" s="391" t="n"/>
      <c r="D51" s="391" t="n"/>
      <c r="E51" s="392" t="n"/>
      <c r="F51" s="392" t="n"/>
      <c r="G51" s="385" t="str">
        <f>IF($A51="","",IF($F51="",$E51,$F51))</f>
        <v/>
      </c>
      <c r="H51" s="391" t="n"/>
      <c r="I51" s="391" t="n"/>
      <c r="J51" s="386" t="n"/>
      <c r="K51" s="391" t="n"/>
      <c r="L51" s="391" t="n"/>
      <c r="M51" s="391" t="n"/>
      <c r="N51" s="391" t="n"/>
      <c r="O51" s="391" t="n"/>
      <c r="P51" s="415" t="str">
        <f>IF($A51="","",$A51-Settings!$B$9)</f>
        <v/>
      </c>
      <c r="Q51" s="307" t="str">
        <f>IF($A51="","",IF($I51="Yes","Settled",IF($P51&lt;0,"OVERDUE",IF($P51&lt;=3,"DUE ≤3 DAYS",IF($P51&lt;=7,"DUE ≤7 DAYS","Scheduled")))))</f>
        <v/>
      </c>
      <c r="R51" s="396" t="n"/>
      <c r="S51" s="417">
        <f>IF(OR($A51="",$I51="Yes",$D51&lt;&gt;"Outflow",$H51&lt;&gt;"AED"),99999+ROW()/1000000,$P51+ROW()/1000000)</f>
        <v>99999.000051</v>
      </c>
      <c r="T51" s="418">
        <f>IF(OR($A51="",$I51="Yes",$D51&lt;&gt;"Outflow",$H51&lt;&gt;"AED",$A51&gt;Settings!$B$21),-1-ROW()/1000000,$G51+ROW()/1000000)</f>
        <v>-1.000051</v>
      </c>
    </row>
    <row r="52" ht="15" customHeight="1" s="278">
      <c r="A52" s="386" t="n"/>
      <c r="B52" s="391" t="n"/>
      <c r="C52" s="391" t="n"/>
      <c r="D52" s="391" t="n"/>
      <c r="E52" s="392" t="n"/>
      <c r="F52" s="392" t="n"/>
      <c r="G52" s="385" t="str">
        <f>IF($A52="","",IF($F52="",$E52,$F52))</f>
        <v/>
      </c>
      <c r="H52" s="391" t="n"/>
      <c r="I52" s="391" t="n"/>
      <c r="J52" s="386" t="n"/>
      <c r="K52" s="391" t="n"/>
      <c r="L52" s="391" t="n"/>
      <c r="M52" s="391" t="n"/>
      <c r="N52" s="391" t="n"/>
      <c r="O52" s="391" t="n"/>
      <c r="P52" s="415" t="str">
        <f>IF($A52="","",$A52-Settings!$B$9)</f>
        <v/>
      </c>
      <c r="Q52" s="307" t="str">
        <f>IF($A52="","",IF($I52="Yes","Settled",IF($P52&lt;0,"OVERDUE",IF($P52&lt;=3,"DUE ≤3 DAYS",IF($P52&lt;=7,"DUE ≤7 DAYS","Scheduled")))))</f>
        <v/>
      </c>
      <c r="R52" s="396" t="n"/>
      <c r="S52" s="417">
        <f>IF(OR($A52="",$I52="Yes",$D52&lt;&gt;"Outflow",$H52&lt;&gt;"AED"),99999+ROW()/1000000,$P52+ROW()/1000000)</f>
        <v>99999.000052</v>
      </c>
      <c r="T52" s="418">
        <f>IF(OR($A52="",$I52="Yes",$D52&lt;&gt;"Outflow",$H52&lt;&gt;"AED",$A52&gt;Settings!$B$21),-1-ROW()/1000000,$G52+ROW()/1000000)</f>
        <v>-1.000052</v>
      </c>
    </row>
    <row r="53" ht="15" customHeight="1" s="278">
      <c r="A53" s="386" t="n"/>
      <c r="B53" s="391" t="n"/>
      <c r="C53" s="391" t="n"/>
      <c r="D53" s="391" t="n"/>
      <c r="E53" s="392" t="n"/>
      <c r="F53" s="392" t="n"/>
      <c r="G53" s="385" t="str">
        <f>IF($A53="","",IF($F53="",$E53,$F53))</f>
        <v/>
      </c>
      <c r="H53" s="391" t="n"/>
      <c r="I53" s="391" t="n"/>
      <c r="J53" s="386" t="n"/>
      <c r="K53" s="391" t="n"/>
      <c r="L53" s="391" t="n"/>
      <c r="M53" s="391" t="n"/>
      <c r="N53" s="391" t="n"/>
      <c r="O53" s="391" t="n"/>
      <c r="P53" s="415" t="str">
        <f>IF($A53="","",$A53-Settings!$B$9)</f>
        <v/>
      </c>
      <c r="Q53" s="307" t="str">
        <f>IF($A53="","",IF($I53="Yes","Settled",IF($P53&lt;0,"OVERDUE",IF($P53&lt;=3,"DUE ≤3 DAYS",IF($P53&lt;=7,"DUE ≤7 DAYS","Scheduled")))))</f>
        <v/>
      </c>
      <c r="R53" s="396" t="n"/>
      <c r="S53" s="417">
        <f>IF(OR($A53="",$I53="Yes",$D53&lt;&gt;"Outflow",$H53&lt;&gt;"AED"),99999+ROW()/1000000,$P53+ROW()/1000000)</f>
        <v>99999.000053</v>
      </c>
      <c r="T53" s="418">
        <f>IF(OR($A53="",$I53="Yes",$D53&lt;&gt;"Outflow",$H53&lt;&gt;"AED",$A53&gt;Settings!$B$21),-1-ROW()/1000000,$G53+ROW()/1000000)</f>
        <v>-1.000053</v>
      </c>
    </row>
    <row r="54" ht="15" customHeight="1" s="278">
      <c r="A54" s="386" t="n"/>
      <c r="B54" s="391" t="n"/>
      <c r="C54" s="391" t="n"/>
      <c r="D54" s="391" t="n"/>
      <c r="E54" s="392" t="n"/>
      <c r="F54" s="392" t="n"/>
      <c r="G54" s="385" t="str">
        <f>IF($A54="","",IF($F54="",$E54,$F54))</f>
        <v/>
      </c>
      <c r="H54" s="391" t="n"/>
      <c r="I54" s="391" t="n"/>
      <c r="J54" s="386" t="n"/>
      <c r="K54" s="391" t="n"/>
      <c r="L54" s="391" t="n"/>
      <c r="M54" s="391" t="n"/>
      <c r="N54" s="391" t="n"/>
      <c r="O54" s="391" t="n"/>
      <c r="P54" s="415" t="str">
        <f>IF($A54="","",$A54-Settings!$B$9)</f>
        <v/>
      </c>
      <c r="Q54" s="307" t="str">
        <f>IF($A54="","",IF($I54="Yes","Settled",IF($P54&lt;0,"OVERDUE",IF($P54&lt;=3,"DUE ≤3 DAYS",IF($P54&lt;=7,"DUE ≤7 DAYS","Scheduled")))))</f>
        <v/>
      </c>
      <c r="R54" s="396" t="n"/>
      <c r="S54" s="417">
        <f>IF(OR($A54="",$I54="Yes",$D54&lt;&gt;"Outflow",$H54&lt;&gt;"AED"),99999+ROW()/1000000,$P54+ROW()/1000000)</f>
        <v>99999.000054</v>
      </c>
      <c r="T54" s="418">
        <f>IF(OR($A54="",$I54="Yes",$D54&lt;&gt;"Outflow",$H54&lt;&gt;"AED",$A54&gt;Settings!$B$21),-1-ROW()/1000000,$G54+ROW()/1000000)</f>
        <v>-1.000054</v>
      </c>
    </row>
    <row r="55" ht="15" customHeight="1" s="278">
      <c r="A55" s="386" t="n"/>
      <c r="B55" s="391" t="n"/>
      <c r="C55" s="391" t="n"/>
      <c r="D55" s="391" t="n"/>
      <c r="E55" s="392" t="n"/>
      <c r="F55" s="392" t="n"/>
      <c r="G55" s="385" t="str">
        <f>IF($A55="","",IF($F55="",$E55,$F55))</f>
        <v/>
      </c>
      <c r="H55" s="391" t="n"/>
      <c r="I55" s="391" t="n"/>
      <c r="J55" s="386" t="n"/>
      <c r="K55" s="391" t="n"/>
      <c r="L55" s="391" t="n"/>
      <c r="M55" s="391" t="n"/>
      <c r="N55" s="391" t="n"/>
      <c r="O55" s="391" t="n"/>
      <c r="P55" s="415" t="str">
        <f>IF($A55="","",$A55-Settings!$B$9)</f>
        <v/>
      </c>
      <c r="Q55" s="307" t="str">
        <f>IF($A55="","",IF($I55="Yes","Settled",IF($P55&lt;0,"OVERDUE",IF($P55&lt;=3,"DUE ≤3 DAYS",IF($P55&lt;=7,"DUE ≤7 DAYS","Scheduled")))))</f>
        <v/>
      </c>
      <c r="R55" s="396" t="n"/>
      <c r="S55" s="417">
        <f>IF(OR($A55="",$I55="Yes",$D55&lt;&gt;"Outflow",$H55&lt;&gt;"AED"),99999+ROW()/1000000,$P55+ROW()/1000000)</f>
        <v>99999.000055</v>
      </c>
      <c r="T55" s="418">
        <f>IF(OR($A55="",$I55="Yes",$D55&lt;&gt;"Outflow",$H55&lt;&gt;"AED",$A55&gt;Settings!$B$21),-1-ROW()/1000000,$G55+ROW()/1000000)</f>
        <v>-1.000055</v>
      </c>
    </row>
    <row r="56" ht="15" customHeight="1" s="278">
      <c r="A56" s="386" t="n"/>
      <c r="B56" s="391" t="n"/>
      <c r="C56" s="391" t="n"/>
      <c r="D56" s="391" t="n"/>
      <c r="E56" s="392" t="n"/>
      <c r="F56" s="392" t="n"/>
      <c r="G56" s="385" t="str">
        <f>IF($A56="","",IF($F56="",$E56,$F56))</f>
        <v/>
      </c>
      <c r="H56" s="391" t="n"/>
      <c r="I56" s="391" t="n"/>
      <c r="J56" s="386" t="n"/>
      <c r="K56" s="391" t="n"/>
      <c r="L56" s="391" t="n"/>
      <c r="M56" s="391" t="n"/>
      <c r="N56" s="391" t="n"/>
      <c r="O56" s="391" t="n"/>
      <c r="P56" s="415" t="str">
        <f>IF($A56="","",$A56-Settings!$B$9)</f>
        <v/>
      </c>
      <c r="Q56" s="307" t="str">
        <f>IF($A56="","",IF($I56="Yes","Settled",IF($P56&lt;0,"OVERDUE",IF($P56&lt;=3,"DUE ≤3 DAYS",IF($P56&lt;=7,"DUE ≤7 DAYS","Scheduled")))))</f>
        <v/>
      </c>
      <c r="R56" s="396" t="n"/>
      <c r="S56" s="417">
        <f>IF(OR($A56="",$I56="Yes",$D56&lt;&gt;"Outflow",$H56&lt;&gt;"AED"),99999+ROW()/1000000,$P56+ROW()/1000000)</f>
        <v>99999.000056</v>
      </c>
      <c r="T56" s="418">
        <f>IF(OR($A56="",$I56="Yes",$D56&lt;&gt;"Outflow",$H56&lt;&gt;"AED",$A56&gt;Settings!$B$21),-1-ROW()/1000000,$G56+ROW()/1000000)</f>
        <v>-1.000056</v>
      </c>
    </row>
    <row r="57" ht="15" customHeight="1" s="278">
      <c r="A57" s="386" t="n"/>
      <c r="B57" s="391" t="n"/>
      <c r="C57" s="391" t="n"/>
      <c r="D57" s="391" t="n"/>
      <c r="E57" s="392" t="n"/>
      <c r="F57" s="392" t="n"/>
      <c r="G57" s="385" t="str">
        <f>IF($A57="","",IF($F57="",$E57,$F57))</f>
        <v/>
      </c>
      <c r="H57" s="391" t="n"/>
      <c r="I57" s="391" t="n"/>
      <c r="J57" s="386" t="n"/>
      <c r="K57" s="391" t="n"/>
      <c r="L57" s="391" t="n"/>
      <c r="M57" s="391" t="n"/>
      <c r="N57" s="391" t="n"/>
      <c r="O57" s="391" t="n"/>
      <c r="P57" s="415" t="str">
        <f>IF($A57="","",$A57-Settings!$B$9)</f>
        <v/>
      </c>
      <c r="Q57" s="307" t="str">
        <f>IF($A57="","",IF($I57="Yes","Settled",IF($P57&lt;0,"OVERDUE",IF($P57&lt;=3,"DUE ≤3 DAYS",IF($P57&lt;=7,"DUE ≤7 DAYS","Scheduled")))))</f>
        <v/>
      </c>
      <c r="R57" s="396" t="n"/>
      <c r="S57" s="417">
        <f>IF(OR($A57="",$I57="Yes",$D57&lt;&gt;"Outflow",$H57&lt;&gt;"AED"),99999+ROW()/1000000,$P57+ROW()/1000000)</f>
        <v>99999.000057</v>
      </c>
      <c r="T57" s="418">
        <f>IF(OR($A57="",$I57="Yes",$D57&lt;&gt;"Outflow",$H57&lt;&gt;"AED",$A57&gt;Settings!$B$21),-1-ROW()/1000000,$G57+ROW()/1000000)</f>
        <v>-1.000057</v>
      </c>
    </row>
    <row r="58" ht="15" customHeight="1" s="278">
      <c r="A58" s="386" t="n"/>
      <c r="B58" s="391" t="n"/>
      <c r="C58" s="391" t="n"/>
      <c r="D58" s="391" t="n"/>
      <c r="E58" s="392" t="n"/>
      <c r="F58" s="392" t="n"/>
      <c r="G58" s="385" t="str">
        <f>IF($A58="","",IF($F58="",$E58,$F58))</f>
        <v/>
      </c>
      <c r="H58" s="391" t="n"/>
      <c r="I58" s="391" t="n"/>
      <c r="J58" s="386" t="n"/>
      <c r="K58" s="391" t="n"/>
      <c r="L58" s="391" t="n"/>
      <c r="M58" s="391" t="n"/>
      <c r="N58" s="391" t="n"/>
      <c r="O58" s="391" t="n"/>
      <c r="P58" s="415" t="str">
        <f>IF($A58="","",$A58-Settings!$B$9)</f>
        <v/>
      </c>
      <c r="Q58" s="307" t="str">
        <f>IF($A58="","",IF($I58="Yes","Settled",IF($P58&lt;0,"OVERDUE",IF($P58&lt;=3,"DUE ≤3 DAYS",IF($P58&lt;=7,"DUE ≤7 DAYS","Scheduled")))))</f>
        <v/>
      </c>
      <c r="R58" s="396" t="n"/>
      <c r="S58" s="417">
        <f>IF(OR($A58="",$I58="Yes",$D58&lt;&gt;"Outflow",$H58&lt;&gt;"AED"),99999+ROW()/1000000,$P58+ROW()/1000000)</f>
        <v>99999.000058</v>
      </c>
      <c r="T58" s="418">
        <f>IF(OR($A58="",$I58="Yes",$D58&lt;&gt;"Outflow",$H58&lt;&gt;"AED",$A58&gt;Settings!$B$21),-1-ROW()/1000000,$G58+ROW()/1000000)</f>
        <v>-1.000058</v>
      </c>
    </row>
    <row r="59" ht="15" customHeight="1" s="278">
      <c r="A59" s="386" t="n"/>
      <c r="B59" s="391" t="n"/>
      <c r="C59" s="391" t="n"/>
      <c r="D59" s="391" t="n"/>
      <c r="E59" s="392" t="n"/>
      <c r="F59" s="392" t="n"/>
      <c r="G59" s="385" t="str">
        <f>IF($A59="","",IF($F59="",$E59,$F59))</f>
        <v/>
      </c>
      <c r="H59" s="391" t="n"/>
      <c r="I59" s="391" t="n"/>
      <c r="J59" s="386" t="n"/>
      <c r="K59" s="391" t="n"/>
      <c r="L59" s="391" t="n"/>
      <c r="M59" s="391" t="n"/>
      <c r="N59" s="391" t="n"/>
      <c r="O59" s="391" t="n"/>
      <c r="P59" s="415" t="str">
        <f>IF($A59="","",$A59-Settings!$B$9)</f>
        <v/>
      </c>
      <c r="Q59" s="307" t="str">
        <f>IF($A59="","",IF($I59="Yes","Settled",IF($P59&lt;0,"OVERDUE",IF($P59&lt;=3,"DUE ≤3 DAYS",IF($P59&lt;=7,"DUE ≤7 DAYS","Scheduled")))))</f>
        <v/>
      </c>
      <c r="R59" s="396" t="n"/>
      <c r="S59" s="417">
        <f>IF(OR($A59="",$I59="Yes",$D59&lt;&gt;"Outflow",$H59&lt;&gt;"AED"),99999+ROW()/1000000,$P59+ROW()/1000000)</f>
        <v>99999.000059</v>
      </c>
      <c r="T59" s="418">
        <f>IF(OR($A59="",$I59="Yes",$D59&lt;&gt;"Outflow",$H59&lt;&gt;"AED",$A59&gt;Settings!$B$21),-1-ROW()/1000000,$G59+ROW()/1000000)</f>
        <v>-1.000059</v>
      </c>
    </row>
    <row r="60" ht="15" customHeight="1" s="278">
      <c r="A60" s="386" t="n"/>
      <c r="B60" s="391" t="n"/>
      <c r="C60" s="391" t="n"/>
      <c r="D60" s="391" t="n"/>
      <c r="E60" s="392" t="n"/>
      <c r="F60" s="392" t="n"/>
      <c r="G60" s="385" t="str">
        <f>IF($A60="","",IF($F60="",$E60,$F60))</f>
        <v/>
      </c>
      <c r="H60" s="391" t="n"/>
      <c r="I60" s="391" t="n"/>
      <c r="J60" s="386" t="n"/>
      <c r="K60" s="391" t="n"/>
      <c r="L60" s="391" t="n"/>
      <c r="M60" s="391" t="n"/>
      <c r="N60" s="391" t="n"/>
      <c r="O60" s="391" t="n"/>
      <c r="P60" s="415" t="str">
        <f>IF($A60="","",$A60-Settings!$B$9)</f>
        <v/>
      </c>
      <c r="Q60" s="307" t="str">
        <f>IF($A60="","",IF($I60="Yes","Settled",IF($P60&lt;0,"OVERDUE",IF($P60&lt;=3,"DUE ≤3 DAYS",IF($P60&lt;=7,"DUE ≤7 DAYS","Scheduled")))))</f>
        <v/>
      </c>
      <c r="R60" s="396" t="n"/>
      <c r="S60" s="417">
        <f>IF(OR($A60="",$I60="Yes",$D60&lt;&gt;"Outflow",$H60&lt;&gt;"AED"),99999+ROW()/1000000,$P60+ROW()/1000000)</f>
        <v>99999.00006</v>
      </c>
      <c r="T60" s="418">
        <f>IF(OR($A60="",$I60="Yes",$D60&lt;&gt;"Outflow",$H60&lt;&gt;"AED",$A60&gt;Settings!$B$21),-1-ROW()/1000000,$G60+ROW()/1000000)</f>
        <v>-1.00006</v>
      </c>
    </row>
    <row r="61" ht="15" customHeight="1" s="278">
      <c r="A61" s="386" t="n"/>
      <c r="B61" s="391" t="n"/>
      <c r="C61" s="391" t="n"/>
      <c r="D61" s="391" t="n"/>
      <c r="E61" s="392" t="n"/>
      <c r="F61" s="392" t="n"/>
      <c r="G61" s="385" t="str">
        <f>IF($A61="","",IF($F61="",$E61,$F61))</f>
        <v/>
      </c>
      <c r="H61" s="391" t="n"/>
      <c r="I61" s="391" t="n"/>
      <c r="J61" s="386" t="n"/>
      <c r="K61" s="391" t="n"/>
      <c r="L61" s="391" t="n"/>
      <c r="M61" s="391" t="n"/>
      <c r="N61" s="391" t="n"/>
      <c r="O61" s="391" t="n"/>
      <c r="P61" s="415" t="str">
        <f>IF($A61="","",$A61-Settings!$B$9)</f>
        <v/>
      </c>
      <c r="Q61" s="307" t="str">
        <f>IF($A61="","",IF($I61="Yes","Settled",IF($P61&lt;0,"OVERDUE",IF($P61&lt;=3,"DUE ≤3 DAYS",IF($P61&lt;=7,"DUE ≤7 DAYS","Scheduled")))))</f>
        <v/>
      </c>
      <c r="R61" s="396" t="n"/>
      <c r="S61" s="417">
        <f>IF(OR($A61="",$I61="Yes",$D61&lt;&gt;"Outflow",$H61&lt;&gt;"AED"),99999+ROW()/1000000,$P61+ROW()/1000000)</f>
        <v>99999.000061</v>
      </c>
      <c r="T61" s="418">
        <f>IF(OR($A61="",$I61="Yes",$D61&lt;&gt;"Outflow",$H61&lt;&gt;"AED",$A61&gt;Settings!$B$21),-1-ROW()/1000000,$G61+ROW()/1000000)</f>
        <v>-1.000061</v>
      </c>
    </row>
    <row r="62" ht="15" customHeight="1" s="278">
      <c r="A62" s="386" t="n"/>
      <c r="B62" s="391" t="n"/>
      <c r="C62" s="391" t="n"/>
      <c r="D62" s="391" t="n"/>
      <c r="E62" s="392" t="n"/>
      <c r="F62" s="392" t="n"/>
      <c r="G62" s="385" t="str">
        <f>IF($A62="","",IF($F62="",$E62,$F62))</f>
        <v/>
      </c>
      <c r="H62" s="391" t="n"/>
      <c r="I62" s="391" t="n"/>
      <c r="J62" s="386" t="n"/>
      <c r="K62" s="391" t="n"/>
      <c r="L62" s="391" t="n"/>
      <c r="M62" s="391" t="n"/>
      <c r="N62" s="391" t="n"/>
      <c r="O62" s="391" t="n"/>
      <c r="P62" s="415" t="str">
        <f>IF($A62="","",$A62-Settings!$B$9)</f>
        <v/>
      </c>
      <c r="Q62" s="307" t="str">
        <f>IF($A62="","",IF($I62="Yes","Settled",IF($P62&lt;0,"OVERDUE",IF($P62&lt;=3,"DUE ≤3 DAYS",IF($P62&lt;=7,"DUE ≤7 DAYS","Scheduled")))))</f>
        <v/>
      </c>
      <c r="R62" s="396" t="n"/>
      <c r="S62" s="417">
        <f>IF(OR($A62="",$I62="Yes",$D62&lt;&gt;"Outflow",$H62&lt;&gt;"AED"),99999+ROW()/1000000,$P62+ROW()/1000000)</f>
        <v>99999.000062</v>
      </c>
      <c r="T62" s="418">
        <f>IF(OR($A62="",$I62="Yes",$D62&lt;&gt;"Outflow",$H62&lt;&gt;"AED",$A62&gt;Settings!$B$21),-1-ROW()/1000000,$G62+ROW()/1000000)</f>
        <v>-1.000062</v>
      </c>
    </row>
    <row r="63" ht="15" customHeight="1" s="278">
      <c r="A63" s="386" t="n"/>
      <c r="B63" s="391" t="n"/>
      <c r="C63" s="391" t="n"/>
      <c r="D63" s="391" t="n"/>
      <c r="E63" s="392" t="n"/>
      <c r="F63" s="392" t="n"/>
      <c r="G63" s="385" t="str">
        <f>IF($A63="","",IF($F63="",$E63,$F63))</f>
        <v/>
      </c>
      <c r="H63" s="391" t="n"/>
      <c r="I63" s="391" t="n"/>
      <c r="J63" s="386" t="n"/>
      <c r="K63" s="391" t="n"/>
      <c r="L63" s="391" t="n"/>
      <c r="M63" s="391" t="n"/>
      <c r="N63" s="391" t="n"/>
      <c r="O63" s="391" t="n"/>
      <c r="P63" s="415" t="str">
        <f>IF($A63="","",$A63-Settings!$B$9)</f>
        <v/>
      </c>
      <c r="Q63" s="307" t="str">
        <f>IF($A63="","",IF($I63="Yes","Settled",IF($P63&lt;0,"OVERDUE",IF($P63&lt;=3,"DUE ≤3 DAYS",IF($P63&lt;=7,"DUE ≤7 DAYS","Scheduled")))))</f>
        <v/>
      </c>
      <c r="R63" s="396" t="n"/>
      <c r="S63" s="417">
        <f>IF(OR($A63="",$I63="Yes",$D63&lt;&gt;"Outflow",$H63&lt;&gt;"AED"),99999+ROW()/1000000,$P63+ROW()/1000000)</f>
        <v>99999.000063</v>
      </c>
      <c r="T63" s="418">
        <f>IF(OR($A63="",$I63="Yes",$D63&lt;&gt;"Outflow",$H63&lt;&gt;"AED",$A63&gt;Settings!$B$21),-1-ROW()/1000000,$G63+ROW()/1000000)</f>
        <v>-1.000063</v>
      </c>
    </row>
    <row r="64" ht="15" customHeight="1" s="278">
      <c r="A64" s="386" t="n"/>
      <c r="B64" s="391" t="n"/>
      <c r="C64" s="391" t="n"/>
      <c r="D64" s="391" t="n"/>
      <c r="E64" s="392" t="n"/>
      <c r="F64" s="392" t="n"/>
      <c r="G64" s="385" t="str">
        <f>IF($A64="","",IF($F64="",$E64,$F64))</f>
        <v/>
      </c>
      <c r="H64" s="391" t="n"/>
      <c r="I64" s="391" t="n"/>
      <c r="J64" s="386" t="n"/>
      <c r="K64" s="391" t="n"/>
      <c r="L64" s="391" t="n"/>
      <c r="M64" s="391" t="n"/>
      <c r="N64" s="391" t="n"/>
      <c r="O64" s="391" t="n"/>
      <c r="P64" s="415" t="str">
        <f>IF($A64="","",$A64-Settings!$B$9)</f>
        <v/>
      </c>
      <c r="Q64" s="307" t="str">
        <f>IF($A64="","",IF($I64="Yes","Settled",IF($P64&lt;0,"OVERDUE",IF($P64&lt;=3,"DUE ≤3 DAYS",IF($P64&lt;=7,"DUE ≤7 DAYS","Scheduled")))))</f>
        <v/>
      </c>
      <c r="R64" s="396" t="n"/>
      <c r="S64" s="417">
        <f>IF(OR($A64="",$I64="Yes",$D64&lt;&gt;"Outflow",$H64&lt;&gt;"AED"),99999+ROW()/1000000,$P64+ROW()/1000000)</f>
        <v>99999.000064</v>
      </c>
      <c r="T64" s="418">
        <f>IF(OR($A64="",$I64="Yes",$D64&lt;&gt;"Outflow",$H64&lt;&gt;"AED",$A64&gt;Settings!$B$21),-1-ROW()/1000000,$G64+ROW()/1000000)</f>
        <v>-1.000064</v>
      </c>
    </row>
    <row r="65" ht="15" customHeight="1" s="278">
      <c r="A65" s="386" t="n"/>
      <c r="B65" s="391" t="n"/>
      <c r="C65" s="391" t="n"/>
      <c r="D65" s="391" t="n"/>
      <c r="E65" s="392" t="n"/>
      <c r="F65" s="392" t="n"/>
      <c r="G65" s="385" t="str">
        <f>IF($A65="","",IF($F65="",$E65,$F65))</f>
        <v/>
      </c>
      <c r="H65" s="391" t="n"/>
      <c r="I65" s="391" t="n"/>
      <c r="J65" s="386" t="n"/>
      <c r="K65" s="391" t="n"/>
      <c r="L65" s="391" t="n"/>
      <c r="M65" s="391" t="n"/>
      <c r="N65" s="391" t="n"/>
      <c r="O65" s="391" t="n"/>
      <c r="P65" s="415" t="str">
        <f>IF($A65="","",$A65-Settings!$B$9)</f>
        <v/>
      </c>
      <c r="Q65" s="307" t="str">
        <f>IF($A65="","",IF($I65="Yes","Settled",IF($P65&lt;0,"OVERDUE",IF($P65&lt;=3,"DUE ≤3 DAYS",IF($P65&lt;=7,"DUE ≤7 DAYS","Scheduled")))))</f>
        <v/>
      </c>
      <c r="R65" s="396" t="n"/>
      <c r="S65" s="417">
        <f>IF(OR($A65="",$I65="Yes",$D65&lt;&gt;"Outflow",$H65&lt;&gt;"AED"),99999+ROW()/1000000,$P65+ROW()/1000000)</f>
        <v>99999.000065</v>
      </c>
      <c r="T65" s="418">
        <f>IF(OR($A65="",$I65="Yes",$D65&lt;&gt;"Outflow",$H65&lt;&gt;"AED",$A65&gt;Settings!$B$21),-1-ROW()/1000000,$G65+ROW()/1000000)</f>
        <v>-1.000065</v>
      </c>
    </row>
    <row r="66" ht="15" customHeight="1" s="278">
      <c r="A66" s="386" t="n"/>
      <c r="B66" s="391" t="n"/>
      <c r="C66" s="391" t="n"/>
      <c r="D66" s="391" t="n"/>
      <c r="E66" s="392" t="n"/>
      <c r="F66" s="392" t="n"/>
      <c r="G66" s="385" t="str">
        <f>IF($A66="","",IF($F66="",$E66,$F66))</f>
        <v/>
      </c>
      <c r="H66" s="391" t="n"/>
      <c r="I66" s="391" t="n"/>
      <c r="J66" s="386" t="n"/>
      <c r="K66" s="391" t="n"/>
      <c r="L66" s="391" t="n"/>
      <c r="M66" s="391" t="n"/>
      <c r="N66" s="391" t="n"/>
      <c r="O66" s="391" t="n"/>
      <c r="P66" s="415" t="str">
        <f>IF($A66="","",$A66-Settings!$B$9)</f>
        <v/>
      </c>
      <c r="Q66" s="307" t="str">
        <f>IF($A66="","",IF($I66="Yes","Settled",IF($P66&lt;0,"OVERDUE",IF($P66&lt;=3,"DUE ≤3 DAYS",IF($P66&lt;=7,"DUE ≤7 DAYS","Scheduled")))))</f>
        <v/>
      </c>
      <c r="R66" s="396" t="n"/>
      <c r="S66" s="417">
        <f>IF(OR($A66="",$I66="Yes",$D66&lt;&gt;"Outflow",$H66&lt;&gt;"AED"),99999+ROW()/1000000,$P66+ROW()/1000000)</f>
        <v>99999.000066</v>
      </c>
      <c r="T66" s="418">
        <f>IF(OR($A66="",$I66="Yes",$D66&lt;&gt;"Outflow",$H66&lt;&gt;"AED",$A66&gt;Settings!$B$21),-1-ROW()/1000000,$G66+ROW()/1000000)</f>
        <v>-1.000066</v>
      </c>
    </row>
    <row r="67" ht="15" customHeight="1" s="278">
      <c r="A67" s="386" t="n"/>
      <c r="B67" s="391" t="n"/>
      <c r="C67" s="391" t="n"/>
      <c r="D67" s="391" t="n"/>
      <c r="E67" s="392" t="n"/>
      <c r="F67" s="392" t="n"/>
      <c r="G67" s="385" t="str">
        <f>IF($A67="","",IF($F67="",$E67,$F67))</f>
        <v/>
      </c>
      <c r="H67" s="391" t="n"/>
      <c r="I67" s="391" t="n"/>
      <c r="J67" s="386" t="n"/>
      <c r="K67" s="391" t="n"/>
      <c r="L67" s="391" t="n"/>
      <c r="M67" s="391" t="n"/>
      <c r="N67" s="391" t="n"/>
      <c r="O67" s="391" t="n"/>
      <c r="P67" s="415" t="str">
        <f>IF($A67="","",$A67-Settings!$B$9)</f>
        <v/>
      </c>
      <c r="Q67" s="307" t="str">
        <f>IF($A67="","",IF($I67="Yes","Settled",IF($P67&lt;0,"OVERDUE",IF($P67&lt;=3,"DUE ≤3 DAYS",IF($P67&lt;=7,"DUE ≤7 DAYS","Scheduled")))))</f>
        <v/>
      </c>
      <c r="R67" s="396" t="n"/>
      <c r="S67" s="417">
        <f>IF(OR($A67="",$I67="Yes",$D67&lt;&gt;"Outflow",$H67&lt;&gt;"AED"),99999+ROW()/1000000,$P67+ROW()/1000000)</f>
        <v>99999.000067</v>
      </c>
      <c r="T67" s="418">
        <f>IF(OR($A67="",$I67="Yes",$D67&lt;&gt;"Outflow",$H67&lt;&gt;"AED",$A67&gt;Settings!$B$21),-1-ROW()/1000000,$G67+ROW()/1000000)</f>
        <v>-1.000067</v>
      </c>
    </row>
    <row r="68" ht="15" customHeight="1" s="278">
      <c r="A68" s="386" t="n"/>
      <c r="B68" s="391" t="n"/>
      <c r="C68" s="391" t="n"/>
      <c r="D68" s="391" t="n"/>
      <c r="E68" s="392" t="n"/>
      <c r="F68" s="392" t="n"/>
      <c r="G68" s="385" t="str">
        <f>IF($A68="","",IF($F68="",$E68,$F68))</f>
        <v/>
      </c>
      <c r="H68" s="391" t="n"/>
      <c r="I68" s="391" t="n"/>
      <c r="J68" s="386" t="n"/>
      <c r="K68" s="391" t="n"/>
      <c r="L68" s="391" t="n"/>
      <c r="M68" s="391" t="n"/>
      <c r="N68" s="391" t="n"/>
      <c r="O68" s="391" t="n"/>
      <c r="P68" s="415" t="str">
        <f>IF($A68="","",$A68-Settings!$B$9)</f>
        <v/>
      </c>
      <c r="Q68" s="307" t="str">
        <f>IF($A68="","",IF($I68="Yes","Settled",IF($P68&lt;0,"OVERDUE",IF($P68&lt;=3,"DUE ≤3 DAYS",IF($P68&lt;=7,"DUE ≤7 DAYS","Scheduled")))))</f>
        <v/>
      </c>
      <c r="R68" s="396" t="n"/>
      <c r="S68" s="417">
        <f>IF(OR($A68="",$I68="Yes",$D68&lt;&gt;"Outflow",$H68&lt;&gt;"AED"),99999+ROW()/1000000,$P68+ROW()/1000000)</f>
        <v>99999.000068</v>
      </c>
      <c r="T68" s="418">
        <f>IF(OR($A68="",$I68="Yes",$D68&lt;&gt;"Outflow",$H68&lt;&gt;"AED",$A68&gt;Settings!$B$21),-1-ROW()/1000000,$G68+ROW()/1000000)</f>
        <v>-1.000068</v>
      </c>
    </row>
    <row r="69" ht="15" customHeight="1" s="278">
      <c r="A69" s="386" t="n"/>
      <c r="B69" s="391" t="n"/>
      <c r="C69" s="391" t="n"/>
      <c r="D69" s="391" t="n"/>
      <c r="E69" s="392" t="n"/>
      <c r="F69" s="392" t="n"/>
      <c r="G69" s="385" t="str">
        <f>IF($A69="","",IF($F69="",$E69,$F69))</f>
        <v/>
      </c>
      <c r="H69" s="391" t="n"/>
      <c r="I69" s="391" t="n"/>
      <c r="J69" s="386" t="n"/>
      <c r="K69" s="391" t="n"/>
      <c r="L69" s="391" t="n"/>
      <c r="M69" s="391" t="n"/>
      <c r="N69" s="391" t="n"/>
      <c r="O69" s="391" t="n"/>
      <c r="P69" s="415" t="str">
        <f>IF($A69="","",$A69-Settings!$B$9)</f>
        <v/>
      </c>
      <c r="Q69" s="307" t="str">
        <f>IF($A69="","",IF($I69="Yes","Settled",IF($P69&lt;0,"OVERDUE",IF($P69&lt;=3,"DUE ≤3 DAYS",IF($P69&lt;=7,"DUE ≤7 DAYS","Scheduled")))))</f>
        <v/>
      </c>
      <c r="R69" s="396" t="n"/>
      <c r="S69" s="417">
        <f>IF(OR($A69="",$I69="Yes",$D69&lt;&gt;"Outflow",$H69&lt;&gt;"AED"),99999+ROW()/1000000,$P69+ROW()/1000000)</f>
        <v>99999.000069</v>
      </c>
      <c r="T69" s="418">
        <f>IF(OR($A69="",$I69="Yes",$D69&lt;&gt;"Outflow",$H69&lt;&gt;"AED",$A69&gt;Settings!$B$21),-1-ROW()/1000000,$G69+ROW()/1000000)</f>
        <v>-1.000069</v>
      </c>
    </row>
    <row r="70" ht="15" customHeight="1" s="278">
      <c r="A70" s="386" t="n"/>
      <c r="B70" s="391" t="n"/>
      <c r="C70" s="391" t="n"/>
      <c r="D70" s="391" t="n"/>
      <c r="E70" s="392" t="n"/>
      <c r="F70" s="392" t="n"/>
      <c r="G70" s="385" t="str">
        <f>IF($A70="","",IF($F70="",$E70,$F70))</f>
        <v/>
      </c>
      <c r="H70" s="391" t="n"/>
      <c r="I70" s="391" t="n"/>
      <c r="J70" s="386" t="n"/>
      <c r="K70" s="391" t="n"/>
      <c r="L70" s="391" t="n"/>
      <c r="M70" s="391" t="n"/>
      <c r="N70" s="391" t="n"/>
      <c r="O70" s="391" t="n"/>
      <c r="P70" s="415" t="str">
        <f>IF($A70="","",$A70-Settings!$B$9)</f>
        <v/>
      </c>
      <c r="Q70" s="307" t="str">
        <f>IF($A70="","",IF($I70="Yes","Settled",IF($P70&lt;0,"OVERDUE",IF($P70&lt;=3,"DUE ≤3 DAYS",IF($P70&lt;=7,"DUE ≤7 DAYS","Scheduled")))))</f>
        <v/>
      </c>
      <c r="R70" s="396" t="n"/>
      <c r="S70" s="417">
        <f>IF(OR($A70="",$I70="Yes",$D70&lt;&gt;"Outflow",$H70&lt;&gt;"AED"),99999+ROW()/1000000,$P70+ROW()/1000000)</f>
        <v>99999.00007</v>
      </c>
      <c r="T70" s="418">
        <f>IF(OR($A70="",$I70="Yes",$D70&lt;&gt;"Outflow",$H70&lt;&gt;"AED",$A70&gt;Settings!$B$21),-1-ROW()/1000000,$G70+ROW()/1000000)</f>
        <v>-1.00007</v>
      </c>
    </row>
    <row r="71" ht="15" customHeight="1" s="278">
      <c r="A71" s="386" t="n"/>
      <c r="B71" s="391" t="n"/>
      <c r="C71" s="391" t="n"/>
      <c r="D71" s="391" t="n"/>
      <c r="E71" s="392" t="n"/>
      <c r="F71" s="392" t="n"/>
      <c r="G71" s="385" t="str">
        <f>IF($A71="","",IF($F71="",$E71,$F71))</f>
        <v/>
      </c>
      <c r="H71" s="391" t="n"/>
      <c r="I71" s="391" t="n"/>
      <c r="J71" s="386" t="n"/>
      <c r="K71" s="391" t="n"/>
      <c r="L71" s="391" t="n"/>
      <c r="M71" s="391" t="n"/>
      <c r="N71" s="391" t="n"/>
      <c r="O71" s="391" t="n"/>
      <c r="P71" s="415" t="str">
        <f>IF($A71="","",$A71-Settings!$B$9)</f>
        <v/>
      </c>
      <c r="Q71" s="307" t="str">
        <f>IF($A71="","",IF($I71="Yes","Settled",IF($P71&lt;0,"OVERDUE",IF($P71&lt;=3,"DUE ≤3 DAYS",IF($P71&lt;=7,"DUE ≤7 DAYS","Scheduled")))))</f>
        <v/>
      </c>
      <c r="R71" s="396" t="n"/>
      <c r="S71" s="417">
        <f>IF(OR($A71="",$I71="Yes",$D71&lt;&gt;"Outflow",$H71&lt;&gt;"AED"),99999+ROW()/1000000,$P71+ROW()/1000000)</f>
        <v>99999.000071</v>
      </c>
      <c r="T71" s="418">
        <f>IF(OR($A71="",$I71="Yes",$D71&lt;&gt;"Outflow",$H71&lt;&gt;"AED",$A71&gt;Settings!$B$21),-1-ROW()/1000000,$G71+ROW()/1000000)</f>
        <v>-1.000071</v>
      </c>
    </row>
    <row r="72" ht="15" customHeight="1" s="278">
      <c r="A72" s="386" t="n"/>
      <c r="B72" s="391" t="n"/>
      <c r="C72" s="391" t="n"/>
      <c r="D72" s="391" t="n"/>
      <c r="E72" s="392" t="n"/>
      <c r="F72" s="392" t="n"/>
      <c r="G72" s="385" t="str">
        <f>IF($A72="","",IF($F72="",$E72,$F72))</f>
        <v/>
      </c>
      <c r="H72" s="391" t="n"/>
      <c r="I72" s="391" t="n"/>
      <c r="J72" s="386" t="n"/>
      <c r="K72" s="391" t="n"/>
      <c r="L72" s="391" t="n"/>
      <c r="M72" s="391" t="n"/>
      <c r="N72" s="391" t="n"/>
      <c r="O72" s="391" t="n"/>
      <c r="P72" s="415" t="str">
        <f>IF($A72="","",$A72-Settings!$B$9)</f>
        <v/>
      </c>
      <c r="Q72" s="307" t="str">
        <f>IF($A72="","",IF($I72="Yes","Settled",IF($P72&lt;0,"OVERDUE",IF($P72&lt;=3,"DUE ≤3 DAYS",IF($P72&lt;=7,"DUE ≤7 DAYS","Scheduled")))))</f>
        <v/>
      </c>
      <c r="R72" s="396" t="n"/>
      <c r="S72" s="417">
        <f>IF(OR($A72="",$I72="Yes",$D72&lt;&gt;"Outflow",$H72&lt;&gt;"AED"),99999+ROW()/1000000,$P72+ROW()/1000000)</f>
        <v>99999.000072</v>
      </c>
      <c r="T72" s="418">
        <f>IF(OR($A72="",$I72="Yes",$D72&lt;&gt;"Outflow",$H72&lt;&gt;"AED",$A72&gt;Settings!$B$21),-1-ROW()/1000000,$G72+ROW()/1000000)</f>
        <v>-1.000072</v>
      </c>
    </row>
    <row r="73" ht="15" customHeight="1" s="278">
      <c r="A73" s="386" t="n"/>
      <c r="B73" s="391" t="n"/>
      <c r="C73" s="391" t="n"/>
      <c r="D73" s="391" t="n"/>
      <c r="E73" s="392" t="n"/>
      <c r="F73" s="392" t="n"/>
      <c r="G73" s="385" t="str">
        <f>IF($A73="","",IF($F73="",$E73,$F73))</f>
        <v/>
      </c>
      <c r="H73" s="391" t="n"/>
      <c r="I73" s="391" t="n"/>
      <c r="J73" s="386" t="n"/>
      <c r="K73" s="391" t="n"/>
      <c r="L73" s="391" t="n"/>
      <c r="M73" s="391" t="n"/>
      <c r="N73" s="391" t="n"/>
      <c r="O73" s="391" t="n"/>
      <c r="P73" s="415" t="str">
        <f>IF($A73="","",$A73-Settings!$B$9)</f>
        <v/>
      </c>
      <c r="Q73" s="307" t="str">
        <f>IF($A73="","",IF($I73="Yes","Settled",IF($P73&lt;0,"OVERDUE",IF($P73&lt;=3,"DUE ≤3 DAYS",IF($P73&lt;=7,"DUE ≤7 DAYS","Scheduled")))))</f>
        <v/>
      </c>
      <c r="R73" s="396" t="n"/>
      <c r="S73" s="417">
        <f>IF(OR($A73="",$I73="Yes",$D73&lt;&gt;"Outflow",$H73&lt;&gt;"AED"),99999+ROW()/1000000,$P73+ROW()/1000000)</f>
        <v>99999.000073</v>
      </c>
      <c r="T73" s="418">
        <f>IF(OR($A73="",$I73="Yes",$D73&lt;&gt;"Outflow",$H73&lt;&gt;"AED",$A73&gt;Settings!$B$21),-1-ROW()/1000000,$G73+ROW()/1000000)</f>
        <v>-1.000073</v>
      </c>
    </row>
    <row r="74" ht="15" customHeight="1" s="278">
      <c r="A74" s="386" t="n"/>
      <c r="B74" s="391" t="n"/>
      <c r="C74" s="391" t="n"/>
      <c r="D74" s="391" t="n"/>
      <c r="E74" s="392" t="n"/>
      <c r="F74" s="392" t="n"/>
      <c r="G74" s="385" t="str">
        <f>IF($A74="","",IF($F74="",$E74,$F74))</f>
        <v/>
      </c>
      <c r="H74" s="391" t="n"/>
      <c r="I74" s="391" t="n"/>
      <c r="J74" s="386" t="n"/>
      <c r="K74" s="391" t="n"/>
      <c r="L74" s="391" t="n"/>
      <c r="M74" s="391" t="n"/>
      <c r="N74" s="391" t="n"/>
      <c r="O74" s="391" t="n"/>
      <c r="P74" s="415" t="str">
        <f>IF($A74="","",$A74-Settings!$B$9)</f>
        <v/>
      </c>
      <c r="Q74" s="307" t="str">
        <f>IF($A74="","",IF($I74="Yes","Settled",IF($P74&lt;0,"OVERDUE",IF($P74&lt;=3,"DUE ≤3 DAYS",IF($P74&lt;=7,"DUE ≤7 DAYS","Scheduled")))))</f>
        <v/>
      </c>
      <c r="R74" s="396" t="n"/>
      <c r="S74" s="417">
        <f>IF(OR($A74="",$I74="Yes",$D74&lt;&gt;"Outflow",$H74&lt;&gt;"AED"),99999+ROW()/1000000,$P74+ROW()/1000000)</f>
        <v>99999.000074</v>
      </c>
      <c r="T74" s="418">
        <f>IF(OR($A74="",$I74="Yes",$D74&lt;&gt;"Outflow",$H74&lt;&gt;"AED",$A74&gt;Settings!$B$21),-1-ROW()/1000000,$G74+ROW()/1000000)</f>
        <v>-1.000074</v>
      </c>
    </row>
    <row r="75" ht="15" customHeight="1" s="278">
      <c r="A75" s="386" t="n"/>
      <c r="B75" s="391" t="n"/>
      <c r="C75" s="391" t="n"/>
      <c r="D75" s="391" t="n"/>
      <c r="E75" s="392" t="n"/>
      <c r="F75" s="392" t="n"/>
      <c r="G75" s="385" t="str">
        <f>IF($A75="","",IF($F75="",$E75,$F75))</f>
        <v/>
      </c>
      <c r="H75" s="391" t="n"/>
      <c r="I75" s="391" t="n"/>
      <c r="J75" s="386" t="n"/>
      <c r="K75" s="391" t="n"/>
      <c r="L75" s="391" t="n"/>
      <c r="M75" s="391" t="n"/>
      <c r="N75" s="391" t="n"/>
      <c r="O75" s="391" t="n"/>
      <c r="P75" s="415" t="str">
        <f>IF($A75="","",$A75-Settings!$B$9)</f>
        <v/>
      </c>
      <c r="Q75" s="307" t="str">
        <f>IF($A75="","",IF($I75="Yes","Settled",IF($P75&lt;0,"OVERDUE",IF($P75&lt;=3,"DUE ≤3 DAYS",IF($P75&lt;=7,"DUE ≤7 DAYS","Scheduled")))))</f>
        <v/>
      </c>
      <c r="R75" s="396" t="n"/>
      <c r="S75" s="417">
        <f>IF(OR($A75="",$I75="Yes",$D75&lt;&gt;"Outflow",$H75&lt;&gt;"AED"),99999+ROW()/1000000,$P75+ROW()/1000000)</f>
        <v>99999.000075</v>
      </c>
      <c r="T75" s="418">
        <f>IF(OR($A75="",$I75="Yes",$D75&lt;&gt;"Outflow",$H75&lt;&gt;"AED",$A75&gt;Settings!$B$21),-1-ROW()/1000000,$G75+ROW()/1000000)</f>
        <v>-1.000075</v>
      </c>
    </row>
    <row r="76" ht="15" customHeight="1" s="278">
      <c r="A76" s="386" t="n"/>
      <c r="B76" s="391" t="n"/>
      <c r="C76" s="391" t="n"/>
      <c r="D76" s="391" t="n"/>
      <c r="E76" s="392" t="n"/>
      <c r="F76" s="392" t="n"/>
      <c r="G76" s="385" t="str">
        <f>IF($A76="","",IF($F76="",$E76,$F76))</f>
        <v/>
      </c>
      <c r="H76" s="391" t="n"/>
      <c r="I76" s="391" t="n"/>
      <c r="J76" s="386" t="n"/>
      <c r="K76" s="391" t="n"/>
      <c r="L76" s="391" t="n"/>
      <c r="M76" s="391" t="n"/>
      <c r="N76" s="391" t="n"/>
      <c r="O76" s="391" t="n"/>
      <c r="P76" s="415" t="str">
        <f>IF($A76="","",$A76-Settings!$B$9)</f>
        <v/>
      </c>
      <c r="Q76" s="307" t="str">
        <f>IF($A76="","",IF($I76="Yes","Settled",IF($P76&lt;0,"OVERDUE",IF($P76&lt;=3,"DUE ≤3 DAYS",IF($P76&lt;=7,"DUE ≤7 DAYS","Scheduled")))))</f>
        <v/>
      </c>
      <c r="R76" s="396" t="n"/>
      <c r="S76" s="417">
        <f>IF(OR($A76="",$I76="Yes",$D76&lt;&gt;"Outflow",$H76&lt;&gt;"AED"),99999+ROW()/1000000,$P76+ROW()/1000000)</f>
        <v>99999.000076</v>
      </c>
      <c r="T76" s="418">
        <f>IF(OR($A76="",$I76="Yes",$D76&lt;&gt;"Outflow",$H76&lt;&gt;"AED",$A76&gt;Settings!$B$21),-1-ROW()/1000000,$G76+ROW()/1000000)</f>
        <v>-1.000076</v>
      </c>
    </row>
    <row r="77" ht="15" customHeight="1" s="278">
      <c r="A77" s="386" t="n"/>
      <c r="B77" s="391" t="n"/>
      <c r="C77" s="391" t="n"/>
      <c r="D77" s="391" t="n"/>
      <c r="E77" s="392" t="n"/>
      <c r="F77" s="392" t="n"/>
      <c r="G77" s="385" t="str">
        <f>IF($A77="","",IF($F77="",$E77,$F77))</f>
        <v/>
      </c>
      <c r="H77" s="391" t="n"/>
      <c r="I77" s="391" t="n"/>
      <c r="J77" s="386" t="n"/>
      <c r="K77" s="391" t="n"/>
      <c r="L77" s="391" t="n"/>
      <c r="M77" s="391" t="n"/>
      <c r="N77" s="391" t="n"/>
      <c r="O77" s="391" t="n"/>
      <c r="P77" s="415" t="str">
        <f>IF($A77="","",$A77-Settings!$B$9)</f>
        <v/>
      </c>
      <c r="Q77" s="307" t="str">
        <f>IF($A77="","",IF($I77="Yes","Settled",IF($P77&lt;0,"OVERDUE",IF($P77&lt;=3,"DUE ≤3 DAYS",IF($P77&lt;=7,"DUE ≤7 DAYS","Scheduled")))))</f>
        <v/>
      </c>
      <c r="R77" s="396" t="n"/>
      <c r="S77" s="417">
        <f>IF(OR($A77="",$I77="Yes",$D77&lt;&gt;"Outflow",$H77&lt;&gt;"AED"),99999+ROW()/1000000,$P77+ROW()/1000000)</f>
        <v>99999.000077</v>
      </c>
      <c r="T77" s="418">
        <f>IF(OR($A77="",$I77="Yes",$D77&lt;&gt;"Outflow",$H77&lt;&gt;"AED",$A77&gt;Settings!$B$21),-1-ROW()/1000000,$G77+ROW()/1000000)</f>
        <v>-1.000077</v>
      </c>
    </row>
    <row r="78" ht="15" customHeight="1" s="278">
      <c r="A78" s="386" t="n"/>
      <c r="B78" s="391" t="n"/>
      <c r="C78" s="391" t="n"/>
      <c r="D78" s="391" t="n"/>
      <c r="E78" s="392" t="n"/>
      <c r="F78" s="392" t="n"/>
      <c r="G78" s="385" t="str">
        <f>IF($A78="","",IF($F78="",$E78,$F78))</f>
        <v/>
      </c>
      <c r="H78" s="391" t="n"/>
      <c r="I78" s="391" t="n"/>
      <c r="J78" s="386" t="n"/>
      <c r="K78" s="391" t="n"/>
      <c r="L78" s="391" t="n"/>
      <c r="M78" s="391" t="n"/>
      <c r="N78" s="391" t="n"/>
      <c r="O78" s="391" t="n"/>
      <c r="P78" s="415" t="str">
        <f>IF($A78="","",$A78-Settings!$B$9)</f>
        <v/>
      </c>
      <c r="Q78" s="307" t="str">
        <f>IF($A78="","",IF($I78="Yes","Settled",IF($P78&lt;0,"OVERDUE",IF($P78&lt;=3,"DUE ≤3 DAYS",IF($P78&lt;=7,"DUE ≤7 DAYS","Scheduled")))))</f>
        <v/>
      </c>
      <c r="R78" s="396" t="n"/>
      <c r="S78" s="417">
        <f>IF(OR($A78="",$I78="Yes",$D78&lt;&gt;"Outflow",$H78&lt;&gt;"AED"),99999+ROW()/1000000,$P78+ROW()/1000000)</f>
        <v>99999.000078</v>
      </c>
      <c r="T78" s="418">
        <f>IF(OR($A78="",$I78="Yes",$D78&lt;&gt;"Outflow",$H78&lt;&gt;"AED",$A78&gt;Settings!$B$21),-1-ROW()/1000000,$G78+ROW()/1000000)</f>
        <v>-1.000078</v>
      </c>
    </row>
    <row r="79" ht="15" customHeight="1" s="278">
      <c r="A79" s="386" t="n"/>
      <c r="B79" s="391" t="n"/>
      <c r="C79" s="391" t="n"/>
      <c r="D79" s="391" t="n"/>
      <c r="E79" s="392" t="n"/>
      <c r="F79" s="392" t="n"/>
      <c r="G79" s="385" t="str">
        <f>IF($A79="","",IF($F79="",$E79,$F79))</f>
        <v/>
      </c>
      <c r="H79" s="391" t="n"/>
      <c r="I79" s="391" t="n"/>
      <c r="J79" s="386" t="n"/>
      <c r="K79" s="391" t="n"/>
      <c r="L79" s="391" t="n"/>
      <c r="M79" s="391" t="n"/>
      <c r="N79" s="391" t="n"/>
      <c r="O79" s="391" t="n"/>
      <c r="P79" s="415" t="str">
        <f>IF($A79="","",$A79-Settings!$B$9)</f>
        <v/>
      </c>
      <c r="Q79" s="307" t="str">
        <f>IF($A79="","",IF($I79="Yes","Settled",IF($P79&lt;0,"OVERDUE",IF($P79&lt;=3,"DUE ≤3 DAYS",IF($P79&lt;=7,"DUE ≤7 DAYS","Scheduled")))))</f>
        <v/>
      </c>
      <c r="R79" s="396" t="n"/>
      <c r="S79" s="417">
        <f>IF(OR($A79="",$I79="Yes",$D79&lt;&gt;"Outflow",$H79&lt;&gt;"AED"),99999+ROW()/1000000,$P79+ROW()/1000000)</f>
        <v>99999.000079</v>
      </c>
      <c r="T79" s="418">
        <f>IF(OR($A79="",$I79="Yes",$D79&lt;&gt;"Outflow",$H79&lt;&gt;"AED",$A79&gt;Settings!$B$21),-1-ROW()/1000000,$G79+ROW()/1000000)</f>
        <v>-1.000079</v>
      </c>
    </row>
    <row r="80" ht="15" customHeight="1" s="278">
      <c r="A80" s="386" t="n"/>
      <c r="B80" s="391" t="n"/>
      <c r="C80" s="391" t="n"/>
      <c r="D80" s="391" t="n"/>
      <c r="E80" s="392" t="n"/>
      <c r="F80" s="392" t="n"/>
      <c r="G80" s="385" t="str">
        <f>IF($A80="","",IF($F80="",$E80,$F80))</f>
        <v/>
      </c>
      <c r="H80" s="391" t="n"/>
      <c r="I80" s="391" t="n"/>
      <c r="J80" s="386" t="n"/>
      <c r="K80" s="391" t="n"/>
      <c r="L80" s="391" t="n"/>
      <c r="M80" s="391" t="n"/>
      <c r="N80" s="391" t="n"/>
      <c r="O80" s="391" t="n"/>
      <c r="P80" s="415" t="str">
        <f>IF($A80="","",$A80-Settings!$B$9)</f>
        <v/>
      </c>
      <c r="Q80" s="307" t="str">
        <f>IF($A80="","",IF($I80="Yes","Settled",IF($P80&lt;0,"OVERDUE",IF($P80&lt;=3,"DUE ≤3 DAYS",IF($P80&lt;=7,"DUE ≤7 DAYS","Scheduled")))))</f>
        <v/>
      </c>
      <c r="R80" s="396" t="n"/>
      <c r="S80" s="417">
        <f>IF(OR($A80="",$I80="Yes",$D80&lt;&gt;"Outflow",$H80&lt;&gt;"AED"),99999+ROW()/1000000,$P80+ROW()/1000000)</f>
        <v>99999.00008</v>
      </c>
      <c r="T80" s="418">
        <f>IF(OR($A80="",$I80="Yes",$D80&lt;&gt;"Outflow",$H80&lt;&gt;"AED",$A80&gt;Settings!$B$21),-1-ROW()/1000000,$G80+ROW()/1000000)</f>
        <v>-1.00008</v>
      </c>
    </row>
    <row r="115" ht="30.55" customHeight="1" s="278">
      <c r="A115" s="422" t="n">
        <v>46291</v>
      </c>
      <c r="B115" s="423" t="inlineStr">
        <is>
          <t>Tabby — monthly card fee</t>
        </is>
      </c>
      <c r="C115" s="423" t="inlineStr">
        <is>
          <t>BNPL</t>
        </is>
      </c>
      <c r="D115" s="423" t="inlineStr">
        <is>
          <t>Outflow</t>
        </is>
      </c>
      <c r="E115" s="424" t="n">
        <v>49</v>
      </c>
      <c r="G115" s="425">
        <f>IF($A115="","",IF($F115="",$E115,$F115))</f>
        <v>49.0</v>
      </c>
      <c r="H115" s="423" t="inlineStr">
        <is>
          <t>AED</t>
        </is>
      </c>
      <c r="I115" s="423" t="inlineStr">
        <is>
          <t>No</t>
        </is>
      </c>
      <c r="K115" s="423" t="inlineStr">
        <is>
          <t>NBD Current</t>
        </is>
      </c>
      <c r="L115" s="423" t="inlineStr">
        <is>
          <t>Monthly</t>
        </is>
      </c>
      <c r="M115" s="423" t="inlineStr">
        <is>
          <t>Yes</t>
        </is>
      </c>
      <c r="N115" s="423" t="inlineStr">
        <is>
          <t>Essential</t>
        </is>
      </c>
      <c r="O115" s="423" t="inlineStr">
        <is>
          <t>Confirmed</t>
        </is>
      </c>
      <c r="P115" s="426">
        <f>IF($A115="","",$A115-Settings!$B$9)</f>
        <v>31.0</v>
      </c>
      <c r="Q115" s="427" t="str">
        <f>IF($A115="","",IF($I115="Yes","Settled",IF($P115&lt;0,"OVERDUE",IF($P115&lt;=3,"DUE ≤3 DAYS",IF($P115&lt;=7,"DUE ≤7 DAYS","Scheduled")))))</f>
        <v>Scheduled</v>
      </c>
      <c r="R115" s="428" t="inlineStr">
        <is>
          <t>NEW — discovered 26 Aug. Continues monthly until the card is closed after the final Tabby payment (~3 Nov). Not previously in the plan.</t>
        </is>
      </c>
    </row>
    <row r="116" ht="30.55" customHeight="1" s="278">
      <c r="A116" s="422" t="n">
        <v>46321</v>
      </c>
      <c r="B116" s="423" t="inlineStr">
        <is>
          <t>Tabby — monthly card fee</t>
        </is>
      </c>
      <c r="C116" s="423" t="inlineStr">
        <is>
          <t>BNPL</t>
        </is>
      </c>
      <c r="D116" s="423" t="inlineStr">
        <is>
          <t>Outflow</t>
        </is>
      </c>
      <c r="E116" s="424" t="n">
        <v>49</v>
      </c>
      <c r="G116" s="425">
        <f>IF($A116="","",IF($F116="",$E116,$F116))</f>
        <v>49.0</v>
      </c>
      <c r="H116" s="423" t="inlineStr">
        <is>
          <t>AED</t>
        </is>
      </c>
      <c r="I116" s="423" t="inlineStr">
        <is>
          <t>No</t>
        </is>
      </c>
      <c r="K116" s="423" t="inlineStr">
        <is>
          <t>NBD Current</t>
        </is>
      </c>
      <c r="L116" s="423" t="inlineStr">
        <is>
          <t>Monthly</t>
        </is>
      </c>
      <c r="M116" s="423" t="inlineStr">
        <is>
          <t>Yes</t>
        </is>
      </c>
      <c r="N116" s="423" t="inlineStr">
        <is>
          <t>Essential</t>
        </is>
      </c>
      <c r="O116" s="423" t="inlineStr">
        <is>
          <t>Confirmed</t>
        </is>
      </c>
      <c r="P116" s="426">
        <f>IF($A116="","",$A116-Settings!$B$9)</f>
        <v>61.0</v>
      </c>
      <c r="Q116" s="427" t="str">
        <f>IF($A116="","",IF($I116="Yes","Settled",IF($P116&lt;0,"OVERDUE",IF($P116&lt;=3,"DUE ≤3 DAYS",IF($P116&lt;=7,"DUE ≤7 DAYS","Scheduled")))))</f>
        <v>Scheduled</v>
      </c>
      <c r="R116" s="428" t="inlineStr">
        <is>
          <t>NEW — discovered 26 Aug. Continues monthly until the card is closed after the final Tabby payment (~3 Nov). Not previously in the plan.</t>
        </is>
      </c>
    </row>
  </sheetData>
  <autoFilter ref="A6:R80"/>
  <mergeCells count="1">
    <mergeCell ref="A4:R4"/>
  </mergeCells>
  <conditionalFormatting sqref="Q7:Q80">
    <cfRule type="cellIs" rank="0" priority="2" equalAverage="0" operator="equal" aboveAverage="0" dxfId="4" text="" percent="0" bottom="0">
      <formula>"OVERDUE"</formula>
    </cfRule>
    <cfRule type="cellIs" rank="0" priority="3" equalAverage="0" operator="equal" aboveAverage="0" dxfId="5" text="" percent="0" bottom="0">
      <formula>"DUE ≤3 DAYS"</formula>
    </cfRule>
    <cfRule type="cellIs" rank="0" priority="4" equalAverage="0" operator="equal" aboveAverage="0" dxfId="6" text="" percent="0" bottom="0">
      <formula>"DUE ≤7 DAYS"</formula>
    </cfRule>
    <cfRule type="cellIs" rank="0" priority="5" equalAverage="0" operator="equal" aboveAverage="0" dxfId="20" text="" percent="0" bottom="0">
      <formula>"Settled"</formula>
    </cfRule>
  </conditionalFormatting>
  <dataValidations count="6">
    <dataValidation sqref="D7:D80" showDropDown="0" showInputMessage="0" showErrorMessage="0" allowBlank="1" type="list" errorStyle="stop" operator="between">
      <formula1>"Outflow,Inflow"</formula1>
      <formula2>0</formula2>
    </dataValidation>
    <dataValidation sqref="H7:H80" showDropDown="0" showInputMessage="0" showErrorMessage="0" allowBlank="1" type="list" errorStyle="stop" operator="between">
      <formula1>"AED,INR"</formula1>
      <formula2>0</formula2>
    </dataValidation>
    <dataValidation sqref="I7:I80" showDropDown="0" showInputMessage="0" showErrorMessage="0" allowBlank="1" type="list" errorStyle="stop" operator="between">
      <formula1>Settings!$L$36:$L$37</formula1>
      <formula2>0</formula2>
    </dataValidation>
    <dataValidation sqref="O7:O80" showDropDown="0" showInputMessage="0" showErrorMessage="0" allowBlank="1" type="list" errorStyle="stop" operator="between">
      <formula1>Settings!$M$36:$M$38</formula1>
      <formula2>0</formula2>
    </dataValidation>
    <dataValidation sqref="C7:C80" showDropDown="0" showInputMessage="0" showErrorMessage="0" allowBlank="1" type="list" errorStyle="stop" operator="between">
      <formula1>Settings!$F$36:$F$56</formula1>
      <formula2>0</formula2>
    </dataValidation>
    <dataValidation sqref="K7:K80" showDropDown="0" showInputMessage="0" showErrorMessage="0" allowBlank="1" type="list" errorStyle="stop" operator="between">
      <formula1>Settings!$I$36:$I$43</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B4232B"/>
    <outlinePr summaryBelow="1" summaryRight="1"/>
    <pageSetUpPr fitToPage="1"/>
  </sheetPr>
  <dimension ref="A1:D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277" min="1" max="1"/>
    <col width="18" customWidth="1" style="277" min="2" max="2"/>
    <col width="14" customWidth="1" style="277" min="3" max="3"/>
    <col width="56" customWidth="1" style="277" min="4" max="4"/>
    <col width="2" customWidth="1" style="277" min="5" max="5"/>
    <col width="30" customWidth="1" style="277" min="6" max="6"/>
    <col width="16" customWidth="1" style="277" min="7" max="9"/>
    <col width="40" customWidth="1" style="277" min="10" max="10"/>
  </cols>
  <sheetData>
    <row r="1" ht="30" customHeight="1" s="278">
      <c r="A1" s="345" t="inlineStr">
        <is>
          <t>Rent Protection System</t>
        </is>
      </c>
    </row>
    <row r="2" ht="13.5" customHeight="1" s="278">
      <c r="A2" s="565" t="inlineStr">
        <is>
          <t>Rent money is not spending money. This sheet exists so the October cheque can never be quietly cannibalised.</t>
        </is>
      </c>
    </row>
    <row r="3" ht="6" customHeight="1" s="278"/>
    <row r="5" ht="19.5" customHeight="1" s="278">
      <c r="A5" s="382" t="inlineStr">
        <is>
          <t>FUNDING POSITION</t>
        </is>
      </c>
      <c r="B5" s="287" t="n"/>
      <c r="C5" s="287" t="n"/>
      <c r="D5" s="287" t="n"/>
    </row>
    <row r="6" ht="27.75" customHeight="1" s="278">
      <c r="A6" s="383" t="inlineStr">
        <is>
          <t>Measure</t>
        </is>
      </c>
      <c r="B6" s="383" t="inlineStr">
        <is>
          <t>Value</t>
        </is>
      </c>
      <c r="C6" s="383" t="inlineStr">
        <is>
          <t>Unit</t>
        </is>
      </c>
      <c r="D6" s="383" t="inlineStr">
        <is>
          <t>Basis</t>
        </is>
      </c>
    </row>
    <row r="7" ht="15" customHeight="1" s="278">
      <c r="A7" s="366" t="inlineStr">
        <is>
          <t>Rent cheque amount</t>
        </is>
      </c>
      <c r="B7" s="367">
        <f>Settings!$B$19</f>
        <v>11750.0</v>
      </c>
      <c r="C7" s="346" t="inlineStr">
        <is>
          <t>AED</t>
        </is>
      </c>
      <c r="D7" s="368" t="inlineStr">
        <is>
          <t>Control panel</t>
        </is>
      </c>
    </row>
    <row r="8" ht="15" customHeight="1" s="278">
      <c r="A8" s="366" t="inlineStr">
        <is>
          <t>Cheque clears</t>
        </is>
      </c>
      <c r="B8" s="365">
        <f>Settings!$B$20</f>
        <v>46317.0</v>
      </c>
      <c r="C8" s="346" t="inlineStr">
        <is>
          <t>date</t>
        </is>
      </c>
      <c r="D8" s="368" t="inlineStr">
        <is>
          <t>Lease schedule</t>
        </is>
      </c>
    </row>
    <row r="9" ht="15" customHeight="1" s="278">
      <c r="A9" s="366" t="inlineStr">
        <is>
          <t>Must be fully funded by</t>
        </is>
      </c>
      <c r="B9" s="365">
        <f>Settings!$B$21</f>
        <v>46316.0</v>
      </c>
      <c r="C9" s="346" t="inlineStr">
        <is>
          <t>date</t>
        </is>
      </c>
      <c r="D9" s="368" t="inlineStr">
        <is>
          <t>One day before clearing</t>
        </is>
      </c>
    </row>
    <row r="10" ht="15" customHeight="1" s="278">
      <c r="A10" s="366" t="inlineStr">
        <is>
          <t>Days until funding deadline</t>
        </is>
      </c>
      <c r="B10" s="362">
        <f>Settings!$B$22</f>
        <v>56.0</v>
      </c>
      <c r="C10" s="346" t="inlineStr">
        <is>
          <t>days</t>
        </is>
      </c>
      <c r="D10" s="368" t="inlineStr">
        <is>
          <t>Live countdown</t>
        </is>
      </c>
    </row>
    <row r="11" ht="15" customHeight="1" s="278">
      <c r="A11" s="366" t="inlineStr">
        <is>
          <t>Already vaulted (designated rent-vault account)</t>
        </is>
      </c>
      <c r="B11" s="367">
        <f>SUMIFS(Accounts!$E$7:$E$14,Accounts!$H$7:$H$14,"Rent vault")</f>
        <v>5940.7</v>
      </c>
      <c r="C11" s="346" t="inlineStr">
        <is>
          <t>AED</t>
        </is>
      </c>
      <c r="D11" s="368" t="inlineStr">
        <is>
          <t>Reserved column, Accounts sheet</t>
        </is>
      </c>
    </row>
    <row r="12" ht="15" customHeight="1" s="278">
      <c r="A12" s="366" t="inlineStr">
        <is>
          <t>Still to fund</t>
        </is>
      </c>
      <c r="B12" s="367">
        <f>MAX($B$7-$B$11,0)</f>
        <v>5809.3</v>
      </c>
      <c r="C12" s="346" t="inlineStr">
        <is>
          <t>AED</t>
        </is>
      </c>
      <c r="D12" s="368" t="inlineStr">
        <is>
          <t>Cheque less vaulted</t>
        </is>
      </c>
    </row>
    <row r="13" ht="15" customHeight="1" s="278">
      <c r="A13" s="366" t="inlineStr">
        <is>
          <t>Rent funding progress</t>
        </is>
      </c>
      <c r="B13" s="364">
        <f>IF($B$7=0,0,$B$11/$B$7)</f>
        <v>0.5055914894</v>
      </c>
      <c r="C13" s="346" t="inlineStr">
        <is>
          <t>%</t>
        </is>
      </c>
      <c r="D13" s="368" t="inlineStr">
        <is>
          <t>Vaulted / cheque</t>
        </is>
      </c>
    </row>
    <row r="14" ht="15" customHeight="1" s="278">
      <c r="A14" s="366" t="inlineStr">
        <is>
          <t>Salary cycles before the deadline</t>
        </is>
      </c>
      <c r="B14" s="362">
        <f>COUNTIFS('Bills &amp; Commitments'!$C$7:$C$80,"Salary",'Bills &amp; Commitments'!$D$7:$D$80,"Inflow",'Bills &amp; Commitments'!$I$7:$I$80,"No",'Bills &amp; Commitments'!$A$7:$A$80,"&lt;="&amp;Settings!$B$21)</f>
        <v>1.0</v>
      </c>
      <c r="C14" s="346" t="inlineStr">
        <is>
          <t>count</t>
        </is>
      </c>
      <c r="D14" s="368" t="inlineStr">
        <is>
          <t>Unsettled salary inflows on the Bills sheet</t>
        </is>
      </c>
    </row>
    <row r="15" ht="15" customHeight="1" s="278">
      <c r="A15" s="366" t="inlineStr">
        <is>
          <t>Recommended contribution per remaining inflow</t>
        </is>
      </c>
      <c r="B15" s="367">
        <f>IF($B$14=0,0,$B$12/$B$14)</f>
        <v>5809.3</v>
      </c>
      <c r="C15" s="346" t="inlineStr">
        <is>
          <t>AED</t>
        </is>
      </c>
      <c r="D15" s="368" t="inlineStr">
        <is>
          <t>Still to fund / cycles</t>
        </is>
      </c>
    </row>
    <row r="16" ht="15" customHeight="1" s="278">
      <c r="A16" s="366" t="inlineStr">
        <is>
          <t>Projected cash available for rent by the deadline</t>
        </is>
      </c>
      <c r="B16" s="367">
        <f>Settings!$B$71</f>
        <v>8908.97</v>
      </c>
      <c r="C16" s="346" t="inlineStr">
        <is>
          <t>AED</t>
        </is>
      </c>
      <c r="D16" s="368" t="inlineStr">
        <is>
          <t>Engine E12 — spendable + inflows − commitments − minimum living + vault</t>
        </is>
      </c>
    </row>
    <row r="17" ht="15" customHeight="1" s="278">
      <c r="A17" s="296" t="inlineStr">
        <is>
          <t>PROJECTED SHORTFALL</t>
        </is>
      </c>
      <c r="B17" s="367">
        <f>MAX($B$7-$B$16,0)</f>
        <v>2841.03</v>
      </c>
      <c r="C17" s="346" t="inlineStr">
        <is>
          <t>AED</t>
        </is>
      </c>
      <c r="D17" s="368" t="inlineStr">
        <is>
          <t>Rent cheque less the cash projected to be available</t>
        </is>
      </c>
    </row>
    <row r="18" ht="15" customHeight="1" s="278">
      <c r="A18" s="366" t="inlineStr">
        <is>
          <t>Funding on track?</t>
        </is>
      </c>
      <c r="B18" s="429" t="str">
        <f>IF($B$17&lt;=0.009,"ON TRACK","NOT ON TRACK")</f>
        <v>NOT ON TRACK</v>
      </c>
      <c r="C18" s="346" t="inlineStr">
        <is>
          <t>status</t>
        </is>
      </c>
      <c r="D18" s="368" t="inlineStr">
        <is>
          <t>Zero shortfall required</t>
        </is>
      </c>
    </row>
    <row r="21" ht="19.5" customHeight="1" s="278">
      <c r="A21" s="382" t="inlineStr">
        <is>
          <t>ZERO-GAP CLOSURE PLAN  ·  carried forward from the original workbook and re-verified</t>
        </is>
      </c>
      <c r="B21" s="287" t="n"/>
      <c r="C21" s="287" t="n"/>
      <c r="D21" s="287" t="n"/>
    </row>
    <row r="22" ht="27.75" customHeight="1" s="278">
      <c r="A22" s="383" t="inlineStr">
        <is>
          <t>Closure action</t>
        </is>
      </c>
      <c r="B22" s="383" t="inlineStr">
        <is>
          <t>Amount</t>
        </is>
      </c>
      <c r="C22" s="383" t="inlineStr">
        <is>
          <t>Deadline</t>
        </is>
      </c>
      <c r="D22" s="383" t="inlineStr">
        <is>
          <t>Evidence rule — only banked cash counts</t>
        </is>
      </c>
    </row>
    <row r="23" ht="15" customHeight="1" s="278">
      <c r="A23" s="366" t="inlineStr">
        <is>
          <t>Projected shortfall before closure actions</t>
        </is>
      </c>
      <c r="B23" s="293">
        <f>$B$17</f>
        <v>2841.03</v>
      </c>
      <c r="C23" s="299" t="n">
        <v>46316</v>
      </c>
      <c r="D23" s="368" t="inlineStr">
        <is>
          <t>Live figure from the funding position above</t>
        </is>
      </c>
    </row>
    <row r="24" ht="15" customHeight="1" s="278">
      <c r="A24" s="366" t="inlineStr">
        <is>
          <t>Lift August income to the AED 8,800 target</t>
        </is>
      </c>
      <c r="B24" s="293">
        <f>MAX(225.12,0)</f>
        <v>225.12</v>
      </c>
      <c r="C24" s="299" t="n">
        <v>46265</v>
      </c>
      <c r="D24" s="368" t="inlineStr">
        <is>
          <t>Only confirmed receipts count</t>
        </is>
      </c>
    </row>
    <row r="25" ht="15" customHeight="1" s="278">
      <c r="A25" s="366" t="inlineStr">
        <is>
          <t>Generate confirmed side income</t>
        </is>
      </c>
      <c r="B25" s="293">
        <f>600</f>
        <v>600.0</v>
      </c>
      <c r="C25" s="299" t="n">
        <v>46295</v>
      </c>
      <c r="D25" s="368" t="inlineStr">
        <is>
          <t>Only banked cash counts</t>
        </is>
      </c>
    </row>
    <row r="26" ht="15" customHeight="1" s="278">
      <c r="A26" s="366" t="inlineStr">
        <is>
          <t>Hold living spend below the revised cap</t>
        </is>
      </c>
      <c r="B26" s="293">
        <f>MAX($B$23-$B$24-$B$25,0)</f>
        <v>2015.91</v>
      </c>
      <c r="C26" s="299" t="n">
        <v>46316</v>
      </c>
      <c r="D26" s="368" t="inlineStr">
        <is>
          <t>Ledger spending must tie to the cap</t>
        </is>
      </c>
    </row>
    <row r="27" ht="15" customHeight="1" s="278">
      <c r="A27" s="296" t="inlineStr">
        <is>
          <t>REMAINING GAP AFTER ALL ACTIONS</t>
        </is>
      </c>
      <c r="B27" s="367">
        <f>MAX($B$23-$B$24-$B$25-$B$26,0)</f>
        <v>0.0</v>
      </c>
      <c r="C27" s="299" t="n">
        <v>46316</v>
      </c>
      <c r="D27" s="368" t="inlineStr">
        <is>
          <t>Must equal zero</t>
        </is>
      </c>
    </row>
    <row r="28" ht="15" customHeight="1" s="278">
      <c r="A28" s="366" t="inlineStr">
        <is>
          <t>Revised living cap to the deadline</t>
        </is>
      </c>
      <c r="B28" s="293">
        <f>MAX(Settings!$B$22*Settings!$B$15-$B$26,0)</f>
        <v>0.0</v>
      </c>
      <c r="C28" s="299" t="n">
        <v>46316</v>
      </c>
      <c r="D28" s="368" t="inlineStr">
        <is>
          <t>Minimum living need less the required reduction</t>
        </is>
      </c>
    </row>
    <row r="29" ht="15" customHeight="1" s="278">
      <c r="A29" s="296" t="inlineStr">
        <is>
          <t>Revised cap expressed per day</t>
        </is>
      </c>
      <c r="B29" s="367">
        <f>IF(Settings!$B$22=0,0,$B$28/Settings!$B$22)</f>
        <v>0.0</v>
      </c>
      <c r="C29" s="346" t="inlineStr">
        <is>
          <t>AED/day</t>
        </is>
      </c>
      <c r="D29" s="368" t="inlineStr">
        <is>
          <t>What you may actually spend per day if all three closure actions land</t>
        </is>
      </c>
    </row>
    <row r="30" ht="15" customHeight="1" s="278">
      <c r="A30" s="430" t="inlineStr">
        <is>
          <t>Contingency: if the AED 1,430 refund fails the shortfall grows by AED 1,430. If the AED 1,540 pending salary cash fails it grows by AED 1,540. If both fail the plan needs AED 2,970 more than shown. Never release rent money against an unconfirmed inflow.</t>
        </is>
      </c>
    </row>
    <row r="31" ht="15" customHeight="1" s="278"/>
    <row r="32" ht="15" customHeight="1" s="278"/>
    <row r="35" ht="15" customHeight="1" s="278">
      <c r="A35" s="342" t="inlineStr">
        <is>
          <t>How the cheque actually gets funded: money accumulates in FAB 4002 Home Expenditure, then moves across to FAB 4001 Current shortly before 22 October so the cheque clears. The vault balance below is the 4002 balance flagged as Reserved on the Accounts sheet.</t>
        </is>
      </c>
    </row>
    <row r="36" ht="15" customHeight="1" s="278"/>
    <row r="37" ht="15" customHeight="1" s="278"/>
  </sheetData>
  <mergeCells count="2">
    <mergeCell ref="A35:D37"/>
    <mergeCell ref="A30:D32"/>
  </mergeCells>
  <conditionalFormatting sqref="B19">
    <cfRule type="cellIs" rank="0" priority="2" equalAverage="0" operator="equal" aboveAverage="0" dxfId="21" text="" percent="0" bottom="0">
      <formula>"ON TRACK"</formula>
    </cfRule>
    <cfRule type="cellIs" rank="0" priority="3" equalAverage="0" operator="equal" aboveAverage="0" dxfId="0" text="" percent="0" bottom="0">
      <formula>"NOT ON TRACK"</formula>
    </cfRule>
  </conditionalFormatting>
  <conditionalFormatting sqref="B18">
    <cfRule type="cellIs" rank="0" priority="4" equalAverage="0" operator="equal" aboveAverage="0" dxfId="21" text="" percent="0" bottom="0">
      <formula>"ON TRACK"</formula>
    </cfRule>
    <cfRule type="cellIs" rank="0" priority="5" equalAverage="0" operator="equal" aboveAverage="0" dxfId="0" text="" percent="0" bottom="0">
      <formula>"NOT ON TRACK"</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B4232B"/>
    <outlinePr summaryBelow="1" summaryRight="1"/>
    <pageSetUpPr fitToPage="1"/>
  </sheetPr>
  <dimension ref="A1:R35"/>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12" customWidth="1" style="277" min="1" max="2"/>
    <col width="14" customWidth="1" style="277" min="3" max="3"/>
    <col width="13" customWidth="1" style="277" min="4" max="4"/>
    <col width="12" customWidth="1" style="277" min="5" max="5"/>
    <col width="11" customWidth="1" style="277" min="6" max="6"/>
    <col width="13" customWidth="1" style="277" min="7" max="7"/>
    <col width="14" customWidth="1" style="277" min="8" max="11"/>
    <col width="16" customWidth="1" style="277" min="12" max="12"/>
    <col width="15" customWidth="1" style="277" min="13" max="13"/>
    <col width="14" customWidth="1" style="277" min="14" max="14"/>
    <col width="13" customWidth="1" style="277" min="15" max="15"/>
    <col width="15" customWidth="1" style="277" min="16" max="17"/>
    <col width="16" customWidth="1" style="277" min="18" max="18"/>
  </cols>
  <sheetData>
    <row r="1" ht="30" customHeight="1" s="278">
      <c r="A1" s="345" t="inlineStr">
        <is>
          <t>90-Day Cash Calendar</t>
        </is>
      </c>
    </row>
    <row r="2" ht="13.5" customHeight="1" s="278">
      <c r="A2" s="565" t="inlineStr">
        <is>
          <t>Week by week to the rent cheque. The monthly view hides the crunch weeks — this one does not.</t>
        </is>
      </c>
    </row>
    <row r="3" ht="6" customHeight="1" s="278"/>
    <row r="5" ht="19.5" customHeight="1" s="278">
      <c r="A5" s="382" t="inlineStr">
        <is>
          <t>WEEKLY CASH PATH  ·  blue cells are yours to plan and record</t>
        </is>
      </c>
      <c r="B5" s="287" t="n"/>
      <c r="C5" s="287" t="n"/>
      <c r="D5" s="287" t="n"/>
      <c r="E5" s="287" t="n"/>
      <c r="F5" s="287" t="n"/>
      <c r="G5" s="287" t="n"/>
      <c r="H5" s="287" t="n"/>
      <c r="I5" s="287" t="n"/>
      <c r="J5" s="287" t="n"/>
      <c r="K5" s="287" t="n"/>
      <c r="L5" s="287" t="n"/>
    </row>
    <row r="6" ht="27.75" customHeight="1" s="278">
      <c r="A6" s="383" t="inlineStr">
        <is>
          <t>Week start</t>
        </is>
      </c>
      <c r="B6" s="383" t="inlineStr">
        <is>
          <t>Week end</t>
        </is>
      </c>
      <c r="C6" s="383" t="inlineStr">
        <is>
          <t>Opening spendable</t>
        </is>
      </c>
      <c r="D6" s="383" t="inlineStr">
        <is>
          <t>Expected inflows</t>
        </is>
      </c>
      <c r="E6" s="383" t="inlineStr">
        <is>
          <t>Bills due</t>
        </is>
      </c>
      <c r="F6" s="383" t="inlineStr">
        <is>
          <t>Living</t>
        </is>
      </c>
      <c r="G6" s="383" t="inlineStr">
        <is>
          <t>Side-income target</t>
        </is>
      </c>
      <c r="H6" s="431" t="inlineStr">
        <is>
          <t>Side income BANKED (log here)</t>
        </is>
      </c>
      <c r="I6" s="383" t="inlineStr">
        <is>
          <t>Move to rent vault</t>
        </is>
      </c>
      <c r="J6" s="383" t="inlineStr">
        <is>
          <t>Closing spendable</t>
        </is>
      </c>
      <c r="K6" s="383" t="inlineStr">
        <is>
          <t>Rent vault balance</t>
        </is>
      </c>
      <c r="L6" s="383" t="inlineStr">
        <is>
          <t>Status</t>
        </is>
      </c>
      <c r="M6" s="431" t="inlineStr">
        <is>
          <t>Actual spent</t>
        </is>
      </c>
      <c r="N6" s="431" t="inlineStr">
        <is>
          <t>Spend status</t>
        </is>
      </c>
      <c r="O6" s="431" t="inlineStr">
        <is>
          <t>Earn status</t>
        </is>
      </c>
      <c r="P6" s="431" t="inlineStr">
        <is>
          <t>Cumulative earned</t>
        </is>
      </c>
      <c r="Q6" s="431" t="inlineStr">
        <is>
          <t>Cumulative target</t>
        </is>
      </c>
      <c r="R6" s="431" t="inlineStr">
        <is>
          <t>Overall earn status</t>
        </is>
      </c>
    </row>
    <row r="7" ht="15" customHeight="1" s="278">
      <c r="A7" s="432" t="n">
        <v>46245</v>
      </c>
      <c r="B7" s="433" t="n">
        <v>46251</v>
      </c>
      <c r="C7" s="385">
        <f>Settings!$B$62</f>
        <v>156.8</v>
      </c>
      <c r="D7" s="385">
        <f>SUMIFS('Bills &amp; Commitments'!$G$7:$G$80,'Bills &amp; Commitments'!$D$7:$D$80,"Inflow",'Bills &amp; Commitments'!$I$7:$I$80,"No",'Bills &amp; Commitments'!$H$7:$H$80,"AED",'Bills &amp; Commitments'!$A$7:$A$80,"&gt;="&amp;$A7,'Bills &amp; Commitments'!$A$7:$A$80,"&lt;="&amp;$B7)</f>
        <v>0.0</v>
      </c>
      <c r="E7" s="385">
        <f>SUMIFS('Bills &amp; Commitments'!$G$7:$G$80,'Bills &amp; Commitments'!$D$7:$D$80,"Outflow",'Bills &amp; Commitments'!$I$7:$I$80,"No",'Bills &amp; Commitments'!$H$7:$H$80,"AED",'Bills &amp; Commitments'!$C$7:$C$80,"&lt;&gt;Rent",'Bills &amp; Commitments'!$A$7:$A$80,"&gt;="&amp;$A7,'Bills &amp; Commitments'!$A$7:$A$80,"&lt;="&amp;$B7)</f>
        <v>0.0</v>
      </c>
      <c r="F7" s="385">
        <f>($B7-$A7+1)*Settings!$B$15</f>
        <v>105.0</v>
      </c>
      <c r="G7" s="385">
        <f>Settings!$B$83</f>
        <v>386.37875</v>
      </c>
      <c r="H7" s="392" t="n">
        <v>0</v>
      </c>
      <c r="I7" s="392" t="n">
        <v>0</v>
      </c>
      <c r="J7" s="293">
        <f>$C7+$D7+$H7-$E7-$F7-$I7</f>
        <v>51.8</v>
      </c>
      <c r="K7" s="293">
        <f>SUMIFS(Accounts!$E$7:$E$14,Accounts!$H$7:$H$14,"Rent vault")+$I7-SUMIFS('Bills &amp; Commitments'!$G$7:$G$80,'Bills &amp; Commitments'!$C$7:$C$80,"Rent",'Bills &amp; Commitments'!$A$7:$A$80,"&gt;="&amp;$A7,'Bills &amp; Commitments'!$A$7:$A$80,"&lt;="&amp;$B7)</f>
        <v>5940.7</v>
      </c>
      <c r="L7" s="416" t="str">
        <f>IF($J7&lt;0,"NEGATIVE",IF($J7&lt;Settings!$B$14,"BELOW BUFFER","OK"))</f>
        <v>BELOW BUFFER</v>
      </c>
      <c r="M7" s="434">
        <f>SUMIFS(Transactions!$O$7:$O$520,Transactions!$F$7:$F$520,"Expense",Transactions!$P$7:$P$520,"AED",Transactions!$J$7:$J$520,"&lt;&gt;Business",Transactions!$B$7:$B$520,"&gt;="&amp;$A7,Transactions!$B$7:$B$520,"&lt;="&amp;$B7)</f>
        <v>616.33</v>
      </c>
      <c r="N7" s="435" t="str">
        <f>IF($M7&gt;$F7,"OVER","On track")</f>
        <v>OVER</v>
      </c>
      <c r="O7" s="435" t="str">
        <f>IF($H7&gt;=$G7,"On track",IF($H7&gt;=$G7*0.5,"Behind","Well behind"))</f>
        <v>Well behind</v>
      </c>
      <c r="P7" s="434">
        <f>SUM($H$7:$H7)</f>
        <v>0.0</v>
      </c>
      <c r="Q7" s="434">
        <f>SUM($G$7:$G7)</f>
        <v>386.37875</v>
      </c>
      <c r="R7" s="435" t="str">
        <f>IF($P7&gt;=$Q7,"ON PACE overall","SHORT by AED "&amp;TEXT($Q7-$P7,"#,##0.00"))</f>
        <v>SHORT by AED 386.38</v>
      </c>
    </row>
    <row r="8" ht="15" customHeight="1" s="278">
      <c r="A8" s="432" t="n">
        <v>46252</v>
      </c>
      <c r="B8" s="433" t="n">
        <v>46258</v>
      </c>
      <c r="C8" s="385">
        <f>$J7</f>
        <v>51.8</v>
      </c>
      <c r="D8" s="385">
        <f>SUMIFS('Bills &amp; Commitments'!$G$7:$G$80,'Bills &amp; Commitments'!$D$7:$D$80,"Inflow",'Bills &amp; Commitments'!$I$7:$I$80,"No",'Bills &amp; Commitments'!$H$7:$H$80,"AED",'Bills &amp; Commitments'!$A$7:$A$80,"&gt;="&amp;$A8,'Bills &amp; Commitments'!$A$7:$A$80,"&lt;="&amp;$B8)</f>
        <v>0.0</v>
      </c>
      <c r="E8" s="385">
        <f>SUMIFS('Bills &amp; Commitments'!$G$7:$G$80,'Bills &amp; Commitments'!$D$7:$D$80,"Outflow",'Bills &amp; Commitments'!$I$7:$I$80,"No",'Bills &amp; Commitments'!$H$7:$H$80,"AED",'Bills &amp; Commitments'!$C$7:$C$80,"&lt;&gt;Rent",'Bills &amp; Commitments'!$A$7:$A$80,"&gt;="&amp;$A8,'Bills &amp; Commitments'!$A$7:$A$80,"&lt;="&amp;$B8)</f>
        <v>0.0</v>
      </c>
      <c r="F8" s="385">
        <f>($B8-$A8+1)*Settings!$B$15</f>
        <v>105.0</v>
      </c>
      <c r="G8" s="385">
        <f>Settings!$B$83</f>
        <v>386.37875</v>
      </c>
      <c r="H8" s="392" t="n">
        <v>0</v>
      </c>
      <c r="I8" s="392" t="n">
        <v>0</v>
      </c>
      <c r="J8" s="293">
        <f>$C8+$D8+$H8-$E8-$F8-$I8</f>
        <v>-53.2</v>
      </c>
      <c r="K8" s="293">
        <f>$K7+$I8-SUMIFS('Bills &amp; Commitments'!$G$7:$G$80,'Bills &amp; Commitments'!$C$7:$C$80,"Rent",'Bills &amp; Commitments'!$A$7:$A$80,"&gt;="&amp;$A8,'Bills &amp; Commitments'!$A$7:$A$80,"&lt;="&amp;$B8)</f>
        <v>5940.7</v>
      </c>
      <c r="L8" s="416" t="str">
        <f>IF($J8&lt;0,"NEGATIVE",IF($J8&lt;Settings!$B$14,"BELOW BUFFER","OK"))</f>
        <v>NEGATIVE</v>
      </c>
      <c r="M8" s="434">
        <f>SUMIFS(Transactions!$O$7:$O$520,Transactions!$F$7:$F$520,"Expense",Transactions!$P$7:$P$520,"AED",Transactions!$J$7:$J$520,"&lt;&gt;Business",Transactions!$B$7:$B$520,"&gt;="&amp;$A8,Transactions!$B$7:$B$520,"&lt;="&amp;$B8)</f>
        <v>674.73</v>
      </c>
      <c r="N8" s="435" t="str">
        <f>IF($M8&gt;$F8,"OVER","On track")</f>
        <v>OVER</v>
      </c>
      <c r="O8" s="435" t="str">
        <f>IF($H8&gt;=$G8,"On track",IF($H8&gt;=$G8*0.5,"Behind","Well behind"))</f>
        <v>Well behind</v>
      </c>
      <c r="P8" s="434">
        <f>SUM($H$7:$H8)</f>
        <v>0.0</v>
      </c>
      <c r="Q8" s="434">
        <f>SUM($G$7:$G8)</f>
        <v>772.7575</v>
      </c>
      <c r="R8" s="435" t="str">
        <f>IF($P8&gt;=$Q8,"ON PACE overall","SHORT by AED "&amp;TEXT($Q8-$P8,"#,##0.00"))</f>
        <v>SHORT by AED 772.76</v>
      </c>
    </row>
    <row r="9" ht="15" customHeight="1" s="278">
      <c r="A9" s="432" t="n">
        <v>46259</v>
      </c>
      <c r="B9" s="433" t="n">
        <v>46265</v>
      </c>
      <c r="C9" s="385">
        <f>$J8</f>
        <v>-53.2</v>
      </c>
      <c r="D9" s="385">
        <f>SUMIFS('Bills &amp; Commitments'!$G$7:$G$80,'Bills &amp; Commitments'!$D$7:$D$80,"Inflow",'Bills &amp; Commitments'!$I$7:$I$80,"No",'Bills &amp; Commitments'!$H$7:$H$80,"AED",'Bills &amp; Commitments'!$A$7:$A$80,"&gt;="&amp;$A9,'Bills &amp; Commitments'!$A$7:$A$80,"&lt;="&amp;$B9)</f>
        <v>0.0</v>
      </c>
      <c r="E9" s="385">
        <f>SUMIFS('Bills &amp; Commitments'!$G$7:$G$80,'Bills &amp; Commitments'!$D$7:$D$80,"Outflow",'Bills &amp; Commitments'!$I$7:$I$80,"No",'Bills &amp; Commitments'!$H$7:$H$80,"AED",'Bills &amp; Commitments'!$C$7:$C$80,"&lt;&gt;Rent",'Bills &amp; Commitments'!$A$7:$A$80,"&gt;="&amp;$A9,'Bills &amp; Commitments'!$A$7:$A$80,"&lt;="&amp;$B9)</f>
        <v>0.0</v>
      </c>
      <c r="F9" s="385">
        <f>($B9-$A9+1)*Settings!$B$15</f>
        <v>105.0</v>
      </c>
      <c r="G9" s="385">
        <f>Settings!$B$83</f>
        <v>386.37875</v>
      </c>
      <c r="H9" s="392" t="n">
        <v>0</v>
      </c>
      <c r="I9" s="392" t="n">
        <v>0</v>
      </c>
      <c r="J9" s="293">
        <f>$C9+$D9+$H9-$E9-$F9-$I9</f>
        <v>-158.2</v>
      </c>
      <c r="K9" s="293">
        <f>$K8+$I9-SUMIFS('Bills &amp; Commitments'!$G$7:$G$80,'Bills &amp; Commitments'!$C$7:$C$80,"Rent",'Bills &amp; Commitments'!$A$7:$A$80,"&gt;="&amp;$A9,'Bills &amp; Commitments'!$A$7:$A$80,"&lt;="&amp;$B9)</f>
        <v>5940.7</v>
      </c>
      <c r="L9" s="416" t="str">
        <f>IF($J9&lt;0,"NEGATIVE",IF($J9&lt;Settings!$B$14,"BELOW BUFFER","OK"))</f>
        <v>NEGATIVE</v>
      </c>
      <c r="M9" s="434">
        <f>SUMIFS(Transactions!$O$7:$O$520,Transactions!$F$7:$F$520,"Expense",Transactions!$P$7:$P$520,"AED",Transactions!$J$7:$J$520,"&lt;&gt;Business",Transactions!$B$7:$B$520,"&gt;="&amp;$A9,Transactions!$B$7:$B$520,"&lt;="&amp;$B9)</f>
        <v>2920.67</v>
      </c>
      <c r="N9" s="435" t="str">
        <f>IF($M9&gt;$F9,"OVER","On track")</f>
        <v>OVER</v>
      </c>
      <c r="O9" s="435" t="str">
        <f>IF($H9&gt;=$G9,"On track",IF($H9&gt;=$G9*0.5,"Behind","Well behind"))</f>
        <v>Well behind</v>
      </c>
      <c r="P9" s="434">
        <f>SUM($H$7:$H9)</f>
        <v>0.0</v>
      </c>
      <c r="Q9" s="434">
        <f>SUM($G$7:$G9)</f>
        <v>1159.13625</v>
      </c>
      <c r="R9" s="435" t="str">
        <f>IF($P9&gt;=$Q9,"ON PACE overall","SHORT by AED "&amp;TEXT($Q9-$P9,"#,##0.00"))</f>
        <v>SHORT by AED 1,159.14</v>
      </c>
    </row>
    <row r="10" ht="15" customHeight="1" s="278">
      <c r="A10" s="432" t="n">
        <v>46266</v>
      </c>
      <c r="B10" s="433" t="n">
        <v>46272</v>
      </c>
      <c r="C10" s="385">
        <f>$J9</f>
        <v>-158.2</v>
      </c>
      <c r="D10" s="385">
        <f>SUMIFS('Bills &amp; Commitments'!$G$7:$G$80,'Bills &amp; Commitments'!$D$7:$D$80,"Inflow",'Bills &amp; Commitments'!$I$7:$I$80,"No",'Bills &amp; Commitments'!$H$7:$H$80,"AED",'Bills &amp; Commitments'!$A$7:$A$80,"&gt;="&amp;$A10,'Bills &amp; Commitments'!$A$7:$A$80,"&lt;="&amp;$B10)</f>
        <v>0.0</v>
      </c>
      <c r="E10" s="385">
        <f>SUMIFS('Bills &amp; Commitments'!$G$7:$G$80,'Bills &amp; Commitments'!$D$7:$D$80,"Outflow",'Bills &amp; Commitments'!$I$7:$I$80,"No",'Bills &amp; Commitments'!$H$7:$H$80,"AED",'Bills &amp; Commitments'!$C$7:$C$80,"&lt;&gt;Rent",'Bills &amp; Commitments'!$A$7:$A$80,"&gt;="&amp;$A10,'Bills &amp; Commitments'!$A$7:$A$80,"&lt;="&amp;$B10)</f>
        <v>0.0</v>
      </c>
      <c r="F10" s="385">
        <f>($B10-$A10+1)*Settings!$B$15</f>
        <v>105.0</v>
      </c>
      <c r="G10" s="385">
        <f>Settings!$B$83</f>
        <v>386.37875</v>
      </c>
      <c r="H10" s="392" t="n">
        <v>0</v>
      </c>
      <c r="I10" s="392" t="n">
        <v>0</v>
      </c>
      <c r="J10" s="293">
        <f>$C10+$D10+$H10-$E10-$F10-$I10</f>
        <v>-263.2</v>
      </c>
      <c r="K10" s="293">
        <f>$K9+$I10-SUMIFS('Bills &amp; Commitments'!$G$7:$G$80,'Bills &amp; Commitments'!$C$7:$C$80,"Rent",'Bills &amp; Commitments'!$A$7:$A$80,"&gt;="&amp;$A10,'Bills &amp; Commitments'!$A$7:$A$80,"&lt;="&amp;$B10)</f>
        <v>5940.7</v>
      </c>
      <c r="L10" s="416" t="str">
        <f>IF($J10&lt;0,"NEGATIVE",IF($J10&lt;Settings!$B$14,"BELOW BUFFER","OK"))</f>
        <v>NEGATIVE</v>
      </c>
      <c r="M10" s="434">
        <f>SUMIFS(Transactions!$O$7:$O$520,Transactions!$F$7:$F$520,"Expense",Transactions!$P$7:$P$520,"AED",Transactions!$J$7:$J$520,"&lt;&gt;Business",Transactions!$B$7:$B$520,"&gt;="&amp;$A10,Transactions!$B$7:$B$520,"&lt;="&amp;$B10)</f>
        <v>0.0</v>
      </c>
      <c r="N10" s="435" t="str">
        <f>IF($M10&gt;$F10,"OVER","On track")</f>
        <v>On track</v>
      </c>
      <c r="O10" s="435" t="str">
        <f>IF($H10&gt;=$G10,"On track",IF($H10&gt;=$G10*0.5,"Behind","Well behind"))</f>
        <v>Well behind</v>
      </c>
      <c r="P10" s="434">
        <f>SUM($H$7:$H10)</f>
        <v>0.0</v>
      </c>
      <c r="Q10" s="434">
        <f>SUM($G$7:$G10)</f>
        <v>1545.515</v>
      </c>
      <c r="R10" s="435" t="str">
        <f>IF($P10&gt;=$Q10,"ON PACE overall","SHORT by AED "&amp;TEXT($Q10-$P10,"#,##0.00"))</f>
        <v>SHORT by AED 1,545.52</v>
      </c>
    </row>
    <row r="11" ht="15" customHeight="1" s="278">
      <c r="A11" s="432" t="n">
        <v>46273</v>
      </c>
      <c r="B11" s="433" t="n">
        <v>46279</v>
      </c>
      <c r="C11" s="385">
        <f>$J10</f>
        <v>-263.2</v>
      </c>
      <c r="D11" s="385">
        <f>SUMIFS('Bills &amp; Commitments'!$G$7:$G$80,'Bills &amp; Commitments'!$D$7:$D$80,"Inflow",'Bills &amp; Commitments'!$I$7:$I$80,"No",'Bills &amp; Commitments'!$H$7:$H$80,"AED",'Bills &amp; Commitments'!$A$7:$A$80,"&gt;="&amp;$A11,'Bills &amp; Commitments'!$A$7:$A$80,"&lt;="&amp;$B11)</f>
        <v>0.0</v>
      </c>
      <c r="E11" s="385">
        <f>SUMIFS('Bills &amp; Commitments'!$G$7:$G$80,'Bills &amp; Commitments'!$D$7:$D$80,"Outflow",'Bills &amp; Commitments'!$I$7:$I$80,"No",'Bills &amp; Commitments'!$H$7:$H$80,"AED",'Bills &amp; Commitments'!$C$7:$C$80,"&lt;&gt;Rent",'Bills &amp; Commitments'!$A$7:$A$80,"&gt;="&amp;$A11,'Bills &amp; Commitments'!$A$7:$A$80,"&lt;="&amp;$B11)</f>
        <v>462.4</v>
      </c>
      <c r="F11" s="385">
        <f>($B11-$A11+1)*Settings!$B$15</f>
        <v>105.0</v>
      </c>
      <c r="G11" s="385">
        <f>Settings!$B$83</f>
        <v>386.37875</v>
      </c>
      <c r="H11" s="392" t="n">
        <v>0</v>
      </c>
      <c r="I11" s="392" t="n">
        <v>0</v>
      </c>
      <c r="J11" s="293">
        <f>$C11+$D11+$H11-$E11-$F11-$I11</f>
        <v>-830.6</v>
      </c>
      <c r="K11" s="293">
        <f>$K10+$I11-SUMIFS('Bills &amp; Commitments'!$G$7:$G$80,'Bills &amp; Commitments'!$C$7:$C$80,"Rent",'Bills &amp; Commitments'!$A$7:$A$80,"&gt;="&amp;$A11,'Bills &amp; Commitments'!$A$7:$A$80,"&lt;="&amp;$B11)</f>
        <v>5940.7</v>
      </c>
      <c r="L11" s="416" t="str">
        <f>IF($J11&lt;0,"NEGATIVE",IF($J11&lt;Settings!$B$14,"BELOW BUFFER","OK"))</f>
        <v>NEGATIVE</v>
      </c>
      <c r="M11" s="434">
        <f>SUMIFS(Transactions!$O$7:$O$520,Transactions!$F$7:$F$520,"Expense",Transactions!$P$7:$P$520,"AED",Transactions!$J$7:$J$520,"&lt;&gt;Business",Transactions!$B$7:$B$520,"&gt;="&amp;$A11,Transactions!$B$7:$B$520,"&lt;="&amp;$B11)</f>
        <v>0.0</v>
      </c>
      <c r="N11" s="435" t="str">
        <f>IF($M11&gt;$F11,"OVER","On track")</f>
        <v>On track</v>
      </c>
      <c r="O11" s="435" t="str">
        <f>IF($H11&gt;=$G11,"On track",IF($H11&gt;=$G11*0.5,"Behind","Well behind"))</f>
        <v>Well behind</v>
      </c>
      <c r="P11" s="434">
        <f>SUM($H$7:$H11)</f>
        <v>0.0</v>
      </c>
      <c r="Q11" s="434">
        <f>SUM($G$7:$G11)</f>
        <v>1931.89375</v>
      </c>
      <c r="R11" s="435" t="str">
        <f>IF($P11&gt;=$Q11,"ON PACE overall","SHORT by AED "&amp;TEXT($Q11-$P11,"#,##0.00"))</f>
        <v>SHORT by AED 1,931.89</v>
      </c>
    </row>
    <row r="12" ht="15" customHeight="1" s="278">
      <c r="A12" s="432" t="n">
        <v>46280</v>
      </c>
      <c r="B12" s="433" t="n">
        <v>46286</v>
      </c>
      <c r="C12" s="385">
        <f>$J11</f>
        <v>-830.6</v>
      </c>
      <c r="D12" s="385">
        <f>SUMIFS('Bills &amp; Commitments'!$G$7:$G$80,'Bills &amp; Commitments'!$D$7:$D$80,"Inflow",'Bills &amp; Commitments'!$I$7:$I$80,"No",'Bills &amp; Commitments'!$H$7:$H$80,"AED",'Bills &amp; Commitments'!$A$7:$A$80,"&gt;="&amp;$A12,'Bills &amp; Commitments'!$A$7:$A$80,"&lt;="&amp;$B12)</f>
        <v>0.0</v>
      </c>
      <c r="E12" s="385">
        <f>SUMIFS('Bills &amp; Commitments'!$G$7:$G$80,'Bills &amp; Commitments'!$D$7:$D$80,"Outflow",'Bills &amp; Commitments'!$I$7:$I$80,"No",'Bills &amp; Commitments'!$H$7:$H$80,"AED",'Bills &amp; Commitments'!$C$7:$C$80,"&lt;&gt;Rent",'Bills &amp; Commitments'!$A$7:$A$80,"&gt;="&amp;$A12,'Bills &amp; Commitments'!$A$7:$A$80,"&lt;="&amp;$B12)</f>
        <v>914.93</v>
      </c>
      <c r="F12" s="385">
        <f>($B12-$A12+1)*Settings!$B$15</f>
        <v>105.0</v>
      </c>
      <c r="G12" s="385">
        <f>Settings!$B$83</f>
        <v>386.37875</v>
      </c>
      <c r="H12" s="392" t="n">
        <v>0</v>
      </c>
      <c r="I12" s="392" t="n">
        <v>0</v>
      </c>
      <c r="J12" s="293">
        <f>$C12+$D12+$H12-$E12-$F12-$I12</f>
        <v>-1850.53</v>
      </c>
      <c r="K12" s="293">
        <f>$K11+$I12-SUMIFS('Bills &amp; Commitments'!$G$7:$G$80,'Bills &amp; Commitments'!$C$7:$C$80,"Rent",'Bills &amp; Commitments'!$A$7:$A$80,"&gt;="&amp;$A12,'Bills &amp; Commitments'!$A$7:$A$80,"&lt;="&amp;$B12)</f>
        <v>5940.7</v>
      </c>
      <c r="L12" s="416" t="str">
        <f>IF($J12&lt;0,"NEGATIVE",IF($J12&lt;Settings!$B$14,"BELOW BUFFER","OK"))</f>
        <v>NEGATIVE</v>
      </c>
      <c r="M12" s="434">
        <f>SUMIFS(Transactions!$O$7:$O$520,Transactions!$F$7:$F$520,"Expense",Transactions!$P$7:$P$520,"AED",Transactions!$J$7:$J$520,"&lt;&gt;Business",Transactions!$B$7:$B$520,"&gt;="&amp;$A12,Transactions!$B$7:$B$520,"&lt;="&amp;$B12)</f>
        <v>0.0</v>
      </c>
      <c r="N12" s="435" t="str">
        <f>IF($M12&gt;$F12,"OVER","On track")</f>
        <v>On track</v>
      </c>
      <c r="O12" s="435" t="str">
        <f>IF($H12&gt;=$G12,"On track",IF($H12&gt;=$G12*0.5,"Behind","Well behind"))</f>
        <v>Well behind</v>
      </c>
      <c r="P12" s="434">
        <f>SUM($H$7:$H12)</f>
        <v>0.0</v>
      </c>
      <c r="Q12" s="434">
        <f>SUM($G$7:$G12)</f>
        <v>2318.2725</v>
      </c>
      <c r="R12" s="435" t="str">
        <f>IF($P12&gt;=$Q12,"ON PACE overall","SHORT by AED "&amp;TEXT($Q12-$P12,"#,##0.00"))</f>
        <v>SHORT by AED 2,318.27</v>
      </c>
    </row>
    <row r="13" ht="15" customHeight="1" s="278">
      <c r="A13" s="432" t="n">
        <v>46287</v>
      </c>
      <c r="B13" s="433" t="n">
        <v>46293</v>
      </c>
      <c r="C13" s="385">
        <f>$J12</f>
        <v>-1850.53</v>
      </c>
      <c r="D13" s="385">
        <f>SUMIFS('Bills &amp; Commitments'!$G$7:$G$80,'Bills &amp; Commitments'!$D$7:$D$80,"Inflow",'Bills &amp; Commitments'!$I$7:$I$80,"No",'Bills &amp; Commitments'!$H$7:$H$80,"AED",'Bills &amp; Commitments'!$A$7:$A$80,"&gt;="&amp;$A13,'Bills &amp; Commitments'!$A$7:$A$80,"&lt;="&amp;$B13)</f>
        <v>7914.88</v>
      </c>
      <c r="E13" s="385">
        <f>SUMIFS('Bills &amp; Commitments'!$G$7:$G$80,'Bills &amp; Commitments'!$D$7:$D$80,"Outflow",'Bills &amp; Commitments'!$I$7:$I$80,"No",'Bills &amp; Commitments'!$H$7:$H$80,"AED",'Bills &amp; Commitments'!$C$7:$C$80,"&lt;&gt;Rent",'Bills &amp; Commitments'!$A$7:$A$80,"&gt;="&amp;$A13,'Bills &amp; Commitments'!$A$7:$A$80,"&lt;="&amp;$B13)</f>
        <v>0.0</v>
      </c>
      <c r="F13" s="385">
        <f>($B13-$A13+1)*Settings!$B$15</f>
        <v>105.0</v>
      </c>
      <c r="G13" s="385">
        <f>Settings!$B$83</f>
        <v>386.37875</v>
      </c>
      <c r="H13" s="392" t="n">
        <v>0</v>
      </c>
      <c r="I13" s="392" t="n">
        <v>7750</v>
      </c>
      <c r="J13" s="293">
        <f>$C13+$D13+$H13-$E13-$F13-$I13</f>
        <v>-1790.65</v>
      </c>
      <c r="K13" s="293">
        <f>$K12+$I13-SUMIFS('Bills &amp; Commitments'!$G$7:$G$80,'Bills &amp; Commitments'!$C$7:$C$80,"Rent",'Bills &amp; Commitments'!$A$7:$A$80,"&gt;="&amp;$A13,'Bills &amp; Commitments'!$A$7:$A$80,"&lt;="&amp;$B13)</f>
        <v>13690.7</v>
      </c>
      <c r="L13" s="416" t="str">
        <f>IF($J13&lt;0,"NEGATIVE",IF($J13&lt;Settings!$B$14,"BELOW BUFFER","OK"))</f>
        <v>NEGATIVE</v>
      </c>
      <c r="M13" s="434">
        <f>SUMIFS(Transactions!$O$7:$O$520,Transactions!$F$7:$F$520,"Expense",Transactions!$P$7:$P$520,"AED",Transactions!$J$7:$J$520,"&lt;&gt;Business",Transactions!$B$7:$B$520,"&gt;="&amp;$A13,Transactions!$B$7:$B$520,"&lt;="&amp;$B13)</f>
        <v>0.0</v>
      </c>
      <c r="N13" s="435" t="str">
        <f>IF($M13&gt;$F13,"OVER","On track")</f>
        <v>On track</v>
      </c>
      <c r="O13" s="435" t="str">
        <f>IF($H13&gt;=$G13,"On track",IF($H13&gt;=$G13*0.5,"Behind","Well behind"))</f>
        <v>Well behind</v>
      </c>
      <c r="P13" s="434">
        <f>SUM($H$7:$H13)</f>
        <v>0.0</v>
      </c>
      <c r="Q13" s="434">
        <f>SUM($G$7:$G13)</f>
        <v>2704.65125</v>
      </c>
      <c r="R13" s="435" t="str">
        <f>IF($P13&gt;=$Q13,"ON PACE overall","SHORT by AED "&amp;TEXT($Q13-$P13,"#,##0.00"))</f>
        <v>SHORT by AED 2,704.65</v>
      </c>
    </row>
    <row r="14" ht="15" customHeight="1" s="278">
      <c r="A14" s="432" t="n">
        <v>46294</v>
      </c>
      <c r="B14" s="433" t="n">
        <v>46300</v>
      </c>
      <c r="C14" s="385">
        <f>$J13</f>
        <v>-1790.65</v>
      </c>
      <c r="D14" s="385">
        <f>SUMIFS('Bills &amp; Commitments'!$G$7:$G$80,'Bills &amp; Commitments'!$D$7:$D$80,"Inflow",'Bills &amp; Commitments'!$I$7:$I$80,"No",'Bills &amp; Commitments'!$H$7:$H$80,"AED",'Bills &amp; Commitments'!$A$7:$A$80,"&gt;="&amp;$A14,'Bills &amp; Commitments'!$A$7:$A$80,"&lt;="&amp;$B14)</f>
        <v>0.0</v>
      </c>
      <c r="E14" s="385">
        <f>SUMIFS('Bills &amp; Commitments'!$G$7:$G$80,'Bills &amp; Commitments'!$D$7:$D$80,"Outflow",'Bills &amp; Commitments'!$I$7:$I$80,"No",'Bills &amp; Commitments'!$H$7:$H$80,"AED",'Bills &amp; Commitments'!$C$7:$C$80,"&lt;&gt;Rent",'Bills &amp; Commitments'!$A$7:$A$80,"&gt;="&amp;$A14,'Bills &amp; Commitments'!$A$7:$A$80,"&lt;="&amp;$B14)</f>
        <v>1508.75</v>
      </c>
      <c r="F14" s="385">
        <f>($B14-$A14+1)*Settings!$B$15</f>
        <v>105.0</v>
      </c>
      <c r="G14" s="385">
        <f>Settings!$B$83</f>
        <v>386.37875</v>
      </c>
      <c r="H14" s="392" t="n">
        <v>0</v>
      </c>
      <c r="I14" s="392" t="n">
        <v>0</v>
      </c>
      <c r="J14" s="293">
        <f>$C14+$D14+$H14-$E14-$F14-$I14</f>
        <v>-3404.4</v>
      </c>
      <c r="K14" s="293">
        <f>$K13+$I14-SUMIFS('Bills &amp; Commitments'!$G$7:$G$80,'Bills &amp; Commitments'!$C$7:$C$80,"Rent",'Bills &amp; Commitments'!$A$7:$A$80,"&gt;="&amp;$A14,'Bills &amp; Commitments'!$A$7:$A$80,"&lt;="&amp;$B14)</f>
        <v>13690.7</v>
      </c>
      <c r="L14" s="416" t="str">
        <f>IF($J14&lt;0,"NEGATIVE",IF($J14&lt;Settings!$B$14,"BELOW BUFFER","OK"))</f>
        <v>NEGATIVE</v>
      </c>
      <c r="M14" s="434">
        <f>SUMIFS(Transactions!$O$7:$O$520,Transactions!$F$7:$F$520,"Expense",Transactions!$P$7:$P$520,"AED",Transactions!$J$7:$J$520,"&lt;&gt;Business",Transactions!$B$7:$B$520,"&gt;="&amp;$A14,Transactions!$B$7:$B$520,"&lt;="&amp;$B14)</f>
        <v>0.0</v>
      </c>
      <c r="N14" s="435" t="str">
        <f>IF($M14&gt;$F14,"OVER","On track")</f>
        <v>On track</v>
      </c>
      <c r="O14" s="435" t="str">
        <f>IF($H14&gt;=$G14,"On track",IF($H14&gt;=$G14*0.5,"Behind","Well behind"))</f>
        <v>Well behind</v>
      </c>
      <c r="P14" s="434">
        <f>SUM($H$7:$H14)</f>
        <v>0.0</v>
      </c>
      <c r="Q14" s="434">
        <f>SUM($G$7:$G14)</f>
        <v>3091.03</v>
      </c>
      <c r="R14" s="435" t="str">
        <f>IF($P14&gt;=$Q14,"ON PACE overall","SHORT by AED "&amp;TEXT($Q14-$P14,"#,##0.00"))</f>
        <v>SHORT by AED 3,091.03</v>
      </c>
    </row>
    <row r="15" ht="15" customHeight="1" s="278">
      <c r="A15" s="432" t="n">
        <v>46301</v>
      </c>
      <c r="B15" s="433" t="n">
        <v>46307</v>
      </c>
      <c r="C15" s="385">
        <f>$J14</f>
        <v>-3404.4</v>
      </c>
      <c r="D15" s="385">
        <f>SUMIFS('Bills &amp; Commitments'!$G$7:$G$80,'Bills &amp; Commitments'!$D$7:$D$80,"Inflow",'Bills &amp; Commitments'!$I$7:$I$80,"No",'Bills &amp; Commitments'!$H$7:$H$80,"AED",'Bills &amp; Commitments'!$A$7:$A$80,"&gt;="&amp;$A15,'Bills &amp; Commitments'!$A$7:$A$80,"&lt;="&amp;$B15)</f>
        <v>0.0</v>
      </c>
      <c r="E15" s="385">
        <f>SUMIFS('Bills &amp; Commitments'!$G$7:$G$80,'Bills &amp; Commitments'!$D$7:$D$80,"Outflow",'Bills &amp; Commitments'!$I$7:$I$80,"No",'Bills &amp; Commitments'!$H$7:$H$80,"AED",'Bills &amp; Commitments'!$C$7:$C$80,"&lt;&gt;Rent",'Bills &amp; Commitments'!$A$7:$A$80,"&gt;="&amp;$A15,'Bills &amp; Commitments'!$A$7:$A$80,"&lt;="&amp;$B15)</f>
        <v>462.4</v>
      </c>
      <c r="F15" s="385">
        <f>($B15-$A15+1)*Settings!$B$15</f>
        <v>105.0</v>
      </c>
      <c r="G15" s="385">
        <f>Settings!$B$83</f>
        <v>386.37875</v>
      </c>
      <c r="H15" s="392" t="n">
        <v>0</v>
      </c>
      <c r="I15" s="392" t="n">
        <v>0</v>
      </c>
      <c r="J15" s="293">
        <f>$C15+$D15+$H15-$E15-$F15-$I15</f>
        <v>-3971.8</v>
      </c>
      <c r="K15" s="293">
        <f>$K14+$I15-SUMIFS('Bills &amp; Commitments'!$G$7:$G$80,'Bills &amp; Commitments'!$C$7:$C$80,"Rent",'Bills &amp; Commitments'!$A$7:$A$80,"&gt;="&amp;$A15,'Bills &amp; Commitments'!$A$7:$A$80,"&lt;="&amp;$B15)</f>
        <v>13690.7</v>
      </c>
      <c r="L15" s="416" t="str">
        <f>IF($J15&lt;0,"NEGATIVE",IF($J15&lt;Settings!$B$14,"BELOW BUFFER","OK"))</f>
        <v>NEGATIVE</v>
      </c>
      <c r="M15" s="434">
        <f>SUMIFS(Transactions!$O$7:$O$520,Transactions!$F$7:$F$520,"Expense",Transactions!$P$7:$P$520,"AED",Transactions!$J$7:$J$520,"&lt;&gt;Business",Transactions!$B$7:$B$520,"&gt;="&amp;$A15,Transactions!$B$7:$B$520,"&lt;="&amp;$B15)</f>
        <v>0.0</v>
      </c>
      <c r="N15" s="435" t="str">
        <f>IF($M15&gt;$F15,"OVER","On track")</f>
        <v>On track</v>
      </c>
      <c r="O15" s="435" t="str">
        <f>IF($H15&gt;=$G15,"On track",IF($H15&gt;=$G15*0.5,"Behind","Well behind"))</f>
        <v>Well behind</v>
      </c>
      <c r="P15" s="434">
        <f>SUM($H$7:$H15)</f>
        <v>0.0</v>
      </c>
      <c r="Q15" s="434">
        <f>SUM($G$7:$G15)</f>
        <v>3477.40875</v>
      </c>
      <c r="R15" s="435" t="str">
        <f>IF($P15&gt;=$Q15,"ON PACE overall","SHORT by AED "&amp;TEXT($Q15-$P15,"#,##0.00"))</f>
        <v>SHORT by AED 3,477.41</v>
      </c>
    </row>
    <row r="16" ht="15" customHeight="1" s="278">
      <c r="A16" s="432" t="n">
        <v>46308</v>
      </c>
      <c r="B16" s="433" t="n">
        <v>46314</v>
      </c>
      <c r="C16" s="385">
        <f>$J15</f>
        <v>-3971.8</v>
      </c>
      <c r="D16" s="385">
        <f>SUMIFS('Bills &amp; Commitments'!$G$7:$G$80,'Bills &amp; Commitments'!$D$7:$D$80,"Inflow",'Bills &amp; Commitments'!$I$7:$I$80,"No",'Bills &amp; Commitments'!$H$7:$H$80,"AED",'Bills &amp; Commitments'!$A$7:$A$80,"&gt;="&amp;$A16,'Bills &amp; Commitments'!$A$7:$A$80,"&lt;="&amp;$B16)</f>
        <v>0.0</v>
      </c>
      <c r="E16" s="385">
        <f>SUMIFS('Bills &amp; Commitments'!$G$7:$G$80,'Bills &amp; Commitments'!$D$7:$D$80,"Outflow",'Bills &amp; Commitments'!$I$7:$I$80,"No",'Bills &amp; Commitments'!$H$7:$H$80,"AED",'Bills &amp; Commitments'!$C$7:$C$80,"&lt;&gt;Rent",'Bills &amp; Commitments'!$A$7:$A$80,"&gt;="&amp;$A16,'Bills &amp; Commitments'!$A$7:$A$80,"&lt;="&amp;$B16)</f>
        <v>914.93</v>
      </c>
      <c r="F16" s="385">
        <f>($B16-$A16+1)*Settings!$B$15</f>
        <v>105.0</v>
      </c>
      <c r="G16" s="385">
        <f>Settings!$B$83</f>
        <v>386.37875</v>
      </c>
      <c r="H16" s="392" t="n">
        <v>0</v>
      </c>
      <c r="I16" s="392" t="n">
        <v>0</v>
      </c>
      <c r="J16" s="293">
        <f>$C16+$D16+$H16-$E16-$F16-$I16</f>
        <v>-4991.73</v>
      </c>
      <c r="K16" s="293">
        <f>$K15+$I16-SUMIFS('Bills &amp; Commitments'!$G$7:$G$80,'Bills &amp; Commitments'!$C$7:$C$80,"Rent",'Bills &amp; Commitments'!$A$7:$A$80,"&gt;="&amp;$A16,'Bills &amp; Commitments'!$A$7:$A$80,"&lt;="&amp;$B16)</f>
        <v>13690.7</v>
      </c>
      <c r="L16" s="416" t="str">
        <f>IF($J16&lt;0,"NEGATIVE",IF($J16&lt;Settings!$B$14,"BELOW BUFFER","OK"))</f>
        <v>NEGATIVE</v>
      </c>
      <c r="M16" s="434">
        <f>SUMIFS(Transactions!$O$7:$O$520,Transactions!$F$7:$F$520,"Expense",Transactions!$P$7:$P$520,"AED",Transactions!$J$7:$J$520,"&lt;&gt;Business",Transactions!$B$7:$B$520,"&gt;="&amp;$A16,Transactions!$B$7:$B$520,"&lt;="&amp;$B16)</f>
        <v>0.0</v>
      </c>
      <c r="N16" s="435" t="str">
        <f>IF($M16&gt;$F16,"OVER","On track")</f>
        <v>On track</v>
      </c>
      <c r="O16" s="435" t="str">
        <f>IF($H16&gt;=$G16,"On track",IF($H16&gt;=$G16*0.5,"Behind","Well behind"))</f>
        <v>Well behind</v>
      </c>
      <c r="P16" s="434">
        <f>SUM($H$7:$H16)</f>
        <v>0.0</v>
      </c>
      <c r="Q16" s="434">
        <f>SUM($G$7:$G16)</f>
        <v>3863.7875</v>
      </c>
      <c r="R16" s="435" t="str">
        <f>IF($P16&gt;=$Q16,"ON PACE overall","SHORT by AED "&amp;TEXT($Q16-$P16,"#,##0.00"))</f>
        <v>SHORT by AED 3,863.79</v>
      </c>
    </row>
    <row r="17" ht="15" customHeight="1" s="278">
      <c r="A17" s="432" t="n">
        <v>46315</v>
      </c>
      <c r="B17" s="433" t="n">
        <v>46321</v>
      </c>
      <c r="C17" s="385">
        <f>$J16</f>
        <v>-4991.73</v>
      </c>
      <c r="D17" s="385">
        <f>SUMIFS('Bills &amp; Commitments'!$G$7:$G$80,'Bills &amp; Commitments'!$D$7:$D$80,"Inflow",'Bills &amp; Commitments'!$I$7:$I$80,"No",'Bills &amp; Commitments'!$H$7:$H$80,"AED",'Bills &amp; Commitments'!$A$7:$A$80,"&gt;="&amp;$A17,'Bills &amp; Commitments'!$A$7:$A$80,"&lt;="&amp;$B17)</f>
        <v>7914.88</v>
      </c>
      <c r="E17" s="385">
        <f>SUMIFS('Bills &amp; Commitments'!$G$7:$G$80,'Bills &amp; Commitments'!$D$7:$D$80,"Outflow",'Bills &amp; Commitments'!$I$7:$I$80,"No",'Bills &amp; Commitments'!$H$7:$H$80,"AED",'Bills &amp; Commitments'!$C$7:$C$80,"&lt;&gt;Rent",'Bills &amp; Commitments'!$A$7:$A$80,"&gt;="&amp;$A17,'Bills &amp; Commitments'!$A$7:$A$80,"&lt;="&amp;$B17)</f>
        <v>0.0</v>
      </c>
      <c r="F17" s="385">
        <f>($B17-$A17+1)*Settings!$B$15</f>
        <v>105.0</v>
      </c>
      <c r="G17" s="385">
        <f>Settings!$B$83</f>
        <v>386.37875</v>
      </c>
      <c r="H17" s="392" t="n">
        <v>0</v>
      </c>
      <c r="I17" s="392" t="n">
        <v>0</v>
      </c>
      <c r="J17" s="293">
        <f>$C17+$D17+$H17-$E17-$F17-$I17</f>
        <v>2818.15</v>
      </c>
      <c r="K17" s="293">
        <f>$K16+$I17-SUMIFS('Bills &amp; Commitments'!$G$7:$G$80,'Bills &amp; Commitments'!$C$7:$C$80,"Rent",'Bills &amp; Commitments'!$A$7:$A$80,"&gt;="&amp;$A17,'Bills &amp; Commitments'!$A$7:$A$80,"&lt;="&amp;$B17)</f>
        <v>1940.7</v>
      </c>
      <c r="L17" s="416" t="str">
        <f>IF($J17&lt;0,"NEGATIVE",IF($J17&lt;Settings!$B$14,"BELOW BUFFER","OK"))</f>
        <v>OK</v>
      </c>
      <c r="M17" s="434">
        <f>SUMIFS(Transactions!$O$7:$O$520,Transactions!$F$7:$F$520,"Expense",Transactions!$P$7:$P$520,"AED",Transactions!$J$7:$J$520,"&lt;&gt;Business",Transactions!$B$7:$B$520,"&gt;="&amp;$A17,Transactions!$B$7:$B$520,"&lt;="&amp;$B17)</f>
        <v>0.0</v>
      </c>
      <c r="N17" s="435" t="str">
        <f>IF($M17&gt;$F17,"OVER","On track")</f>
        <v>On track</v>
      </c>
      <c r="O17" s="435" t="str">
        <f>IF($H17&gt;=$G17,"On track",IF($H17&gt;=$G17*0.5,"Behind","Well behind"))</f>
        <v>Well behind</v>
      </c>
      <c r="P17" s="434">
        <f>SUM($H$7:$H17)</f>
        <v>0.0</v>
      </c>
      <c r="Q17" s="434">
        <f>SUM($G$7:$G17)</f>
        <v>4250.16625</v>
      </c>
      <c r="R17" s="435" t="str">
        <f>IF($P17&gt;=$Q17,"ON PACE overall","SHORT by AED "&amp;TEXT($Q17-$P17,"#,##0.00"))</f>
        <v>SHORT by AED 4,250.17</v>
      </c>
    </row>
    <row r="18" ht="15" customHeight="1" s="278">
      <c r="A18" s="432" t="n">
        <v>46322</v>
      </c>
      <c r="B18" s="433" t="n">
        <v>46328</v>
      </c>
      <c r="C18" s="385">
        <f>$J17</f>
        <v>2818.15</v>
      </c>
      <c r="D18" s="385">
        <f>SUMIFS('Bills &amp; Commitments'!$G$7:$G$80,'Bills &amp; Commitments'!$D$7:$D$80,"Inflow",'Bills &amp; Commitments'!$I$7:$I$80,"No",'Bills &amp; Commitments'!$H$7:$H$80,"AED",'Bills &amp; Commitments'!$A$7:$A$80,"&gt;="&amp;$A18,'Bills &amp; Commitments'!$A$7:$A$80,"&lt;="&amp;$B18)</f>
        <v>0.0</v>
      </c>
      <c r="E18" s="385">
        <f>SUMIFS('Bills &amp; Commitments'!$G$7:$G$80,'Bills &amp; Commitments'!$D$7:$D$80,"Outflow",'Bills &amp; Commitments'!$I$7:$I$80,"No",'Bills &amp; Commitments'!$H$7:$H$80,"AED",'Bills &amp; Commitments'!$C$7:$C$80,"&lt;&gt;Rent",'Bills &amp; Commitments'!$A$7:$A$80,"&gt;="&amp;$A18,'Bills &amp; Commitments'!$A$7:$A$80,"&lt;="&amp;$B18)</f>
        <v>793.42</v>
      </c>
      <c r="F18" s="385">
        <f>($B18-$A18+1)*Settings!$B$15</f>
        <v>105.0</v>
      </c>
      <c r="G18" s="385">
        <f>Settings!$B$83</f>
        <v>386.37875</v>
      </c>
      <c r="H18" s="392" t="n">
        <v>0</v>
      </c>
      <c r="I18" s="392" t="n">
        <v>0</v>
      </c>
      <c r="J18" s="293">
        <f>$C18+$D18+$H18-$E18-$F18-$I18</f>
        <v>1919.73</v>
      </c>
      <c r="K18" s="293">
        <f>$K17+$I18-SUMIFS('Bills &amp; Commitments'!$G$7:$G$80,'Bills &amp; Commitments'!$C$7:$C$80,"Rent",'Bills &amp; Commitments'!$A$7:$A$80,"&gt;="&amp;$A18,'Bills &amp; Commitments'!$A$7:$A$80,"&lt;="&amp;$B18)</f>
        <v>1940.7</v>
      </c>
      <c r="L18" s="416" t="str">
        <f>IF($J18&lt;0,"NEGATIVE",IF($J18&lt;Settings!$B$14,"BELOW BUFFER","OK"))</f>
        <v>OK</v>
      </c>
      <c r="M18" s="434">
        <f>SUMIFS(Transactions!$O$7:$O$520,Transactions!$F$7:$F$520,"Expense",Transactions!$P$7:$P$520,"AED",Transactions!$J$7:$J$520,"&lt;&gt;Business",Transactions!$B$7:$B$520,"&gt;="&amp;$A18,Transactions!$B$7:$B$520,"&lt;="&amp;$B18)</f>
        <v>0.0</v>
      </c>
      <c r="N18" s="435" t="str">
        <f>IF($M18&gt;$F18,"OVER","On track")</f>
        <v>On track</v>
      </c>
      <c r="O18" s="435" t="str">
        <f>IF($H18&gt;=$G18,"On track",IF($H18&gt;=$G18*0.5,"Behind","Well behind"))</f>
        <v>Well behind</v>
      </c>
      <c r="P18" s="434">
        <f>SUM($H$7:$H18)</f>
        <v>0.0</v>
      </c>
      <c r="Q18" s="434">
        <f>SUM($G$7:$G18)</f>
        <v>4636.545</v>
      </c>
      <c r="R18" s="435" t="str">
        <f>IF($P18&gt;=$Q18,"ON PACE overall","SHORT by AED "&amp;TEXT($Q18-$P18,"#,##0.00"))</f>
        <v>SHORT by AED 4,636.55</v>
      </c>
    </row>
    <row r="19" ht="15" customHeight="1" s="278">
      <c r="A19" s="376" t="inlineStr">
        <is>
          <t>TOTAL</t>
        </is>
      </c>
      <c r="B19" s="377" t="n"/>
      <c r="C19" s="377" t="n"/>
      <c r="D19" s="378">
        <f>SUM(D7:D18)</f>
        <v>15829.76</v>
      </c>
      <c r="E19" s="378">
        <f>SUM(E7:E18)</f>
        <v>5056.83</v>
      </c>
      <c r="F19" s="378">
        <f>SUM(F7:F18)</f>
        <v>1260.0</v>
      </c>
      <c r="G19" s="378">
        <f>SUM(G7:G18)</f>
        <v>4636.545</v>
      </c>
      <c r="H19" s="378">
        <f>SUM(H7:H18)</f>
        <v>0.0</v>
      </c>
      <c r="I19" s="378">
        <f>SUM(I7:I18)</f>
        <v>7750.0</v>
      </c>
      <c r="J19" s="378">
        <f>J18</f>
        <v>1919.73</v>
      </c>
      <c r="K19" s="378">
        <f>K18</f>
        <v>1940.7</v>
      </c>
      <c r="L19" s="377" t="n"/>
    </row>
    <row r="21" ht="19.5" customHeight="1" s="278">
      <c r="A21" s="382" t="inlineStr">
        <is>
          <t>READ THIS</t>
        </is>
      </c>
      <c r="B21" s="287" t="n"/>
      <c r="C21" s="287" t="n"/>
      <c r="D21" s="287" t="n"/>
      <c r="E21" s="287" t="n"/>
      <c r="F21" s="287" t="n"/>
      <c r="G21" s="287" t="n"/>
      <c r="H21" s="287" t="n"/>
      <c r="I21" s="287" t="n"/>
      <c r="J21" s="287" t="n"/>
      <c r="K21" s="287" t="n"/>
      <c r="L21" s="287" t="n"/>
    </row>
    <row r="22" ht="15" customHeight="1" s="278">
      <c r="A22" s="296" t="inlineStr">
        <is>
          <t>Lowest closing balance in the period</t>
        </is>
      </c>
      <c r="B22" s="318" t="n"/>
      <c r="C22" s="318" t="n"/>
      <c r="D22" s="319" t="n"/>
      <c r="E22" s="367">
        <f>MIN(J7:J18)</f>
        <v>-4991.73</v>
      </c>
    </row>
    <row r="23" ht="15" customHeight="1" s="278">
      <c r="A23" s="296" t="inlineStr">
        <is>
          <t>Week it happens</t>
        </is>
      </c>
      <c r="B23" s="318" t="n"/>
      <c r="C23" s="318" t="n"/>
      <c r="D23" s="319" t="n"/>
      <c r="E23" s="365">
        <f>INDEX($A$7:$A$18,MATCH(MIN(J7:J18),J7:J18,0))</f>
        <v>46308.0</v>
      </c>
    </row>
    <row r="24" ht="15" customHeight="1" s="278">
      <c r="A24" s="296" t="inlineStr">
        <is>
          <t>Weeks below the safety buffer</t>
        </is>
      </c>
      <c r="B24" s="318" t="n"/>
      <c r="C24" s="318" t="n"/>
      <c r="D24" s="319" t="n"/>
      <c r="E24" s="362">
        <f>COUNTIFS(L7:L18,"BELOW BUFFER")+COUNTIFS(L7:L18,"NEGATIVE")</f>
        <v>10.0</v>
      </c>
    </row>
    <row r="25" ht="15" customHeight="1" s="278">
      <c r="A25" s="296" t="inlineStr">
        <is>
          <t>Weeks that go negative</t>
        </is>
      </c>
      <c r="B25" s="318" t="n"/>
      <c r="C25" s="318" t="n"/>
      <c r="D25" s="319" t="n"/>
      <c r="E25" s="362">
        <f>COUNTIFS(L7:L18,"NEGATIVE")</f>
        <v>9.0</v>
      </c>
    </row>
    <row r="26" ht="15" customHeight="1" s="278">
      <c r="A26" s="296" t="inlineStr">
        <is>
          <t>Side income needed to clear every negative week</t>
        </is>
      </c>
      <c r="B26" s="318" t="n"/>
      <c r="C26" s="318" t="n"/>
      <c r="D26" s="319" t="n"/>
      <c r="E26" s="367">
        <f>MAX(-MIN(J7:J18),0)</f>
        <v>4991.73</v>
      </c>
    </row>
    <row r="27" ht="15" customHeight="1" s="278">
      <c r="A27" s="296" t="inlineStr">
        <is>
          <t>Rent vault at the cheque date</t>
        </is>
      </c>
      <c r="B27" s="318" t="n"/>
      <c r="C27" s="318" t="n"/>
      <c r="D27" s="319" t="n"/>
      <c r="E27" s="367">
        <f>K16</f>
        <v>13690.7</v>
      </c>
    </row>
    <row r="28" ht="15" customHeight="1" s="278">
      <c r="A28" s="296" t="inlineStr">
        <is>
          <t>Vault surplus / shortfall vs the cheque</t>
        </is>
      </c>
      <c r="B28" s="318" t="n"/>
      <c r="C28" s="318" t="n"/>
      <c r="D28" s="319" t="n"/>
      <c r="E28" s="367">
        <f>K16</f>
        <v>13690.7</v>
      </c>
    </row>
    <row r="30" ht="15" customHeight="1" s="278">
      <c r="A30" s="342" t="inlineStr">
        <is>
          <t>The vault plan in column I moves AED 1,430 tomorrow, AED 1,000 on the 26 Aug salary and AED 5,320 on the 26 Sep salary. Front-loading more in August breaks September. Change the blue figures and every downstream week re-rates.</t>
        </is>
      </c>
    </row>
    <row r="31" ht="15" customHeight="1" s="278"/>
    <row r="32" ht="15" customHeight="1" s="278"/>
    <row r="34" ht="15" customHeight="1" s="278">
      <c r="A34" s="342" t="inlineStr">
        <is>
          <t>HOW TO USE THIS: every time you earn something, tell me the amount and I'll add it to the Side income BANKED column for that week. Column R shows whether you're on pace overall, not just this week — falling behind one week can be caught up later.</t>
        </is>
      </c>
    </row>
    <row r="35" ht="15" customHeight="1" s="278"/>
  </sheetData>
  <mergeCells count="9">
    <mergeCell ref="A23:D23"/>
    <mergeCell ref="A27:D27"/>
    <mergeCell ref="A22:D22"/>
    <mergeCell ref="A26:D26"/>
    <mergeCell ref="A25:D25"/>
    <mergeCell ref="A24:D24"/>
    <mergeCell ref="A30:L32"/>
    <mergeCell ref="A28:D28"/>
    <mergeCell ref="A34:R35"/>
  </mergeCells>
  <conditionalFormatting sqref="L7:L18">
    <cfRule type="cellIs" rank="0" priority="2" equalAverage="0" operator="equal" aboveAverage="0" dxfId="4" text="" percent="0" bottom="0">
      <formula>"NEGATIVE"</formula>
    </cfRule>
    <cfRule type="cellIs" rank="0" priority="3" equalAverage="0" operator="equal" aboveAverage="0" dxfId="5" text="" percent="0" bottom="0">
      <formula>"BELOW BUFFER"</formula>
    </cfRule>
    <cfRule type="cellIs" rank="0" priority="4" equalAverage="0" operator="equal" aboveAverage="0" dxfId="20" text="" percent="0" bottom="0">
      <formula>"OK"</formula>
    </cfRule>
  </conditionalFormatting>
  <conditionalFormatting sqref="J7:J18">
    <cfRule type="cellIs" rank="0" priority="5" equalAverage="0" operator="lessThan" aboveAverage="0" dxfId="4" text="" percent="0" bottom="0">
      <formula>0</formula>
    </cfRule>
    <cfRule type="dataBar" priority="6">
      <dataBar minLength="10" maxLength="90" showValue="1">
        <cfvo type="min" val="0"/>
        <cfvo type="max" val="0"/>
        <color rgb="FF1B7F5A"/>
      </dataBar>
    </cfRule>
  </conditionalFormatting>
  <conditionalFormatting sqref="N7:N18">
    <cfRule type="cellIs" rank="0" priority="7" equalAverage="0" operator="equal" aboveAverage="0" dxfId="22" text="" percent="0" bottom="0">
      <formula>"OVER"</formula>
    </cfRule>
    <cfRule type="cellIs" rank="0" priority="8" equalAverage="0" operator="equal" aboveAverage="0" dxfId="23" text="" percent="0" bottom="0">
      <formula>"On track"</formula>
    </cfRule>
  </conditionalFormatting>
  <conditionalFormatting sqref="O7:O18">
    <cfRule type="cellIs" rank="0" priority="9" equalAverage="0" operator="equal" aboveAverage="0" dxfId="23" text="" percent="0" bottom="0">
      <formula>"On track"</formula>
    </cfRule>
    <cfRule type="cellIs" rank="0" priority="10" equalAverage="0" operator="equal" aboveAverage="0" dxfId="24" text="" percent="0" bottom="0">
      <formula>"Behind"</formula>
    </cfRule>
    <cfRule type="cellIs" rank="0" priority="11" equalAverage="0" operator="equal" aboveAverage="0" dxfId="22" text="" percent="0" bottom="0">
      <formula>"Well behind"</formula>
    </cfRule>
  </conditionalFormatting>
  <conditionalFormatting sqref="R7:R18">
    <cfRule type="cellIs" rank="0" priority="12" equalAverage="0" operator="equal" aboveAverage="0" dxfId="23" text="" percent="0" bottom="0">
      <formula>"ON PACE overall"</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B4232B"/>
    <outlinePr summaryBelow="1" summaryRight="1"/>
    <pageSetUpPr fitToPage="0"/>
  </sheetPr>
  <dimension ref="A1:G3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77" min="1" max="1"/>
    <col width="34" customWidth="1" style="277" min="2" max="2"/>
    <col width="14" customWidth="1" style="277" min="3" max="3"/>
    <col width="13" customWidth="1" style="277" min="4" max="4"/>
    <col width="15" customWidth="1" style="277" min="5" max="6"/>
    <col width="44" customWidth="1" style="277" min="7" max="7"/>
  </cols>
  <sheetData>
    <row r="1" ht="30" customHeight="1" s="278">
      <c r="A1" s="345" t="inlineStr">
        <is>
          <t>Planning Calendar · every dated event to January 2027</t>
        </is>
      </c>
    </row>
    <row r="2" ht="13.5" customHeight="1" s="278">
      <c r="A2" s="565" t="inlineStr">
        <is>
          <t>Bills, income, transfers and deadlines in one timeline. Running balance assumes you hold the living floor and bank the weekly target.</t>
        </is>
      </c>
    </row>
    <row r="3" ht="6" customHeight="1" s="278"/>
    <row r="5" ht="19.5" customHeight="1" s="278">
      <c r="A5" s="382" t="inlineStr">
        <is>
          <t>THE TIMELINE</t>
        </is>
      </c>
      <c r="B5" s="287" t="n"/>
      <c r="C5" s="287" t="n"/>
      <c r="D5" s="287" t="n"/>
      <c r="E5" s="287" t="n"/>
      <c r="F5" s="287" t="n"/>
      <c r="G5" s="287" t="n"/>
    </row>
    <row r="6" ht="27.75" customHeight="1" s="278">
      <c r="A6" s="383" t="inlineStr">
        <is>
          <t>Date</t>
        </is>
      </c>
      <c r="B6" s="383" t="inlineStr">
        <is>
          <t>Event</t>
        </is>
      </c>
      <c r="C6" s="383" t="inlineStr">
        <is>
          <t>Type</t>
        </is>
      </c>
      <c r="D6" s="383" t="inlineStr">
        <is>
          <t>Amount</t>
        </is>
      </c>
      <c r="E6" s="383" t="inlineStr">
        <is>
          <t>Account</t>
        </is>
      </c>
      <c r="F6" s="383" t="inlineStr">
        <is>
          <t>Running vault</t>
        </is>
      </c>
      <c r="G6" s="383" t="inlineStr">
        <is>
          <t>What to do</t>
        </is>
      </c>
    </row>
    <row r="7" ht="15.75" customHeight="1" s="278">
      <c r="A7" s="432" t="n">
        <v>46247</v>
      </c>
      <c r="B7" s="366" t="inlineStr">
        <is>
          <t>Nothing due — hold the line</t>
        </is>
      </c>
      <c r="C7" s="304" t="inlineStr">
        <is>
          <t>Marker</t>
        </is>
      </c>
      <c r="D7" s="304" t="inlineStr">
        <is>
          <t>—</t>
        </is>
      </c>
      <c r="E7" s="304" t="inlineStr">
        <is>
          <t>—</t>
        </is>
      </c>
      <c r="F7" s="436" t="n">
        <v>7010.7</v>
      </c>
      <c r="G7" s="368" t="inlineStr">
        <is>
          <t>AED 156.32 must last 13 more days. About AED 11/day.</t>
        </is>
      </c>
    </row>
    <row r="8" ht="24" customHeight="1" s="278">
      <c r="A8" s="432" t="n">
        <v>46260</v>
      </c>
      <c r="B8" s="366" t="inlineStr">
        <is>
          <t>August salary balance + profit</t>
        </is>
      </c>
      <c r="C8" s="437" t="inlineStr">
        <is>
          <t>Income</t>
        </is>
      </c>
      <c r="D8" s="438" t="n">
        <v>2934.88</v>
      </c>
      <c r="E8" s="304" t="inlineStr">
        <is>
          <t>FAB 4001</t>
        </is>
      </c>
      <c r="F8" s="436" t="n">
        <v>7010.7</v>
      </c>
      <c r="G8" s="368" t="inlineStr">
        <is>
          <t>Lands in 4001. Do NOT move to vault — September bills need it.</t>
        </is>
      </c>
    </row>
    <row r="9" ht="15.75" customHeight="1" s="278">
      <c r="A9" s="432" t="n">
        <v>46265</v>
      </c>
      <c r="B9" s="366" t="inlineStr">
        <is>
          <t>DEWA — August</t>
        </is>
      </c>
      <c r="C9" s="304" t="inlineStr">
        <is>
          <t>Bill</t>
        </is>
      </c>
      <c r="D9" s="439" t="n">
        <v>-793.42</v>
      </c>
      <c r="E9" s="304" t="inlineStr">
        <is>
          <t>FAB 4001</t>
        </is>
      </c>
      <c r="F9" s="436" t="n">
        <v>7010.7</v>
      </c>
      <c r="G9" s="368" t="inlineStr">
        <is>
          <t>Issued 20 Aug, due month-end.</t>
        </is>
      </c>
    </row>
    <row r="10" ht="15.75" customHeight="1" s="278">
      <c r="A10" s="432" t="n">
        <v>46268</v>
      </c>
      <c r="B10" s="366" t="inlineStr">
        <is>
          <t>Tabby — September</t>
        </is>
      </c>
      <c r="C10" s="304" t="inlineStr">
        <is>
          <t>Bill</t>
        </is>
      </c>
      <c r="D10" s="439" t="n">
        <v>-1314.5</v>
      </c>
      <c r="E10" s="304" t="inlineStr">
        <is>
          <t>FAB 4001</t>
        </is>
      </c>
      <c r="F10" s="436" t="n">
        <v>7010.7</v>
      </c>
      <c r="G10" s="368" t="inlineStr">
        <is>
          <t>AUTOPAY — must be in 4001 that morning.</t>
        </is>
      </c>
    </row>
    <row r="11" ht="15.75" customHeight="1" s="278">
      <c r="A11" s="432" t="n">
        <v>46275</v>
      </c>
      <c r="B11" s="366" t="inlineStr">
        <is>
          <t>Nippon SIP</t>
        </is>
      </c>
      <c r="C11" s="304" t="inlineStr">
        <is>
          <t>Bill</t>
        </is>
      </c>
      <c r="D11" s="439" t="n">
        <v>-462.4</v>
      </c>
      <c r="E11" s="304" t="inlineStr">
        <is>
          <t>ICICI</t>
        </is>
      </c>
      <c r="F11" s="436" t="n">
        <v>7010.7</v>
      </c>
      <c r="G11" s="368" t="inlineStr">
        <is>
          <t>₹12,000. Pausing this is the emergency lever, not the plan.</t>
        </is>
      </c>
    </row>
    <row r="12" ht="15.75" customHeight="1" s="278">
      <c r="A12" s="432" t="n">
        <v>46280</v>
      </c>
      <c r="B12" s="366" t="inlineStr">
        <is>
          <t>du + Etisalat — September</t>
        </is>
      </c>
      <c r="C12" s="304" t="inlineStr">
        <is>
          <t>Bill</t>
        </is>
      </c>
      <c r="D12" s="439" t="n">
        <v>-914.9299999999999</v>
      </c>
      <c r="E12" s="304" t="inlineStr">
        <is>
          <t>FAB 4001</t>
        </is>
      </c>
      <c r="F12" s="436" t="n">
        <v>7010.7</v>
      </c>
      <c r="G12" s="368" t="inlineStr">
        <is>
          <t>Due by the 15th.</t>
        </is>
      </c>
    </row>
    <row r="13" ht="15.75" customHeight="1" s="278">
      <c r="A13" s="432" t="n">
        <v>46291</v>
      </c>
      <c r="B13" s="366" t="inlineStr">
        <is>
          <t>September salary</t>
        </is>
      </c>
      <c r="C13" s="437" t="inlineStr">
        <is>
          <t>Income</t>
        </is>
      </c>
      <c r="D13" s="438" t="n">
        <v>7914.88</v>
      </c>
      <c r="E13" s="304" t="inlineStr">
        <is>
          <t>FAB 4001</t>
        </is>
      </c>
      <c r="F13" s="436" t="n">
        <v>7010.7</v>
      </c>
      <c r="G13" s="368" t="inlineStr">
        <is>
          <t>The recovery month begins.</t>
        </is>
      </c>
    </row>
    <row r="14" ht="15.75" customHeight="1" s="278">
      <c r="A14" s="432" t="n">
        <v>46295</v>
      </c>
      <c r="B14" s="366" t="inlineStr">
        <is>
          <t>DEWA — September</t>
        </is>
      </c>
      <c r="C14" s="304" t="inlineStr">
        <is>
          <t>Bill</t>
        </is>
      </c>
      <c r="D14" s="439" t="n">
        <v>-793.42</v>
      </c>
      <c r="E14" s="304" t="inlineStr">
        <is>
          <t>FAB 4001</t>
        </is>
      </c>
      <c r="F14" s="436" t="n">
        <v>7010.7</v>
      </c>
      <c r="G14" s="368" t="n"/>
    </row>
    <row r="15" ht="15.75" customHeight="1" s="278">
      <c r="A15" s="432" t="n">
        <v>46298</v>
      </c>
      <c r="B15" s="366" t="inlineStr">
        <is>
          <t>Tabby — October</t>
        </is>
      </c>
      <c r="C15" s="304" t="inlineStr">
        <is>
          <t>Bill</t>
        </is>
      </c>
      <c r="D15" s="439" t="n">
        <v>-1372.86</v>
      </c>
      <c r="E15" s="304" t="inlineStr">
        <is>
          <t>FAB 4001</t>
        </is>
      </c>
      <c r="F15" s="436" t="n">
        <v>7010.7</v>
      </c>
      <c r="G15" s="368" t="inlineStr">
        <is>
          <t>Estimated — confirm from the app when the statement issues.</t>
        </is>
      </c>
    </row>
    <row r="16" ht="15.75" customHeight="1" s="278">
      <c r="A16" s="432" t="n">
        <v>46305</v>
      </c>
      <c r="B16" s="366" t="inlineStr">
        <is>
          <t>Nippon SIP</t>
        </is>
      </c>
      <c r="C16" s="304" t="inlineStr">
        <is>
          <t>Bill</t>
        </is>
      </c>
      <c r="D16" s="439" t="n">
        <v>-462.4</v>
      </c>
      <c r="E16" s="304" t="inlineStr">
        <is>
          <t>ICICI</t>
        </is>
      </c>
      <c r="F16" s="436" t="n">
        <v>7010.7</v>
      </c>
      <c r="G16" s="368" t="n"/>
    </row>
    <row r="17" ht="15.75" customHeight="1" s="278">
      <c r="A17" s="432" t="n">
        <v>46310</v>
      </c>
      <c r="B17" s="366" t="inlineStr">
        <is>
          <t>du + Etisalat — October</t>
        </is>
      </c>
      <c r="C17" s="304" t="inlineStr">
        <is>
          <t>Bill</t>
        </is>
      </c>
      <c r="D17" s="439" t="n">
        <v>-914.9299999999999</v>
      </c>
      <c r="E17" s="304" t="inlineStr">
        <is>
          <t>FAB 4001</t>
        </is>
      </c>
      <c r="F17" s="436" t="n">
        <v>7010.7</v>
      </c>
      <c r="G17" s="368" t="n"/>
    </row>
    <row r="18" ht="15.75" customHeight="1" s="278">
      <c r="A18" s="432" t="n">
        <v>46315</v>
      </c>
      <c r="B18" s="296" t="inlineStr">
        <is>
          <t>MOVE TO VAULT</t>
        </is>
      </c>
      <c r="C18" s="304" t="inlineStr">
        <is>
          <t>Transfer</t>
        </is>
      </c>
      <c r="D18" s="438" t="n">
        <v>3981.27</v>
      </c>
      <c r="E18" s="304" t="inlineStr">
        <is>
          <t>4001 → 4002,</t>
        </is>
      </c>
      <c r="F18" s="293">
        <f>7010.7+3981.27</f>
        <v>10991.97</v>
      </c>
      <c r="G18" s="302" t="inlineStr">
        <is>
          <t>Everything spare goes across. This is the decisive action.</t>
        </is>
      </c>
    </row>
    <row r="19" ht="24" customHeight="1" s="278">
      <c r="A19" s="432" t="n">
        <v>46316</v>
      </c>
      <c r="B19" s="296" t="inlineStr">
        <is>
          <t>VAULT DEADLINE</t>
        </is>
      </c>
      <c r="C19" s="384" t="inlineStr">
        <is>
          <t>Deadline</t>
        </is>
      </c>
      <c r="D19" s="304" t="inlineStr">
        <is>
          <t>—</t>
        </is>
      </c>
      <c r="E19" s="304" t="inlineStr">
        <is>
          <t>FAB 4002</t>
        </is>
      </c>
      <c r="F19" s="293">
        <f>F18</f>
        <v>10991.97</v>
      </c>
      <c r="G19" s="302" t="inlineStr">
        <is>
          <t>Must hold AED 11,750. Shortfall closes only with earned income.</t>
        </is>
      </c>
    </row>
    <row r="20" ht="15.75" customHeight="1" s="278">
      <c r="A20" s="432" t="n">
        <v>46317</v>
      </c>
      <c r="B20" s="296" t="inlineStr">
        <is>
          <t>RENT CHEQUE CLEARS</t>
        </is>
      </c>
      <c r="C20" s="384" t="inlineStr">
        <is>
          <t>Rent</t>
        </is>
      </c>
      <c r="D20" s="439" t="n">
        <v>-11750</v>
      </c>
      <c r="E20" s="304" t="inlineStr">
        <is>
          <t>FAB 4002</t>
        </is>
      </c>
      <c r="F20" s="304" t="inlineStr">
        <is>
          <t>—</t>
        </is>
      </c>
      <c r="G20" s="302" t="inlineStr">
        <is>
          <t>The cheque presents. Vault empties.</t>
        </is>
      </c>
    </row>
    <row r="21" ht="15.75" customHeight="1" s="278">
      <c r="A21" s="432" t="n">
        <v>46321</v>
      </c>
      <c r="B21" s="366" t="inlineStr">
        <is>
          <t>October salary</t>
        </is>
      </c>
      <c r="C21" s="437" t="inlineStr">
        <is>
          <t>Income</t>
        </is>
      </c>
      <c r="D21" s="438" t="n">
        <v>7914.88</v>
      </c>
      <c r="E21" s="304" t="inlineStr">
        <is>
          <t>FAB 4001</t>
        </is>
      </c>
      <c r="F21" s="304" t="inlineStr">
        <is>
          <t>—</t>
        </is>
      </c>
      <c r="G21" s="368" t="inlineStr">
        <is>
          <t>Lands 4 days AFTER the cheque — too late to fund it.</t>
        </is>
      </c>
    </row>
    <row r="22" ht="15.75" customHeight="1" s="278">
      <c r="A22" s="432" t="n">
        <v>46326</v>
      </c>
      <c r="B22" s="366" t="inlineStr">
        <is>
          <t>DEWA — October</t>
        </is>
      </c>
      <c r="C22" s="304" t="inlineStr">
        <is>
          <t>Bill</t>
        </is>
      </c>
      <c r="D22" s="439" t="n">
        <v>-793.42</v>
      </c>
      <c r="E22" s="304" t="inlineStr">
        <is>
          <t>FAB 4001</t>
        </is>
      </c>
      <c r="F22" s="304" t="inlineStr">
        <is>
          <t>—</t>
        </is>
      </c>
      <c r="G22" s="368" t="inlineStr">
        <is>
          <t>First bill of the new quarter.</t>
        </is>
      </c>
    </row>
    <row r="23" ht="15.75" customHeight="1" s="278">
      <c r="A23" s="432" t="n">
        <v>46331</v>
      </c>
      <c r="B23" s="366" t="inlineStr">
        <is>
          <t>UNTOLD Dubai</t>
        </is>
      </c>
      <c r="C23" s="304" t="inlineStr">
        <is>
          <t>Goal</t>
        </is>
      </c>
      <c r="D23" s="439" t="n">
        <v>-350</v>
      </c>
      <c r="E23" s="304" t="inlineStr">
        <is>
          <t>FAB 4001</t>
        </is>
      </c>
      <c r="F23" s="304" t="inlineStr">
        <is>
          <t>—</t>
        </is>
      </c>
      <c r="G23" s="368" t="inlineStr">
        <is>
          <t>1 ticket. Only if Stage 1 closed cleanly.</t>
        </is>
      </c>
    </row>
    <row r="24" ht="15.75" customHeight="1" s="278">
      <c r="A24" s="432" t="n">
        <v>46352</v>
      </c>
      <c r="B24" s="366" t="inlineStr">
        <is>
          <t>November salary</t>
        </is>
      </c>
      <c r="C24" s="437" t="inlineStr">
        <is>
          <t>Income</t>
        </is>
      </c>
      <c r="D24" s="438" t="n">
        <v>7914.88</v>
      </c>
      <c r="E24" s="304" t="inlineStr">
        <is>
          <t>FAB 4001</t>
        </is>
      </c>
      <c r="F24" s="304" t="inlineStr">
        <is>
          <t>—</t>
        </is>
      </c>
      <c r="G24" s="368" t="inlineStr">
        <is>
          <t>Start building the January cheque here.</t>
        </is>
      </c>
    </row>
    <row r="25" ht="15.75" customHeight="1" s="278">
      <c r="A25" s="432" t="n">
        <v>46382</v>
      </c>
      <c r="B25" s="366" t="inlineStr">
        <is>
          <t>December salary</t>
        </is>
      </c>
      <c r="C25" s="437" t="inlineStr">
        <is>
          <t>Income</t>
        </is>
      </c>
      <c r="D25" s="438" t="n">
        <v>7914.88</v>
      </c>
      <c r="E25" s="304" t="inlineStr">
        <is>
          <t>FAB 4001</t>
        </is>
      </c>
      <c r="F25" s="304" t="inlineStr">
        <is>
          <t>—</t>
        </is>
      </c>
      <c r="G25" s="368" t="inlineStr">
        <is>
          <t>Second cheque-building month.</t>
        </is>
      </c>
    </row>
    <row r="26" ht="15.75" customHeight="1" s="278">
      <c r="A26" s="432" t="n">
        <v>46409</v>
      </c>
      <c r="B26" s="296" t="inlineStr">
        <is>
          <t>RENT CHEQUE · January</t>
        </is>
      </c>
      <c r="C26" s="384" t="inlineStr">
        <is>
          <t>Rent</t>
        </is>
      </c>
      <c r="D26" s="439" t="n">
        <v>-11750</v>
      </c>
      <c r="E26" s="304" t="inlineStr">
        <is>
          <t>FAB 4002</t>
        </is>
      </c>
      <c r="F26" s="304" t="inlineStr">
        <is>
          <t>—</t>
        </is>
      </c>
      <c r="G26" s="302" t="inlineStr">
        <is>
          <t>Quarterly. Needs ~AED 3,900/month set aside from Nov.</t>
        </is>
      </c>
    </row>
    <row r="28" ht="19.5" customHeight="1" s="278">
      <c r="A28" s="382" t="inlineStr">
        <is>
          <t>THE FOUR DATES THAT DECIDE EVERYTHING</t>
        </is>
      </c>
      <c r="B28" s="287" t="n"/>
      <c r="C28" s="287" t="n"/>
      <c r="D28" s="287" t="n"/>
      <c r="E28" s="287" t="n"/>
      <c r="F28" s="287" t="n"/>
      <c r="G28" s="287" t="n"/>
    </row>
    <row r="29" ht="21.75" customHeight="1" s="278">
      <c r="A29" s="440" t="inlineStr">
        <is>
          <t>26 August</t>
        </is>
      </c>
      <c r="B29" s="441" t="inlineStr">
        <is>
          <t>AED 2,934.88 lands. Keep it in 4001 — September's bills consume nearly all of it.</t>
        </is>
      </c>
      <c r="C29" s="318" t="n"/>
      <c r="D29" s="318" t="n"/>
      <c r="E29" s="318" t="n"/>
      <c r="F29" s="318" t="n"/>
      <c r="G29" s="319" t="n"/>
    </row>
    <row r="30" ht="21.75" customHeight="1" s="278">
      <c r="A30" s="440" t="inlineStr">
        <is>
          <t>3 September</t>
        </is>
      </c>
      <c r="B30" s="441" t="inlineStr">
        <is>
          <t>Tabby autopays AED 1,314.50. The single largest debit before rent. Must be covered.</t>
        </is>
      </c>
      <c r="C30" s="318" t="n"/>
      <c r="D30" s="318" t="n"/>
      <c r="E30" s="318" t="n"/>
      <c r="F30" s="318" t="n"/>
      <c r="G30" s="319" t="n"/>
    </row>
    <row r="31" ht="21.75" customHeight="1" s="278">
      <c r="A31" s="440" t="inlineStr">
        <is>
          <t>20 October</t>
        </is>
      </c>
      <c r="B31" s="441" t="inlineStr">
        <is>
          <t>Move everything spare into the vault. This one transfer decides whether the cheque clears.</t>
        </is>
      </c>
      <c r="C31" s="318" t="n"/>
      <c r="D31" s="318" t="n"/>
      <c r="E31" s="318" t="n"/>
      <c r="F31" s="318" t="n"/>
      <c r="G31" s="319" t="n"/>
    </row>
    <row r="32" ht="21.75" customHeight="1" s="278">
      <c r="A32" s="440" t="inlineStr">
        <is>
          <t>21 October</t>
        </is>
      </c>
      <c r="B32" s="441" t="inlineStr">
        <is>
          <t>Vault must hold AED 11,750. No second chance — the 26 Oct salary arrives after the cheque.</t>
        </is>
      </c>
      <c r="C32" s="318" t="n"/>
      <c r="D32" s="318" t="n"/>
      <c r="E32" s="318" t="n"/>
      <c r="F32" s="318" t="n"/>
      <c r="G32" s="319" t="n"/>
    </row>
  </sheetData>
  <mergeCells count="4">
    <mergeCell ref="B32:G32"/>
    <mergeCell ref="B30:G30"/>
    <mergeCell ref="B31:G31"/>
    <mergeCell ref="B29:G29"/>
  </mergeCells>
  <conditionalFormatting sqref="C7:C26">
    <cfRule type="cellIs" rank="0" priority="2" equalAverage="0" operator="equal" aboveAverage="0" dxfId="22" text="" percent="0" bottom="0">
      <formula>"Rent"</formula>
    </cfRule>
    <cfRule type="cellIs" rank="0" priority="3" equalAverage="0" operator="equal" aboveAverage="0" dxfId="22" text="" percent="0" bottom="0">
      <formula>"Deadline"</formula>
    </cfRule>
    <cfRule type="cellIs" rank="0" priority="4" equalAverage="0" operator="equal" aboveAverage="0" dxfId="23" text="" percent="0" bottom="0">
      <formula>"Income"</formula>
    </cfRule>
    <cfRule type="cellIs" rank="0" priority="5" equalAverage="0" operator="equal" aboveAverage="0" dxfId="25" text="" percent="0" bottom="0">
      <formula>"Transfer"</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B4232B"/>
    <outlinePr summaryBelow="1" summaryRight="1"/>
    <pageSetUpPr fitToPage="0"/>
  </sheetPr>
  <dimension ref="A1:G5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77" min="1" max="1"/>
    <col width="15" customWidth="1" style="277" min="2" max="5"/>
    <col width="44" customWidth="1" style="277" min="6" max="6"/>
  </cols>
  <sheetData>
    <row r="1" ht="30" customHeight="1" s="278">
      <c r="A1" s="345" t="inlineStr">
        <is>
          <t>Salary Cycles · 26th to 25th</t>
        </is>
      </c>
    </row>
    <row r="2" ht="13.5" customHeight="1" s="278">
      <c r="A2" s="565" t="inlineStr">
        <is>
          <t>Your money resets on the 26th, not the 1st. Every bill you have falls inside one cycle — this is the frame that matches how you actually get paid.</t>
        </is>
      </c>
    </row>
    <row r="3" ht="6" customHeight="1" s="278"/>
    <row r="5" ht="19.5" customHeight="1" s="278">
      <c r="A5" s="382" t="inlineStr">
        <is>
          <t>CYCLE 1 · 26 AUG → 25 SEP   ·   funded by the AED 2,934.88 pending payday</t>
        </is>
      </c>
      <c r="B5" s="287" t="n"/>
      <c r="C5" s="287" t="n"/>
      <c r="D5" s="287" t="n"/>
      <c r="E5" s="287" t="n"/>
      <c r="F5" s="287" t="n"/>
    </row>
    <row r="6" ht="27.75" customHeight="1" s="278">
      <c r="A6" s="383" t="inlineStr">
        <is>
          <t>Line</t>
        </is>
      </c>
      <c r="B6" s="383" t="inlineStr">
        <is>
          <t>Amount</t>
        </is>
      </c>
      <c r="C6" s="383" t="inlineStr">
        <is>
          <t>Date</t>
        </is>
      </c>
      <c r="D6" s="383" t="n"/>
      <c r="E6" s="383" t="n"/>
      <c r="F6" s="383" t="inlineStr">
        <is>
          <t>Note</t>
        </is>
      </c>
    </row>
    <row r="7" ht="15" customHeight="1" s="278">
      <c r="A7" s="442" t="inlineStr">
        <is>
          <t>Income — August payday (confirmed)</t>
        </is>
      </c>
      <c r="B7" s="443" t="n">
        <v>2906</v>
      </c>
      <c r="C7" s="299" t="n">
        <v>46260</v>
      </c>
      <c r="F7" s="404" t="inlineStr">
        <is>
          <t>CONFIRMED 25 Aug — single consolidated payday figure, replaces old 2,634.88+300 split</t>
        </is>
      </c>
    </row>
    <row r="8" ht="15" customHeight="1" s="278">
      <c r="A8" s="366" t="n"/>
      <c r="B8" s="444" t="n"/>
      <c r="C8" s="299" t="n">
        <v>46260</v>
      </c>
      <c r="F8" s="368" t="inlineStr">
        <is>
          <t>Confirmed</t>
        </is>
      </c>
    </row>
    <row r="9" ht="15" customHeight="1" s="278">
      <c r="A9" s="296" t="inlineStr">
        <is>
          <t>TOTAL IN</t>
        </is>
      </c>
      <c r="B9" s="445">
        <f>B7</f>
        <v>2906.0</v>
      </c>
      <c r="F9" s="368" t="n"/>
    </row>
    <row r="10" ht="15" customHeight="1" s="278">
      <c r="A10" s="442" t="inlineStr">
        <is>
          <t>DEWA — August (confirmed)</t>
        </is>
      </c>
      <c r="B10" s="446" t="n">
        <v>-813.28</v>
      </c>
      <c r="C10" s="299" t="n">
        <v>46265</v>
      </c>
      <c r="F10" s="368" t="inlineStr">
        <is>
          <t>Issued 20th, due month-end</t>
        </is>
      </c>
    </row>
    <row r="11" ht="15" customHeight="1" s="278">
      <c r="A11" s="366" t="inlineStr">
        <is>
          <t>Tabby — September</t>
        </is>
      </c>
      <c r="B11" s="447" t="n">
        <v>-1314.5</v>
      </c>
      <c r="C11" s="299" t="n">
        <v>46268</v>
      </c>
      <c r="F11" s="368" t="inlineStr">
        <is>
          <t>Autopay, no-fee minimum</t>
        </is>
      </c>
    </row>
    <row r="12" ht="15" customHeight="1" s="278">
      <c r="A12" s="366" t="inlineStr">
        <is>
          <t>Nippon SIP</t>
        </is>
      </c>
      <c r="B12" s="447" t="n">
        <v>-462.4</v>
      </c>
      <c r="C12" s="299" t="n">
        <v>46275</v>
      </c>
      <c r="F12" s="368" t="inlineStr">
        <is>
          <t>₹12,000</t>
        </is>
      </c>
    </row>
    <row r="13" ht="15" customHeight="1" s="278">
      <c r="A13" s="366" t="inlineStr">
        <is>
          <t>du — September</t>
        </is>
      </c>
      <c r="B13" s="447" t="n">
        <v>-590.98</v>
      </c>
      <c r="C13" s="299" t="n">
        <v>46280</v>
      </c>
      <c r="F13" s="368" t="inlineStr">
        <is>
          <t>Due by the 15th</t>
        </is>
      </c>
    </row>
    <row r="14" ht="15" customHeight="1" s="278">
      <c r="A14" s="366" t="inlineStr">
        <is>
          <t>Etisalat — September</t>
        </is>
      </c>
      <c r="B14" s="447" t="n">
        <v>-323.95</v>
      </c>
      <c r="C14" s="299" t="n">
        <v>46280</v>
      </c>
      <c r="F14" s="368" t="inlineStr">
        <is>
          <t>Due by the 15th</t>
        </is>
      </c>
    </row>
    <row r="15" ht="15" customHeight="1" s="278">
      <c r="A15" s="296" t="inlineStr">
        <is>
          <t>TOTAL BILLS</t>
        </is>
      </c>
      <c r="B15" s="297">
        <f>SUM(B10:B14)</f>
        <v>-3505.11</v>
      </c>
      <c r="F15" s="368" t="n"/>
    </row>
    <row r="16" ht="15" customHeight="1" s="278">
      <c r="A16" s="366" t="inlineStr">
        <is>
          <t>Living at the AED 15 floor × 31 days</t>
        </is>
      </c>
      <c r="B16" s="447" t="n">
        <v>-465</v>
      </c>
      <c r="F16" s="368" t="inlineStr">
        <is>
          <t>Bare minimum</t>
        </is>
      </c>
    </row>
    <row r="17" ht="15" customHeight="1" s="278">
      <c r="A17" s="296" t="inlineStr">
        <is>
          <t>CYCLE NET</t>
        </is>
      </c>
      <c r="B17" s="297">
        <f>B9+B15+B16</f>
        <v>-1064.11</v>
      </c>
      <c r="F17" s="368" t="inlineStr">
        <is>
          <t>Before any rent-vault contribution</t>
        </is>
      </c>
    </row>
    <row r="18" ht="15" customHeight="1" s="278">
      <c r="A18" s="296" t="inlineStr">
        <is>
          <t>Living at REAL spend (fuel/wife/parking/smokes/food)</t>
        </is>
      </c>
      <c r="B18" s="439" t="n">
        <v>-1770</v>
      </c>
      <c r="F18" s="368" t="inlineStr">
        <is>
          <t>Groceries at nil — owner instruction until rent is funded</t>
        </is>
      </c>
    </row>
    <row r="19" ht="18.75" customHeight="1" s="278">
      <c r="A19" s="448" t="inlineStr">
        <is>
          <t>CYCLE NET at real spend</t>
        </is>
      </c>
      <c r="B19" s="297">
        <f>B9+B15+B18</f>
        <v>-2369.11</v>
      </c>
      <c r="F19" s="302" t="inlineStr">
        <is>
          <t>Gap vs the floor line above = your discretionary spending. It comes straight out of the rent vault.</t>
        </is>
      </c>
    </row>
    <row r="22" ht="19.5" customHeight="1" s="278">
      <c r="A22" s="382" t="inlineStr">
        <is>
          <t>CYCLE 2 · 26 SEP → 22 OCT   ·   the full salary lands, and the cheque clears</t>
        </is>
      </c>
      <c r="B22" s="287" t="n"/>
      <c r="C22" s="287" t="n"/>
      <c r="D22" s="287" t="n"/>
      <c r="E22" s="287" t="n"/>
      <c r="F22" s="287" t="n"/>
    </row>
    <row r="23" ht="27.75" customHeight="1" s="278">
      <c r="A23" s="383" t="inlineStr">
        <is>
          <t>Line</t>
        </is>
      </c>
      <c r="B23" s="383" t="inlineStr">
        <is>
          <t>Amount</t>
        </is>
      </c>
      <c r="C23" s="383" t="inlineStr">
        <is>
          <t>Date</t>
        </is>
      </c>
      <c r="D23" s="383" t="n"/>
      <c r="E23" s="383" t="n"/>
      <c r="F23" s="383" t="inlineStr">
        <is>
          <t>Note</t>
        </is>
      </c>
    </row>
    <row r="24" ht="15" customHeight="1" s="278">
      <c r="A24" s="366" t="inlineStr">
        <is>
          <t>Income — September salary</t>
        </is>
      </c>
      <c r="B24" s="444" t="n">
        <v>7914.88</v>
      </c>
      <c r="C24" s="299" t="n">
        <v>46291</v>
      </c>
      <c r="F24" s="368" t="inlineStr">
        <is>
          <t>Full monthly salary</t>
        </is>
      </c>
    </row>
    <row r="25" ht="15" customHeight="1" s="278">
      <c r="A25" s="442" t="inlineStr">
        <is>
          <t>DEWA — September (est., using confirmed Aug baseline)</t>
        </is>
      </c>
      <c r="B25" s="446" t="n">
        <v>-813.28</v>
      </c>
      <c r="C25" s="299" t="n">
        <v>46295</v>
      </c>
      <c r="F25" s="368" t="n"/>
    </row>
    <row r="26" ht="18.75" customHeight="1" s="278">
      <c r="A26" s="391" t="inlineStr">
        <is>
          <t>Tabby — September statement (REAL)</t>
        </is>
      </c>
      <c r="B26" s="392" t="n">
        <v>-715.33</v>
      </c>
      <c r="C26" s="299" t="n">
        <v>46298</v>
      </c>
      <c r="F26" s="355" t="inlineStr">
        <is>
          <t>CONFIRMED via Tabby chat 15 Aug — was estimated 1,372.86, actual is 657.53 LESS</t>
        </is>
      </c>
    </row>
    <row r="27" ht="15" customHeight="1" s="278">
      <c r="A27" s="366" t="inlineStr">
        <is>
          <t>Nippon SIP</t>
        </is>
      </c>
      <c r="B27" s="447" t="n">
        <v>-462.4</v>
      </c>
      <c r="C27" s="299" t="n">
        <v>46305</v>
      </c>
      <c r="F27" s="368" t="n"/>
    </row>
    <row r="28" ht="15" customHeight="1" s="278">
      <c r="A28" s="366" t="inlineStr">
        <is>
          <t>du — October</t>
        </is>
      </c>
      <c r="B28" s="447" t="n">
        <v>-590.98</v>
      </c>
      <c r="C28" s="299" t="n">
        <v>46310</v>
      </c>
      <c r="F28" s="368" t="n"/>
    </row>
    <row r="29" ht="15" customHeight="1" s="278">
      <c r="A29" s="366" t="inlineStr">
        <is>
          <t>Etisalat — October</t>
        </is>
      </c>
      <c r="B29" s="447" t="n">
        <v>-323.95</v>
      </c>
      <c r="C29" s="299" t="n">
        <v>46310</v>
      </c>
      <c r="F29" s="368" t="n"/>
    </row>
    <row r="30" ht="15" customHeight="1" s="278">
      <c r="A30" s="296" t="inlineStr">
        <is>
          <t>TOTAL BILLS</t>
        </is>
      </c>
      <c r="B30" s="297">
        <f>SUM(B25:B29)</f>
        <v>-2905.94</v>
      </c>
      <c r="F30" s="368" t="n"/>
    </row>
    <row r="31" ht="15" customHeight="1" s="278">
      <c r="A31" s="442" t="inlineStr">
        <is>
          <t>Living at the floor × 26 days (aligned to the 22 Oct deadline)</t>
        </is>
      </c>
      <c r="B31" s="446" t="n">
        <v>-390</v>
      </c>
      <c r="F31" s="368" t="n"/>
    </row>
    <row r="32" ht="15" customHeight="1" s="278">
      <c r="A32" s="366" t="inlineStr">
        <is>
          <t>CYCLE NET before rent</t>
        </is>
      </c>
      <c r="B32" s="293">
        <f>B24+B30+B31</f>
        <v>4618.94</v>
      </c>
      <c r="F32" s="368" t="inlineStr">
        <is>
          <t>What's genuinely available</t>
        </is>
      </c>
    </row>
    <row r="33" ht="15" customHeight="1" s="278">
      <c r="A33" s="366" t="inlineStr">
        <is>
          <t>Rent cheque clears</t>
        </is>
      </c>
      <c r="B33" s="447" t="n">
        <v>-11750</v>
      </c>
      <c r="C33" s="299" t="n">
        <v>46317</v>
      </c>
      <c r="F33" s="368" t="inlineStr">
        <is>
          <t>Paid from the vault, not from this cycle</t>
        </is>
      </c>
    </row>
    <row r="34" ht="15" customHeight="1" s="278">
      <c r="A34" s="366" t="inlineStr">
        <is>
          <t>Vault must hold by 21 Oct</t>
        </is>
      </c>
      <c r="B34" s="293">
        <f>'Rent Vault'!$B$12</f>
        <v>5809.3</v>
      </c>
      <c r="C34" s="299" t="n">
        <v>46316</v>
      </c>
      <c r="F34" s="368" t="inlineStr">
        <is>
          <t>Still to fund</t>
        </is>
      </c>
    </row>
    <row r="35" ht="15" customHeight="1" s="278">
      <c r="A35" s="296" t="inlineStr">
        <is>
          <t>Living at REAL spend (26 days pro-rated)</t>
        </is>
      </c>
      <c r="B35" s="439" t="n">
        <v>-1534</v>
      </c>
    </row>
    <row r="36" ht="21.75" customHeight="1" s="278">
      <c r="A36" s="448" t="inlineStr">
        <is>
          <t>CYCLE NET at real spend, before rent</t>
        </is>
      </c>
      <c r="B36" s="297">
        <f>B24+B30+B35</f>
        <v>3474.94</v>
      </c>
    </row>
    <row r="39" ht="19.5" customHeight="1" s="278">
      <c r="A39" s="382" t="inlineStr">
        <is>
          <t>WHY THIS FRAME MATTERS</t>
        </is>
      </c>
      <c r="B39" s="287" t="n"/>
      <c r="C39" s="287" t="n"/>
      <c r="D39" s="287" t="n"/>
      <c r="E39" s="287" t="n"/>
      <c r="F39" s="287" t="n"/>
    </row>
    <row r="40" ht="15" customHeight="1" s="278">
      <c r="A40" s="368" t="inlineStr">
        <is>
          <t>Every bill you have falls inside a single salary cycle — DEWA at month-end, Tabby on the 3rd, SIP on the 10th, du and Etisalat by the 15th. A calendar month splits that run across two views and hides it.</t>
        </is>
      </c>
      <c r="B40" s="313" t="n"/>
      <c r="C40" s="313" t="n"/>
      <c r="D40" s="313" t="n"/>
      <c r="E40" s="313" t="n"/>
      <c r="F40" s="314" t="n"/>
    </row>
    <row r="41" ht="15" customHeight="1" s="278">
      <c r="A41" s="449" t="n"/>
      <c r="B41" s="321" t="n"/>
      <c r="C41" s="321" t="n"/>
      <c r="D41" s="321" t="n"/>
      <c r="E41" s="321" t="n"/>
      <c r="F41" s="322" t="n"/>
    </row>
    <row r="42" ht="15" customHeight="1" s="278">
      <c r="A42" s="368" t="inlineStr">
        <is>
          <t>Cycle 1 is the dangerous one. It is funded by a part-payday of AED 2,934.88 against AED 3,485.25 of bills. It was always going to be tight; the calendar view made it look like two ordinary half-months.</t>
        </is>
      </c>
    </row>
    <row r="43" ht="15" customHeight="1" s="278"/>
    <row r="44" ht="15" customHeight="1" s="278">
      <c r="A44" s="368" t="inlineStr">
        <is>
          <t>Cycle 2 is where recovery happens — a full salary against similar bills. The surplus is real, but it lands after the vault deadline, which is why the AED 206.21 a week still has to come from somewhere else.</t>
        </is>
      </c>
    </row>
    <row r="45" ht="15" customHeight="1" s="278"/>
    <row r="46" ht="15" customHeight="1" s="278">
      <c r="A46" s="450" t="n"/>
    </row>
    <row r="49" ht="19.5" customHeight="1" s="278">
      <c r="A49" s="451" t="inlineStr">
        <is>
          <t>THE TRUE SHORTAGE  ·  floor vs. real spending</t>
        </is>
      </c>
      <c r="B49" s="452" t="n"/>
      <c r="C49" s="452" t="n"/>
      <c r="D49" s="452" t="n"/>
      <c r="E49" s="452" t="n"/>
      <c r="F49" s="452" t="n"/>
      <c r="G49" s="452" t="n"/>
    </row>
    <row r="51" ht="15" customHeight="1" s="278">
      <c r="A51" s="453" t="inlineStr">
        <is>
          <t>Basis</t>
        </is>
      </c>
      <c r="B51" s="453" t="inlineStr">
        <is>
          <t>Cycle 1 net</t>
        </is>
      </c>
      <c r="C51" s="453" t="inlineStr">
        <is>
          <t>Cycle 2 net</t>
        </is>
      </c>
      <c r="D51" s="453" t="inlineStr">
        <is>
          <t>Vault at 21 Oct</t>
        </is>
      </c>
      <c r="E51" s="453" t="inlineStr">
        <is>
          <t>Shortage</t>
        </is>
      </c>
      <c r="F51" s="453" t="inlineStr">
        <is>
          <t>Per week (9 wks)</t>
        </is>
      </c>
    </row>
    <row r="52" ht="15" customHeight="1" s="278">
      <c r="A52" s="454" t="inlineStr">
        <is>
          <t>Bare floor (15/day)</t>
        </is>
      </c>
      <c r="B52" s="455">
        <f>B17</f>
        <v>-1064.11</v>
      </c>
      <c r="C52" s="455">
        <f>B32</f>
        <v>4618.94</v>
      </c>
      <c r="D52" s="456">
        <f>6090.7+B17+B32</f>
        <v>9645.53</v>
      </c>
      <c r="E52" s="457">
        <f>11750-D52</f>
        <v>2104.47</v>
      </c>
      <c r="F52" s="457">
        <f>E52/9</f>
        <v>233.83</v>
      </c>
    </row>
    <row r="53" ht="15" customHeight="1" s="278">
      <c r="A53" s="454" t="inlineStr">
        <is>
          <t>Real spending pattern</t>
        </is>
      </c>
      <c r="B53" s="455">
        <f>B19</f>
        <v>-2369.11</v>
      </c>
      <c r="C53" s="455">
        <f>B36</f>
        <v>3474.94</v>
      </c>
      <c r="D53" s="456">
        <f>6090.7+B19+B36</f>
        <v>7196.53</v>
      </c>
      <c r="E53" s="457">
        <f>11750-D53</f>
        <v>4553.47</v>
      </c>
      <c r="F53" s="457">
        <f>E53/9</f>
        <v>505.9411111111</v>
      </c>
    </row>
    <row r="55" ht="15" customHeight="1" s="278">
      <c r="A55" s="450" t="inlineStr">
        <is>
          <t>The floor row is what the plan needs on paper. The real-spend row is what happens if spending keeps matching the last ten days. The gap between them is entirely within your control: it is smokes, dining out, and Asas Al Madina visits, nothing else.</t>
        </is>
      </c>
    </row>
    <row r="56" ht="15" customHeight="1" s="278"/>
  </sheetData>
  <mergeCells count="2">
    <mergeCell ref="A40:F41"/>
    <mergeCell ref="A55:G56"/>
  </mergeCells>
  <conditionalFormatting sqref="B17">
    <cfRule type="cellIs" rank="0" priority="2" equalAverage="0" operator="lessThan" aboveAverage="0" dxfId="26"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1B7F5A"/>
    <outlinePr summaryBelow="1" summaryRight="1"/>
    <pageSetUpPr fitToPage="1"/>
  </sheetPr>
  <dimension ref="A1:G4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77" min="1" max="6"/>
    <col width="40" customWidth="1" style="277" min="7" max="7"/>
  </cols>
  <sheetData>
    <row r="1" ht="30" customHeight="1" s="278">
      <c r="A1" s="345" t="inlineStr">
        <is>
          <t>Weekly &amp; Monthly Check-In</t>
        </is>
      </c>
    </row>
    <row r="2" ht="13.5" customHeight="1" s="278">
      <c r="A2" s="565" t="inlineStr">
        <is>
          <t>Spending shown by the week and the month — not by the day. A single day's number is too small to mean anything; a week is something you can actually feel.</t>
        </is>
      </c>
    </row>
    <row r="3" ht="6" customHeight="1" s="278"/>
    <row r="5" ht="19.5" customHeight="1" s="278">
      <c r="A5" s="382" t="inlineStr">
        <is>
          <t>THIS WEEK</t>
        </is>
      </c>
      <c r="B5" s="287" t="n"/>
      <c r="C5" s="287" t="n"/>
      <c r="D5" s="287" t="n"/>
      <c r="E5" s="287" t="n"/>
      <c r="F5" s="287" t="n"/>
      <c r="G5" s="287" t="n"/>
    </row>
    <row r="6" ht="27.75" customHeight="1" s="278">
      <c r="A6" s="383" t="inlineStr">
        <is>
          <t>Measure</t>
        </is>
      </c>
      <c r="B6" s="383" t="inlineStr">
        <is>
          <t>Value</t>
        </is>
      </c>
    </row>
    <row r="7" ht="15" customHeight="1" s="278">
      <c r="A7" s="366" t="inlineStr">
        <is>
          <t>Week starts</t>
        </is>
      </c>
      <c r="B7" s="458">
        <f>Settings!$B$9-WEEKDAY(Settings!$B$9,2)+1</f>
        <v>46258.0</v>
      </c>
    </row>
    <row r="8" ht="15" customHeight="1" s="278">
      <c r="A8" s="366" t="inlineStr">
        <is>
          <t>Week ends</t>
        </is>
      </c>
      <c r="B8" s="458">
        <f>B7+6</f>
        <v>46264.0</v>
      </c>
    </row>
    <row r="9" ht="15" customHeight="1" s="278">
      <c r="A9" s="366" t="inlineStr">
        <is>
          <t>Safe spend for the week</t>
        </is>
      </c>
      <c r="B9" s="297">
        <f>Settings!$B$75*7</f>
        <v>0.0</v>
      </c>
    </row>
    <row r="10" ht="15" customHeight="1" s="278">
      <c r="A10" s="366" t="inlineStr">
        <is>
          <t>Spent so far this week</t>
        </is>
      </c>
      <c r="B10" s="293">
        <f>SUMIFS(Transactions!$O$7:$O$520,Transactions!$F$7:$F$520,"Expense",Transactions!$P$7:$P$520,"AED",Transactions!$B$7:$B$520,"&gt;="&amp;B7,Transactions!$B$7:$B$520,"&lt;="&amp;B8)</f>
        <v>2934.17</v>
      </c>
    </row>
    <row r="11" ht="15" customHeight="1" s="278">
      <c r="A11" s="366" t="inlineStr">
        <is>
          <t>Remaining this week</t>
        </is>
      </c>
      <c r="B11" s="297">
        <f>MAX(B9-B10,0)</f>
        <v>0.0</v>
      </c>
    </row>
    <row r="12" ht="15" customHeight="1" s="278">
      <c r="A12" s="366" t="inlineStr">
        <is>
          <t>Days left in the week</t>
        </is>
      </c>
      <c r="B12" s="459">
        <f>B8-Settings!$B$9+1</f>
        <v>5.0</v>
      </c>
    </row>
    <row r="13" ht="15" customHeight="1" s="278">
      <c r="A13" s="296" t="inlineStr">
        <is>
          <t>STATUS</t>
        </is>
      </c>
      <c r="B13" s="460" t="str">
        <f>IF(B10&gt;B9,"OVER FOR THE WEEK",IF(B10&gt;B9*0.8,"WATCH — CLOSE TO THE LIMIT","ON TRACK"))</f>
        <v>OVER FOR THE WEEK</v>
      </c>
    </row>
    <row r="15" ht="15.75" customHeight="1" s="278">
      <c r="A15" s="461" t="str">
        <f>IF(Settings!$B$75&lt;5,"In plain terms: this is the tightest stretch of the whole plan. Almost nothing is discretionary until the rent gap closes — every dirham beyond committed bills should stop.",IF(Settings!$B$75&lt;20,"Room is thin but real — small, deliberate spending only.","Normal room to operate."))</f>
        <v>In plain terms: this is the tightest stretch of the whole plan. Almost nothing is discretionary until the rent gap closes — every dirham beyond committed bills should stop.</v>
      </c>
    </row>
    <row r="16" ht="15.75" customHeight="1" s="278"/>
    <row r="17" ht="27.75" customHeight="1" s="278">
      <c r="A17" s="382" t="inlineStr">
        <is>
          <t>THIS MONTH</t>
        </is>
      </c>
      <c r="B17" s="287" t="n"/>
      <c r="C17" s="287" t="n"/>
      <c r="D17" s="287" t="n"/>
      <c r="E17" s="287" t="n"/>
      <c r="F17" s="287" t="n"/>
      <c r="G17" s="287" t="n"/>
    </row>
    <row r="18" ht="15" customHeight="1" s="278">
      <c r="A18" s="383" t="inlineStr">
        <is>
          <t>Measure</t>
        </is>
      </c>
      <c r="B18" s="383" t="inlineStr">
        <is>
          <t>Value</t>
        </is>
      </c>
    </row>
    <row r="19" ht="15" customHeight="1" s="278">
      <c r="A19" s="366" t="inlineStr">
        <is>
          <t>Month</t>
        </is>
      </c>
      <c r="B19" s="298" t="str">
        <f>Settings!$B$84</f>
        <v>2026-08</v>
      </c>
    </row>
    <row r="20" ht="15" customHeight="1" s="278">
      <c r="A20" s="366" t="inlineStr">
        <is>
          <t>Days elapsed / days in month</t>
        </is>
      </c>
      <c r="B20" s="298" t="str">
        <f>Settings!$B$89&amp;" of "&amp;DAY(EOMONTH(Settings!$B$9,0))</f>
        <v>26 of 31</v>
      </c>
    </row>
    <row r="21" ht="15" customHeight="1" s="278">
      <c r="A21" s="366" t="inlineStr">
        <is>
          <t>Spent so far this month</t>
        </is>
      </c>
      <c r="B21" s="293">
        <f>Settings!$B$86</f>
        <v>7587.65</v>
      </c>
    </row>
    <row r="22" ht="15" customHeight="1" s="278">
      <c r="A22" s="366" t="inlineStr">
        <is>
          <t>Average per day so far</t>
        </is>
      </c>
      <c r="B22" s="293">
        <f>Settings!$B$90</f>
        <v>119.9919230769</v>
      </c>
    </row>
    <row r="23" ht="15" customHeight="1" s="278">
      <c r="A23" s="366" t="inlineStr">
        <is>
          <t>Projected month-end cash</t>
        </is>
      </c>
      <c r="B23" s="297">
        <f>Settings!$B$94</f>
        <v>-443.1596153846</v>
      </c>
    </row>
    <row r="24" ht="15" customHeight="1" s="278">
      <c r="A24" s="296" t="inlineStr">
        <is>
          <t>STATUS</t>
        </is>
      </c>
      <c r="B24" s="462" t="str">
        <f>IF(Settings!$B$94&lt;0,"OVER — PROJECTED SHORTFALL",IF(Settings!$B$90&gt;Settings!$B$75,"WATCH — RUNNING ABOVE THE SAFE PACE","ON TRACK"))</f>
        <v>OVER — PROJECTED SHORTFALL</v>
      </c>
    </row>
    <row r="25" ht="19.5" customHeight="1" s="278"/>
    <row r="26" ht="27.75" customHeight="1" s="278">
      <c r="A26" s="382" t="inlineStr">
        <is>
          <t>WEEK-BY-WEEK HISTORY  ·  fills in automatically as weeks pass</t>
        </is>
      </c>
      <c r="B26" s="287" t="n"/>
      <c r="C26" s="287" t="n"/>
      <c r="D26" s="287" t="n"/>
      <c r="E26" s="287" t="n"/>
      <c r="F26" s="287" t="n"/>
      <c r="G26" s="287" t="n"/>
    </row>
    <row r="27" ht="15" customHeight="1" s="278">
      <c r="A27" s="383" t="inlineStr">
        <is>
          <t>Week starting</t>
        </is>
      </c>
      <c r="B27" s="383" t="inlineStr">
        <is>
          <t>Safe budget</t>
        </is>
      </c>
      <c r="C27" s="383" t="inlineStr">
        <is>
          <t>Actual spent</t>
        </is>
      </c>
      <c r="D27" s="383" t="inlineStr">
        <is>
          <t>Variance</t>
        </is>
      </c>
      <c r="E27" s="383" t="inlineStr">
        <is>
          <t>Status</t>
        </is>
      </c>
    </row>
    <row r="28" ht="15" customHeight="1" s="278">
      <c r="A28" s="463">
        <f>Settings!$B$9-WEEKDAY(Settings!$B$9,2)+1-7*0</f>
        <v>46258.0</v>
      </c>
      <c r="B28" s="434">
        <f>Settings!$B$75*7</f>
        <v>0.0</v>
      </c>
      <c r="C28" s="434">
        <f>SUMIFS(Transactions!$O$7:$O$520,Transactions!$F$7:$F$520,"Expense",Transactions!$P$7:$P$520,"AED",Transactions!$B$7:$B$520,"&gt;="&amp;A28,Transactions!$B$7:$B$520,"&lt;="&amp;A28+6)</f>
        <v>2934.17</v>
      </c>
      <c r="D28" s="434">
        <f>B28-C28</f>
        <v>-2934.17</v>
      </c>
      <c r="E28" s="399" t="str">
        <f>IF(C28&gt;B28,"Over","On track")</f>
        <v>Over</v>
      </c>
    </row>
    <row r="29" ht="15" customHeight="1" s="278">
      <c r="A29" s="463">
        <f>Settings!$B$9-WEEKDAY(Settings!$B$9,2)+1-7*1</f>
        <v>46251.0</v>
      </c>
      <c r="B29" s="434">
        <f>Settings!$B$75*7</f>
        <v>0.0</v>
      </c>
      <c r="C29" s="434">
        <f>SUMIFS(Transactions!$O$7:$O$520,Transactions!$F$7:$F$520,"Expense",Transactions!$P$7:$P$520,"AED",Transactions!$B$7:$B$520,"&gt;="&amp;A29,Transactions!$B$7:$B$520,"&lt;="&amp;A29+6)</f>
        <v>699.23</v>
      </c>
      <c r="D29" s="434">
        <f>B29-C29</f>
        <v>-699.23</v>
      </c>
      <c r="E29" s="399" t="str">
        <f>IF(C29&gt;B29,"Over","On track")</f>
        <v>Over</v>
      </c>
    </row>
    <row r="30" ht="15" customHeight="1" s="278">
      <c r="A30" s="463">
        <f>Settings!$B$9-WEEKDAY(Settings!$B$9,2)+1-7*2</f>
        <v>46244.0</v>
      </c>
      <c r="B30" s="434">
        <f>Settings!$B$75*7</f>
        <v>0.0</v>
      </c>
      <c r="C30" s="434">
        <f>SUMIFS(Transactions!$O$7:$O$520,Transactions!$F$7:$F$520,"Expense",Transactions!$P$7:$P$520,"AED",Transactions!$B$7:$B$520,"&gt;="&amp;A30,Transactions!$B$7:$B$520,"&lt;="&amp;A30+6)</f>
        <v>708.35</v>
      </c>
      <c r="D30" s="434">
        <f>B30-C30</f>
        <v>-708.35</v>
      </c>
      <c r="E30" s="399" t="str">
        <f>IF(C30&gt;B30,"Over","On track")</f>
        <v>Over</v>
      </c>
    </row>
    <row r="31" ht="15" customHeight="1" s="278">
      <c r="A31" s="463">
        <f>Settings!$B$9-WEEKDAY(Settings!$B$9,2)+1-7*3</f>
        <v>46237.0</v>
      </c>
      <c r="B31" s="434">
        <f>Settings!$B$75*7</f>
        <v>0.0</v>
      </c>
      <c r="C31" s="434">
        <f>SUMIFS(Transactions!$O$7:$O$520,Transactions!$F$7:$F$520,"Expense",Transactions!$P$7:$P$520,"AED",Transactions!$B$7:$B$520,"&gt;="&amp;A31,Transactions!$B$7:$B$520,"&lt;="&amp;A31+6)</f>
        <v>3245.9</v>
      </c>
      <c r="D31" s="434">
        <f>B31-C31</f>
        <v>-3245.9</v>
      </c>
      <c r="E31" s="399" t="str">
        <f>IF(C31&gt;B31,"Over","On track")</f>
        <v>Over</v>
      </c>
    </row>
    <row r="32" ht="15" customHeight="1" s="278">
      <c r="A32" s="463">
        <f>Settings!$B$9-WEEKDAY(Settings!$B$9,2)+1-7*4</f>
        <v>46230.0</v>
      </c>
      <c r="B32" s="434">
        <f>Settings!$B$75*7</f>
        <v>0.0</v>
      </c>
      <c r="C32" s="434">
        <f>SUMIFS(Transactions!$O$7:$O$520,Transactions!$F$7:$F$520,"Expense",Transactions!$P$7:$P$520,"AED",Transactions!$B$7:$B$520,"&gt;="&amp;A32,Transactions!$B$7:$B$520,"&lt;="&amp;A32+6)</f>
        <v>0.0</v>
      </c>
      <c r="D32" s="434">
        <f>B32-C32</f>
        <v>0.0</v>
      </c>
      <c r="E32" s="399" t="str">
        <f>IF(C32&gt;B32,"Over","On track")</f>
        <v>On track</v>
      </c>
    </row>
    <row r="33" ht="15" customHeight="1" s="278">
      <c r="A33" s="463">
        <f>Settings!$B$9-WEEKDAY(Settings!$B$9,2)+1-7*5</f>
        <v>46223.0</v>
      </c>
      <c r="B33" s="434">
        <f>Settings!$B$75*7</f>
        <v>0.0</v>
      </c>
      <c r="C33" s="434">
        <f>SUMIFS(Transactions!$O$7:$O$520,Transactions!$F$7:$F$520,"Expense",Transactions!$P$7:$P$520,"AED",Transactions!$B$7:$B$520,"&gt;="&amp;A33,Transactions!$B$7:$B$520,"&lt;="&amp;A33+6)</f>
        <v>0.0</v>
      </c>
      <c r="D33" s="434">
        <f>B33-C33</f>
        <v>0.0</v>
      </c>
      <c r="E33" s="399" t="str">
        <f>IF(C33&gt;B33,"Over","On track")</f>
        <v>On track</v>
      </c>
    </row>
    <row r="34" ht="15" customHeight="1" s="278">
      <c r="A34" s="463">
        <f>Settings!$B$9-WEEKDAY(Settings!$B$9,2)+1-7*6</f>
        <v>46216.0</v>
      </c>
      <c r="B34" s="434">
        <f>Settings!$B$75*7</f>
        <v>0.0</v>
      </c>
      <c r="C34" s="434">
        <f>SUMIFS(Transactions!$O$7:$O$520,Transactions!$F$7:$F$520,"Expense",Transactions!$P$7:$P$520,"AED",Transactions!$B$7:$B$520,"&gt;="&amp;A34,Transactions!$B$7:$B$520,"&lt;="&amp;A34+6)</f>
        <v>0.0</v>
      </c>
      <c r="D34" s="434">
        <f>B34-C34</f>
        <v>0.0</v>
      </c>
      <c r="E34" s="399" t="str">
        <f>IF(C34&gt;B34,"Over","On track")</f>
        <v>On track</v>
      </c>
    </row>
    <row r="35" ht="15" customHeight="1" s="278">
      <c r="A35" s="463">
        <f>Settings!$B$9-WEEKDAY(Settings!$B$9,2)+1-7*7</f>
        <v>46209.0</v>
      </c>
      <c r="B35" s="434">
        <f>Settings!$B$75*7</f>
        <v>0.0</v>
      </c>
      <c r="C35" s="434">
        <f>SUMIFS(Transactions!$O$7:$O$520,Transactions!$F$7:$F$520,"Expense",Transactions!$P$7:$P$520,"AED",Transactions!$B$7:$B$520,"&gt;="&amp;A35,Transactions!$B$7:$B$520,"&lt;="&amp;A35+6)</f>
        <v>0.0</v>
      </c>
      <c r="D35" s="434">
        <f>B35-C35</f>
        <v>0.0</v>
      </c>
      <c r="E35" s="399" t="str">
        <f>IF(C35&gt;B35,"Over","On track")</f>
        <v>On track</v>
      </c>
    </row>
    <row r="36" ht="15" customHeight="1" s="278">
      <c r="A36" s="463">
        <f>Settings!$B$9-WEEKDAY(Settings!$B$9,2)+1-7*8</f>
        <v>46202.0</v>
      </c>
      <c r="B36" s="434">
        <f>Settings!$B$75*7</f>
        <v>0.0</v>
      </c>
      <c r="C36" s="434">
        <f>SUMIFS(Transactions!$O$7:$O$520,Transactions!$F$7:$F$520,"Expense",Transactions!$P$7:$P$520,"AED",Transactions!$B$7:$B$520,"&gt;="&amp;A36,Transactions!$B$7:$B$520,"&lt;="&amp;A36+6)</f>
        <v>0.0</v>
      </c>
      <c r="D36" s="434">
        <f>B36-C36</f>
        <v>0.0</v>
      </c>
      <c r="E36" s="399" t="str">
        <f>IF(C36&gt;B36,"Over","On track")</f>
        <v>On track</v>
      </c>
    </row>
    <row r="37" ht="15" customHeight="1" s="278">
      <c r="A37" s="463">
        <f>Settings!$B$9-WEEKDAY(Settings!$B$9,2)+1-7*9</f>
        <v>46195.0</v>
      </c>
      <c r="B37" s="434">
        <f>Settings!$B$75*7</f>
        <v>0.0</v>
      </c>
      <c r="C37" s="434">
        <f>SUMIFS(Transactions!$O$7:$O$520,Transactions!$F$7:$F$520,"Expense",Transactions!$P$7:$P$520,"AED",Transactions!$B$7:$B$520,"&gt;="&amp;A37,Transactions!$B$7:$B$520,"&lt;="&amp;A37+6)</f>
        <v>0.0</v>
      </c>
      <c r="D37" s="434">
        <f>B37-C37</f>
        <v>0.0</v>
      </c>
      <c r="E37" s="399" t="str">
        <f>IF(C37&gt;B37,"Over","On track")</f>
        <v>On track</v>
      </c>
    </row>
    <row r="38" ht="15" customHeight="1" s="278">
      <c r="A38" s="463">
        <f>Settings!$B$9-WEEKDAY(Settings!$B$9,2)+1-7*10</f>
        <v>46188.0</v>
      </c>
      <c r="B38" s="434">
        <f>Settings!$B$75*7</f>
        <v>0.0</v>
      </c>
      <c r="C38" s="434">
        <f>SUMIFS(Transactions!$O$7:$O$520,Transactions!$F$7:$F$520,"Expense",Transactions!$P$7:$P$520,"AED",Transactions!$B$7:$B$520,"&gt;="&amp;A38,Transactions!$B$7:$B$520,"&lt;="&amp;A38+6)</f>
        <v>0.0</v>
      </c>
      <c r="D38" s="434">
        <f>B38-C38</f>
        <v>0.0</v>
      </c>
      <c r="E38" s="399" t="str">
        <f>IF(C38&gt;B38,"Over","On track")</f>
        <v>On track</v>
      </c>
    </row>
    <row r="39" ht="15" customHeight="1" s="278">
      <c r="A39" s="463">
        <f>Settings!$B$9-WEEKDAY(Settings!$B$9,2)+1-7*11</f>
        <v>46181.0</v>
      </c>
      <c r="B39" s="434">
        <f>Settings!$B$75*7</f>
        <v>0.0</v>
      </c>
      <c r="C39" s="434">
        <f>SUMIFS(Transactions!$O$7:$O$520,Transactions!$F$7:$F$520,"Expense",Transactions!$P$7:$P$520,"AED",Transactions!$B$7:$B$520,"&gt;="&amp;A39,Transactions!$B$7:$B$520,"&lt;="&amp;A39+6)</f>
        <v>0.0</v>
      </c>
      <c r="D39" s="434">
        <f>B39-C39</f>
        <v>0.0</v>
      </c>
      <c r="E39" s="399" t="str">
        <f>IF(C39&gt;B39,"Over","On track")</f>
        <v>On track</v>
      </c>
    </row>
    <row r="40" ht="15" customHeight="1" s="278">
      <c r="A40" s="277" t="n"/>
    </row>
    <row r="41" ht="15" customHeight="1" s="278"/>
  </sheetData>
  <mergeCells count="2">
    <mergeCell ref="A15:G16"/>
    <mergeCell ref="A40:G41"/>
  </mergeCells>
  <conditionalFormatting sqref="B14">
    <cfRule type="cellIs" rank="0" priority="2" equalAverage="0" operator="equal" aboveAverage="0" dxfId="26" text="" percent="0" bottom="0">
      <formula>"OVER FOR THE WEEK"</formula>
    </cfRule>
    <cfRule type="cellIs" rank="0" priority="3" equalAverage="0" operator="equal" aboveAverage="0" dxfId="27" text="" percent="0" bottom="0">
      <formula>"WATCH — CLOSE TO THE LIMIT"</formula>
    </cfRule>
    <cfRule type="cellIs" rank="0" priority="4" equalAverage="0" operator="equal" aboveAverage="0" dxfId="28" text="" percent="0" bottom="0">
      <formula>"ON TRACK"</formula>
    </cfRule>
  </conditionalFormatting>
  <conditionalFormatting sqref="B23">
    <cfRule type="cellIs" rank="0" priority="5" equalAverage="0" operator="equal" aboveAverage="0" dxfId="26" text="" percent="0" bottom="0">
      <formula>"OVER — PROJECTED SHORTFALL"</formula>
    </cfRule>
    <cfRule type="cellIs" rank="0" priority="6" equalAverage="0" operator="equal" aboveAverage="0" dxfId="27" text="" percent="0" bottom="0">
      <formula>"WATCH — RUNNING ABOVE THE SAFE PACE"</formula>
    </cfRule>
    <cfRule type="cellIs" rank="0" priority="7" equalAverage="0" operator="equal" aboveAverage="0" dxfId="28" text="" percent="0" bottom="0">
      <formula>"ON TRACK"</formula>
    </cfRule>
  </conditionalFormatting>
  <conditionalFormatting sqref="E27:E38">
    <cfRule type="cellIs" rank="0" priority="8" equalAverage="0" operator="equal" aboveAverage="0" dxfId="22" text="" percent="0" bottom="0">
      <formula>"Over"</formula>
    </cfRule>
    <cfRule type="cellIs" rank="0" priority="9" equalAverage="0" operator="equal" aboveAverage="0" dxfId="23" text="" percent="0" bottom="0">
      <formula>"On track"</formula>
    </cfRule>
  </conditionalFormatting>
  <conditionalFormatting sqref="B13">
    <cfRule type="cellIs" rank="0" priority="10" equalAverage="0" operator="equal" aboveAverage="0" dxfId="26" text="" percent="0" bottom="0">
      <formula>"OVER FOR THE WEEK"</formula>
    </cfRule>
    <cfRule type="cellIs" rank="0" priority="11" equalAverage="0" operator="equal" aboveAverage="0" dxfId="27" text="" percent="0" bottom="0">
      <formula>"WATCH — CLOSE TO THE LIMIT"</formula>
    </cfRule>
    <cfRule type="cellIs" rank="0" priority="12" equalAverage="0" operator="equal" aboveAverage="0" dxfId="28" text="" percent="0" bottom="0">
      <formula>"ON TRACK"</formula>
    </cfRule>
  </conditionalFormatting>
  <conditionalFormatting sqref="B24">
    <cfRule type="cellIs" rank="0" priority="13" equalAverage="0" operator="equal" aboveAverage="0" dxfId="26" text="" percent="0" bottom="0">
      <formula>"OVER — PROJECTED SHORTFALL"</formula>
    </cfRule>
    <cfRule type="cellIs" rank="0" priority="14" equalAverage="0" operator="equal" aboveAverage="0" dxfId="27" text="" percent="0" bottom="0">
      <formula>"WATCH — RUNNING ABOVE THE SAFE PACE"</formula>
    </cfRule>
    <cfRule type="cellIs" rank="0" priority="15" equalAverage="0" operator="equal" aboveAverage="0" dxfId="28" text="" percent="0" bottom="0">
      <formula>"ON TRACK"</formula>
    </cfRule>
  </conditionalFormatting>
  <conditionalFormatting sqref="E28:E39">
    <cfRule type="cellIs" rank="0" priority="16" equalAverage="0" operator="equal" aboveAverage="0" dxfId="22" text="" percent="0" bottom="0">
      <formula>"Over"</formula>
    </cfRule>
    <cfRule type="cellIs" rank="0" priority="17" equalAverage="0" operator="equal" aboveAverage="0" dxfId="23" text="" percent="0" bottom="0">
      <formula>"On track"</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C6A15B"/>
    <outlinePr summaryBelow="1" summaryRight="1"/>
    <pageSetUpPr fitToPage="1"/>
  </sheetPr>
  <dimension ref="A1:F5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77" min="1" max="1"/>
    <col width="16" customWidth="1" style="277" min="2" max="5"/>
    <col width="40" customWidth="1" style="277" min="6" max="6"/>
  </cols>
  <sheetData>
    <row r="1" ht="30" customHeight="1" s="278">
      <c r="A1" s="345" t="inlineStr">
        <is>
          <t>Goals &amp; Future Planning</t>
        </is>
      </c>
    </row>
    <row r="2" ht="13.5" customHeight="1" s="278">
      <c r="A2" s="565" t="inlineStr">
        <is>
          <t>Everything beyond the next 90 days — UNTOLD, the trip, and the January rent renewal. These come after the rent gap, never before it.</t>
        </is>
      </c>
    </row>
    <row r="3" ht="6" customHeight="1" s="278"/>
    <row r="5" ht="19.5" customHeight="1" s="278">
      <c r="A5" s="382" t="inlineStr">
        <is>
          <t>PRIORITY ORDER  ·  read this before funding anything below</t>
        </is>
      </c>
      <c r="B5" s="287" t="n"/>
      <c r="C5" s="287" t="n"/>
      <c r="D5" s="287" t="n"/>
      <c r="E5" s="287" t="n"/>
      <c r="F5" s="287" t="n"/>
    </row>
    <row r="6" ht="15" customHeight="1" s="278">
      <c r="A6" s="413" t="inlineStr">
        <is>
          <t>1. Close the current rent gap (AED —see Command Center)   →   2. Rebuild the safety buffer   →   3. Fund goals below, in the order you choose. Nothing here should be funded ahead of the rent cheque.</t>
        </is>
      </c>
    </row>
    <row r="7" ht="15" customHeight="1" s="278"/>
    <row r="9" ht="19.5" customHeight="1" s="278">
      <c r="A9" s="382" t="inlineStr">
        <is>
          <t>UNTOLD DUBAI  ·  5–8 Nov 2026, Dubai Parks and Resorts</t>
        </is>
      </c>
      <c r="B9" s="287" t="n"/>
      <c r="C9" s="287" t="n"/>
      <c r="D9" s="287" t="n"/>
      <c r="E9" s="287" t="n"/>
      <c r="F9" s="287" t="n"/>
    </row>
    <row r="10" ht="27.75" customHeight="1" s="278">
      <c r="A10" s="383" t="inlineStr">
        <is>
          <t>Measure</t>
        </is>
      </c>
      <c r="B10" s="383" t="inlineStr">
        <is>
          <t>Value</t>
        </is>
      </c>
      <c r="C10" s="383" t="inlineStr">
        <is>
          <t>Note</t>
        </is>
      </c>
    </row>
    <row r="11" ht="15" customHeight="1" s="278">
      <c r="A11" s="366" t="inlineStr">
        <is>
          <t>Event date</t>
        </is>
      </c>
      <c r="B11" s="458">
        <f>Settings!$B$133</f>
        <v>46331.0</v>
      </c>
      <c r="C11" s="368" t="inlineStr">
        <is>
          <t>Confirmed — Time Out Dubai</t>
        </is>
      </c>
      <c r="D11" s="318" t="n"/>
      <c r="E11" s="318" t="n"/>
      <c r="F11" s="319" t="n"/>
    </row>
    <row r="12" ht="15" customHeight="1" s="278">
      <c r="A12" s="366" t="inlineStr">
        <is>
          <t>Days from today</t>
        </is>
      </c>
      <c r="B12" s="459">
        <f>Settings!$B$133-Settings!$B$9</f>
        <v>71.0</v>
      </c>
      <c r="C12" s="368" t="inlineStr">
        <is>
          <t>Live countdown</t>
        </is>
      </c>
      <c r="D12" s="318" t="n"/>
      <c r="E12" s="318" t="n"/>
      <c r="F12" s="319" t="n"/>
    </row>
    <row r="13" ht="15" customHeight="1" s="278">
      <c r="A13" s="366" t="inlineStr">
        <is>
          <t>Tickets needed</t>
        </is>
      </c>
      <c r="B13" s="459">
        <f>Settings!$B$134</f>
        <v>1.0</v>
      </c>
      <c r="C13" s="368" t="inlineStr">
        <is>
          <t>Edit on Settings if solo, not a couple</t>
        </is>
      </c>
      <c r="D13" s="318" t="n"/>
      <c r="E13" s="318" t="n"/>
      <c r="F13" s="319" t="n"/>
    </row>
    <row r="14" ht="15" customHeight="1" s="278">
      <c r="A14" s="366" t="inlineStr">
        <is>
          <t>Price per ticket (early-bird)</t>
        </is>
      </c>
      <c r="B14" s="293">
        <f>Settings!$B$135</f>
        <v>350.0</v>
      </c>
      <c r="C14" s="368" t="inlineStr">
        <is>
          <t>Rises closer to the date — buy early-bird if you're going</t>
        </is>
      </c>
      <c r="D14" s="318" t="n"/>
      <c r="E14" s="318" t="n"/>
      <c r="F14" s="319" t="n"/>
    </row>
    <row r="15" ht="15" customHeight="1" s="278">
      <c r="A15" s="296" t="inlineStr">
        <is>
          <t>TOTAL COST</t>
        </is>
      </c>
      <c r="B15" s="367">
        <f>Settings!$B$134*Settings!$B$135</f>
        <v>350.0</v>
      </c>
      <c r="C15" s="368" t="inlineStr">
        <is>
          <t>Two 4-day GA passes at early-bird pricing</t>
        </is>
      </c>
      <c r="D15" s="318" t="n"/>
      <c r="E15" s="318" t="n"/>
      <c r="F15" s="319" t="n"/>
    </row>
    <row r="16" ht="15" customHeight="1" s="278">
      <c r="A16" s="366" t="inlineStr">
        <is>
          <t>Already saved toward this</t>
        </is>
      </c>
      <c r="B16" s="392" t="n">
        <v>0</v>
      </c>
      <c r="C16" s="368" t="inlineStr">
        <is>
          <t>Update as you set money aside</t>
        </is>
      </c>
      <c r="D16" s="318" t="n"/>
      <c r="E16" s="318" t="n"/>
      <c r="F16" s="319" t="n"/>
    </row>
    <row r="17" ht="15" customHeight="1" s="278">
      <c r="A17" s="366" t="inlineStr">
        <is>
          <t>Still needed</t>
        </is>
      </c>
      <c r="B17" s="293">
        <f>B15-B16</f>
        <v>350.0</v>
      </c>
      <c r="C17" s="368" t="inlineStr">
        <is>
          <t>Cost less what's already saved</t>
        </is>
      </c>
      <c r="D17" s="318" t="n"/>
      <c r="E17" s="318" t="n"/>
      <c r="F17" s="319" t="n"/>
    </row>
    <row r="18" ht="15" customHeight="1" s="278">
      <c r="A18" s="366" t="inlineStr">
        <is>
          <t>Weeks remaining</t>
        </is>
      </c>
      <c r="B18" s="464">
        <f>ROUNDUP(B12/7,0)</f>
        <v>11.0</v>
      </c>
      <c r="C18" s="368" t="n"/>
      <c r="D18" s="318" t="n"/>
      <c r="E18" s="318" t="n"/>
      <c r="F18" s="319" t="n"/>
    </row>
    <row r="19" ht="15" customHeight="1" s="278">
      <c r="A19" s="296" t="inlineStr">
        <is>
          <t>REQUIRED PER WEEK</t>
        </is>
      </c>
      <c r="B19" s="367">
        <f>IF(B18=0,0,B17/B18)</f>
        <v>31.8181818182</v>
      </c>
      <c r="C19" s="368" t="inlineStr">
        <is>
          <t>To have it fully funded by the event</t>
        </is>
      </c>
      <c r="D19" s="318" t="n"/>
      <c r="E19" s="318" t="n"/>
      <c r="F19" s="319" t="n"/>
    </row>
    <row r="21" ht="19.5" customHeight="1" s="278">
      <c r="A21" s="382" t="inlineStr">
        <is>
          <t>COUPLE'S TRIP  ·  4–5 days, destination and date not yet chosen</t>
        </is>
      </c>
      <c r="B21" s="287" t="n"/>
      <c r="C21" s="287" t="n"/>
      <c r="D21" s="287" t="n"/>
      <c r="E21" s="287" t="n"/>
      <c r="F21" s="287" t="n"/>
    </row>
    <row r="22" ht="27.75" customHeight="1" s="278">
      <c r="A22" s="383" t="inlineStr">
        <is>
          <t>Measure</t>
        </is>
      </c>
      <c r="B22" s="383" t="inlineStr">
        <is>
          <t>Value</t>
        </is>
      </c>
      <c r="C22" s="383" t="inlineStr">
        <is>
          <t>Note</t>
        </is>
      </c>
    </row>
    <row r="23" ht="15" customHeight="1" s="278">
      <c r="A23" s="366" t="inlineStr">
        <is>
          <t>Budget (both of you)</t>
        </is>
      </c>
      <c r="B23" s="293">
        <f>Settings!$B$136</f>
        <v>4000.0</v>
      </c>
      <c r="C23" s="368" t="inlineStr">
        <is>
          <t>Midpoint of your AED 3,000–5,000 range</t>
        </is>
      </c>
      <c r="D23" s="318" t="n"/>
      <c r="E23" s="318" t="n"/>
      <c r="F23" s="319" t="n"/>
    </row>
    <row r="24" ht="15" customHeight="1" s="278">
      <c r="A24" s="366" t="inlineStr">
        <is>
          <t>Target month</t>
        </is>
      </c>
      <c r="B24" s="298" t="str">
        <f>Settings!$B$137</f>
        <v>TBD</v>
      </c>
      <c r="C24" s="368" t="inlineStr">
        <is>
          <t>Set a real month on Settings to activate the countdown below</t>
        </is>
      </c>
      <c r="D24" s="318" t="n"/>
      <c r="E24" s="318" t="n"/>
      <c r="F24" s="319" t="n"/>
    </row>
    <row r="25" ht="15" customHeight="1" s="278">
      <c r="A25" s="366" t="inlineStr">
        <is>
          <t>Already saved toward this</t>
        </is>
      </c>
      <c r="B25" s="392" t="n">
        <v>0</v>
      </c>
      <c r="C25" s="368" t="inlineStr">
        <is>
          <t>Update as you set money aside</t>
        </is>
      </c>
      <c r="D25" s="318" t="n"/>
      <c r="E25" s="318" t="n"/>
      <c r="F25" s="319" t="n"/>
    </row>
    <row r="26" ht="15" customHeight="1" s="278">
      <c r="A26" s="366" t="inlineStr">
        <is>
          <t>Still needed</t>
        </is>
      </c>
      <c r="B26" s="293">
        <f>B23-B25</f>
        <v>4000.0</v>
      </c>
      <c r="C26" s="368" t="n"/>
      <c r="D26" s="318" t="n"/>
      <c r="E26" s="318" t="n"/>
      <c r="F26" s="319" t="n"/>
    </row>
    <row r="27" ht="15" customHeight="1" s="278">
      <c r="A27" s="366" t="inlineStr">
        <is>
          <t>Weeks to save (once a date is set)</t>
        </is>
      </c>
      <c r="B27" s="298" t="str">
        <f>IF(Settings!$B$137="TBD","Set a target month first",MAX(ROUNDUP((DATEVALUE("01 "&amp;Settings!$B$137)-Settings!$B$9)/7,0),1))</f>
        <v>Set a target month first</v>
      </c>
      <c r="C27" s="368" t="n"/>
      <c r="D27" s="318" t="n"/>
      <c r="E27" s="318" t="n"/>
      <c r="F27" s="319" t="n"/>
    </row>
    <row r="28" ht="15" customHeight="1" s="278">
      <c r="A28" s="296" t="inlineStr">
        <is>
          <t>REQUIRED PER WEEK</t>
        </is>
      </c>
      <c r="B28" s="367">
        <f>IF(Settings!$B$137="TBD",0,IF(B27=0,0,B26/B27))</f>
        <v>0.0</v>
      </c>
      <c r="C28" s="368" t="inlineStr">
        <is>
          <t>Blank until a target month exists</t>
        </is>
      </c>
      <c r="D28" s="318" t="n"/>
      <c r="E28" s="318" t="n"/>
      <c r="F28" s="319" t="n"/>
    </row>
    <row r="29" ht="15" customHeight="1" s="278">
      <c r="A29" s="342" t="inlineStr">
        <is>
          <t>To activate the weekly target: change Settings!B137 from "TBD" to a month like "Dec 2026" — the countdown and weekly figure fill in automatically.</t>
        </is>
      </c>
    </row>
    <row r="30" ht="15" customHeight="1" s="278"/>
    <row r="32" ht="19.5" customHeight="1" s="278">
      <c r="A32" s="382" t="inlineStr">
        <is>
          <t>JANUARY 2027 RENT RENEWAL  ·  paid quarterly, 4 cheques a year</t>
        </is>
      </c>
      <c r="B32" s="287" t="n"/>
      <c r="C32" s="287" t="n"/>
      <c r="D32" s="287" t="n"/>
      <c r="E32" s="287" t="n"/>
      <c r="F32" s="287" t="n"/>
    </row>
    <row r="33" ht="27.75" customHeight="1" s="278">
      <c r="A33" s="383" t="inlineStr">
        <is>
          <t>Measure</t>
        </is>
      </c>
      <c r="B33" s="383" t="inlineStr">
        <is>
          <t>Value</t>
        </is>
      </c>
      <c r="C33" s="383" t="inlineStr">
        <is>
          <t>Note</t>
        </is>
      </c>
    </row>
    <row r="34" ht="15" customHeight="1" s="278">
      <c r="A34" s="366" t="inlineStr">
        <is>
          <t>Renewal / next cheque date</t>
        </is>
      </c>
      <c r="B34" s="458">
        <f>Settings!$B$130</f>
        <v>46409.0</v>
      </c>
      <c r="C34" s="368" t="inlineStr">
        <is>
          <t>Assumed same day-of-month as October — confirm the exact date</t>
        </is>
      </c>
      <c r="D34" s="318" t="n"/>
      <c r="E34" s="318" t="n"/>
      <c r="F34" s="319" t="n"/>
    </row>
    <row r="35" ht="15" customHeight="1" s="278">
      <c r="A35" s="366" t="inlineStr">
        <is>
          <t>Days from today</t>
        </is>
      </c>
      <c r="B35" s="459">
        <f>Settings!$B$130-Settings!$B$9</f>
        <v>149.0</v>
      </c>
      <c r="C35" s="368" t="n"/>
      <c r="D35" s="318" t="n"/>
      <c r="E35" s="318" t="n"/>
      <c r="F35" s="319" t="n"/>
    </row>
    <row r="36" ht="15" customHeight="1" s="278">
      <c r="A36" s="366" t="inlineStr">
        <is>
          <t>Rent assumption</t>
        </is>
      </c>
      <c r="B36" s="298" t="str">
        <f>Settings!$B$131</f>
        <v>Flat — no increase</v>
      </c>
      <c r="C36" s="368" t="inlineStr">
        <is>
          <t>Your instruction, 11 Aug 2026 — revisit once the landlord confirms</t>
        </is>
      </c>
      <c r="D36" s="318" t="n"/>
      <c r="E36" s="318" t="n"/>
      <c r="F36" s="319" t="n"/>
    </row>
    <row r="37" ht="15" customHeight="1" s="278">
      <c r="A37" s="366" t="inlineStr">
        <is>
          <t>Amount to fund (flat-rent case)</t>
        </is>
      </c>
      <c r="B37" s="293">
        <f>Settings!$B$128</f>
        <v>11750.0</v>
      </c>
      <c r="C37" s="368" t="inlineStr">
        <is>
          <t>Same as the October cheque</t>
        </is>
      </c>
      <c r="D37" s="318" t="n"/>
      <c r="E37" s="318" t="n"/>
      <c r="F37" s="319" t="n"/>
    </row>
    <row r="38" ht="15" customHeight="1" s="278">
      <c r="A38" s="366" t="inlineStr">
        <is>
          <t>Full 2027 quarterly pattern (Jan+Apr+Jul+Oct)</t>
        </is>
      </c>
      <c r="B38" s="293">
        <f>Settings!$B$128*4</f>
        <v>47000.0</v>
      </c>
      <c r="C38" s="368" t="inlineStr">
        <is>
          <t>Assumed — confirm against the real schedule once known</t>
        </is>
      </c>
      <c r="D38" s="318" t="n"/>
      <c r="E38" s="318" t="n"/>
      <c r="F38" s="319" t="n"/>
    </row>
    <row r="39" ht="15" customHeight="1" s="278">
      <c r="A39" s="366" t="inlineStr">
        <is>
          <t>SENSITIVITY — if rent rises</t>
        </is>
      </c>
      <c r="B39" s="412">
        <f>Settings!$B$132</f>
        <v>0.07</v>
      </c>
      <c r="C39" s="368" t="inlineStr">
        <is>
          <t>What-if only, not the working plan</t>
        </is>
      </c>
      <c r="D39" s="318" t="n"/>
      <c r="E39" s="318" t="n"/>
      <c r="F39" s="319" t="n"/>
    </row>
    <row r="40" ht="15" customHeight="1" s="278">
      <c r="A40" s="366" t="inlineStr">
        <is>
          <t>Extra per cheque if the increase happens</t>
        </is>
      </c>
      <c r="B40" s="293">
        <f>Settings!$B$128*Settings!$B$132</f>
        <v>822.5</v>
      </c>
      <c r="C40" s="368" t="n"/>
      <c r="D40" s="318" t="n"/>
      <c r="E40" s="318" t="n"/>
      <c r="F40" s="319" t="n"/>
    </row>
    <row r="41" ht="15" customHeight="1" s="278">
      <c r="A41" s="366" t="inlineStr">
        <is>
          <t>Extra across the 2027 year if it happens</t>
        </is>
      </c>
      <c r="B41" s="367">
        <f>B40*4</f>
        <v>3290.0</v>
      </c>
      <c r="C41" s="368" t="inlineStr">
        <is>
          <t>Worth keeping in mind even though the base plan assumes flat</t>
        </is>
      </c>
      <c r="D41" s="318" t="n"/>
      <c r="E41" s="318" t="n"/>
      <c r="F41" s="319" t="n"/>
    </row>
    <row r="42" ht="15" customHeight="1" s="278">
      <c r="A42" s="342" t="inlineStr">
        <is>
          <t>The January, April and July 2027 cheques are already on the Bills &amp; Commitments sheet at the assumed AED 11,750 rate, so they'll show up in any forecast that runs that far — clearly marked Estimated, never Actual.</t>
        </is>
      </c>
    </row>
    <row r="43" ht="15" customHeight="1" s="278"/>
    <row r="45" ht="19.5" customHeight="1" s="278">
      <c r="A45" s="382" t="inlineStr">
        <is>
          <t>COMBINED SAVINGS TARGET  ·  everything above, side by side</t>
        </is>
      </c>
      <c r="B45" s="287" t="n"/>
      <c r="C45" s="287" t="n"/>
      <c r="D45" s="287" t="n"/>
      <c r="E45" s="287" t="n"/>
      <c r="F45" s="287" t="n"/>
    </row>
    <row r="46" ht="27.75" customHeight="1" s="278">
      <c r="A46" s="383" t="inlineStr">
        <is>
          <t>Goal</t>
        </is>
      </c>
      <c r="B46" s="383" t="inlineStr">
        <is>
          <t>Target date</t>
        </is>
      </c>
      <c r="C46" s="383" t="inlineStr">
        <is>
          <t>Still needed</t>
        </is>
      </c>
      <c r="D46" s="383" t="inlineStr">
        <is>
          <t>Per week</t>
        </is>
      </c>
      <c r="E46" s="383" t="inlineStr">
        <is>
          <t>Status</t>
        </is>
      </c>
    </row>
    <row r="47" ht="15" customHeight="1" s="278">
      <c r="A47" s="296" t="inlineStr">
        <is>
          <t>UNTOLD Dubai</t>
        </is>
      </c>
      <c r="B47" s="347">
        <f>B11</f>
        <v>46331.0</v>
      </c>
      <c r="C47" s="293">
        <f>B17</f>
        <v>350.0</v>
      </c>
      <c r="D47" s="293">
        <f>B19</f>
        <v>31.8181818182</v>
      </c>
      <c r="E47" s="435" t="str">
        <f>IF(D47=0,"—",IF(D47&gt;Settings!$B$82,"COMPETES WITH THE RENT GAP","Fits alongside it"))</f>
        <v>Fits alongside it</v>
      </c>
    </row>
    <row r="48" ht="15" customHeight="1" s="278">
      <c r="A48" s="296" t="inlineStr">
        <is>
          <t>Couple's trip</t>
        </is>
      </c>
      <c r="B48" s="465" t="str">
        <f>IF(Settings!$B$137="TBD","No date set",Settings!$B$137)</f>
        <v>No date set</v>
      </c>
      <c r="C48" s="293">
        <f>B26</f>
        <v>4000.0</v>
      </c>
      <c r="D48" s="293">
        <f>B28</f>
        <v>0.0</v>
      </c>
      <c r="E48" s="435" t="str">
        <f>IF(D48=0,"—",IF(D48&gt;Settings!$B$82,"COMPETES WITH THE RENT GAP","Fits alongside it"))</f>
        <v>—</v>
      </c>
    </row>
    <row r="49" ht="15" customHeight="1" s="278">
      <c r="A49" s="376" t="inlineStr">
        <is>
          <t>TOTAL PER WEEK  (both goals)</t>
        </is>
      </c>
      <c r="B49" s="377" t="n"/>
      <c r="C49" s="377" t="n"/>
      <c r="D49" s="378">
        <f>SUM(D47:D48)</f>
        <v>31.8181818182</v>
      </c>
      <c r="E49" s="377" t="n"/>
    </row>
    <row r="51" ht="15" customHeight="1" s="278">
      <c r="A51" s="466" t="str">
        <f>CONCATENATE("For comparison: closing the current rent gap needs AED ",TEXT(Settings!$B$82,"#,##0.00")," a week. These two goals together need AED ",TEXT(D49,"#,##0.00")," a week on top of that once you start funding them.")</f>
        <v>For comparison: closing the current rent gap needs AED 55.20 a week. These two goals together need AED 31.82 a week on top of that once you start funding them.</v>
      </c>
    </row>
    <row r="52" ht="15" customHeight="1" s="278"/>
  </sheetData>
  <mergeCells count="27">
    <mergeCell ref="C17:F17"/>
    <mergeCell ref="C23:F23"/>
    <mergeCell ref="C39:F39"/>
    <mergeCell ref="C38:F38"/>
    <mergeCell ref="C19:F19"/>
    <mergeCell ref="C37:F37"/>
    <mergeCell ref="C28:F28"/>
    <mergeCell ref="C13:F13"/>
    <mergeCell ref="C18:F18"/>
    <mergeCell ref="C34:F34"/>
    <mergeCell ref="C15:F15"/>
    <mergeCell ref="A51:F52"/>
    <mergeCell ref="C24:F24"/>
    <mergeCell ref="C14:F14"/>
    <mergeCell ref="A6:F7"/>
    <mergeCell ref="C35:F35"/>
    <mergeCell ref="C26:F26"/>
    <mergeCell ref="C16:F16"/>
    <mergeCell ref="C25:F25"/>
    <mergeCell ref="C41:F41"/>
    <mergeCell ref="C40:F40"/>
    <mergeCell ref="C12:F12"/>
    <mergeCell ref="C11:F11"/>
    <mergeCell ref="C27:F27"/>
    <mergeCell ref="A42:F43"/>
    <mergeCell ref="C36:F36"/>
    <mergeCell ref="A29:F30"/>
  </mergeCells>
  <conditionalFormatting sqref="E47:E48">
    <cfRule type="cellIs" rank="0" priority="2" equalAverage="0" operator="equal" aboveAverage="0" dxfId="22" text="" percent="0" bottom="0">
      <formula>"COMPETES WITH THE RENT GAP"</formula>
    </cfRule>
    <cfRule type="cellIs" rank="0" priority="3" equalAverage="0" operator="equal" aboveAverage="0" dxfId="23" text="" percent="0" bottom="0">
      <formula>"Fits alongside it"</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C6A15B"/>
    <outlinePr summaryBelow="1" summaryRight="1"/>
    <pageSetUpPr fitToPage="1"/>
  </sheetPr>
  <dimension ref="A1:F7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277" min="1" max="1"/>
    <col width="16" customWidth="1" style="277" min="2" max="3"/>
    <col width="50" customWidth="1" style="277" min="4" max="4"/>
  </cols>
  <sheetData>
    <row r="1" ht="30" customHeight="1" s="278">
      <c r="A1" s="345" t="inlineStr">
        <is>
          <t>Family &amp; Future Security</t>
        </is>
      </c>
    </row>
    <row r="2" ht="13.5" customHeight="1" s="278">
      <c r="A2" s="565" t="inlineStr">
        <is>
          <t>A staged plan for a possible pregnancy, an emergency fund built for a family, and a home — starting from where you actually are today, not where you'd like to be.</t>
        </is>
      </c>
    </row>
    <row r="3" ht="6" customHeight="1" s="278"/>
    <row r="5" ht="19.5" customHeight="1" s="278">
      <c r="A5" s="382" t="inlineStr">
        <is>
          <t>WHERE THIS STARTS  ·  the honest baseline</t>
        </is>
      </c>
      <c r="B5" s="287" t="n"/>
      <c r="C5" s="287" t="n"/>
      <c r="D5" s="287" t="n"/>
    </row>
    <row r="6" ht="15" customHeight="1" s="278">
      <c r="A6" s="413" t="inlineStr">
        <is>
          <t>Today you have AED 250.91 of genuinely free cash and a rent gap still open. None of the goals below can be funded ahead of that. This sheet exists so the path from here to there is visible, not so it happens overnight.</t>
        </is>
      </c>
    </row>
    <row r="7" ht="15" customHeight="1" s="278"/>
    <row r="9" ht="19.5" customHeight="1" s="278">
      <c r="A9" s="382" t="inlineStr">
        <is>
          <t>STAGE 1 — STABILISE  ·  now through the 26 September salary</t>
        </is>
      </c>
      <c r="B9" s="287" t="n"/>
      <c r="C9" s="287" t="n"/>
      <c r="D9" s="287" t="n"/>
    </row>
    <row r="10" ht="27.75" customHeight="1" s="278">
      <c r="A10" s="383" t="inlineStr">
        <is>
          <t>Milestone</t>
        </is>
      </c>
      <c r="B10" s="383" t="inlineStr">
        <is>
          <t>Target</t>
        </is>
      </c>
      <c r="C10" s="383" t="inlineStr">
        <is>
          <t>By when</t>
        </is>
      </c>
      <c r="D10" s="383" t="inlineStr">
        <is>
          <t>Status</t>
        </is>
      </c>
    </row>
    <row r="11" ht="15" customHeight="1" s="278">
      <c r="A11" s="296" t="inlineStr">
        <is>
          <t>Close the current rent gap</t>
        </is>
      </c>
      <c r="B11" s="293">
        <f>Settings!$B$81</f>
        <v>3091.03</v>
      </c>
      <c r="C11" s="433" t="n">
        <v>46316</v>
      </c>
      <c r="D11" s="416" t="str">
        <f>IF(Settings!$B$81&lt;=0,"Done","In progress")</f>
        <v>In progress</v>
      </c>
    </row>
    <row r="12" ht="15" customHeight="1" s="278">
      <c r="A12" s="296" t="inlineStr">
        <is>
          <t>Rebuild the safety buffer to its full level</t>
        </is>
      </c>
      <c r="B12" s="293">
        <f>Settings!$B$14</f>
        <v>250.0</v>
      </c>
      <c r="D12" s="416" t="str">
        <f>IF(Accounts!$D$15-Accounts!$E$15&gt;=Settings!$B$14,"Done","Not yet")</f>
        <v>Not yet</v>
      </c>
    </row>
    <row r="14" ht="19.5" customHeight="1" s="278">
      <c r="A14" s="382" t="inlineStr">
        <is>
          <t>STAGE 2 — EMERGENCY FUND  ·  sized for a family, not a single person</t>
        </is>
      </c>
      <c r="B14" s="287" t="n"/>
      <c r="C14" s="287" t="n"/>
      <c r="D14" s="287" t="n"/>
    </row>
    <row r="15" ht="27.75" customHeight="1" s="278">
      <c r="A15" s="383" t="inlineStr">
        <is>
          <t>Measure</t>
        </is>
      </c>
      <c r="B15" s="383" t="inlineStr">
        <is>
          <t>Value</t>
        </is>
      </c>
      <c r="C15" s="383" t="inlineStr">
        <is>
          <t>Note</t>
        </is>
      </c>
    </row>
    <row r="16" ht="15" customHeight="1" s="278">
      <c r="A16" s="366" t="inlineStr">
        <is>
          <t>Target — months of essential expenses</t>
        </is>
      </c>
      <c r="B16" s="459">
        <f>Settings!$B$141</f>
        <v>6.0</v>
      </c>
      <c r="C16" s="368" t="n"/>
      <c r="D16" s="319" t="n"/>
    </row>
    <row r="17" ht="15" customHeight="1" s="278">
      <c r="A17" s="366" t="inlineStr">
        <is>
          <t>Average essential monthly spend</t>
        </is>
      </c>
      <c r="B17" s="293">
        <f>Settings!$B$142</f>
        <v>3661.0</v>
      </c>
      <c r="C17" s="368" t="n"/>
      <c r="D17" s="319" t="n"/>
    </row>
    <row r="18" ht="18.75" customHeight="1" s="278">
      <c r="A18" s="296" t="inlineStr">
        <is>
          <t>FULL TARGET</t>
        </is>
      </c>
      <c r="B18" s="367">
        <f>Settings!$B$141*Settings!$B$142</f>
        <v>21966.0</v>
      </c>
      <c r="C18" s="368" t="inlineStr">
        <is>
          <t>Six months covers job loss, a health scare, or a slow quarter without touching the rent vault or investments</t>
        </is>
      </c>
      <c r="D18" s="319" t="n"/>
    </row>
    <row r="19" ht="15" customHeight="1" s="278">
      <c r="A19" s="366" t="inlineStr">
        <is>
          <t>Current emergency fund</t>
        </is>
      </c>
      <c r="B19" s="293">
        <f>Accounts!$D$9</f>
        <v>7.67</v>
      </c>
      <c r="C19" s="368" t="inlineStr">
        <is>
          <t>FAB 4003</t>
        </is>
      </c>
      <c r="D19" s="319" t="n"/>
    </row>
    <row r="20" ht="15" customHeight="1" s="278">
      <c r="A20" s="366" t="inlineStr">
        <is>
          <t>Progress</t>
        </is>
      </c>
      <c r="B20" s="412">
        <f>IF(B18=0,0,B19/B18)</f>
        <v>0.000349176</v>
      </c>
      <c r="C20" s="368" t="n"/>
      <c r="D20" s="319" t="n"/>
    </row>
    <row r="21" ht="15" customHeight="1" s="278">
      <c r="A21" s="366" t="inlineStr">
        <is>
          <t>Still needed</t>
        </is>
      </c>
      <c r="B21" s="293">
        <f>MAX(B18-B19,0)</f>
        <v>21958.33</v>
      </c>
      <c r="C21" s="368" t="n"/>
      <c r="D21" s="319" t="n"/>
    </row>
    <row r="23" ht="19.5" customHeight="1" s="278">
      <c r="A23" s="467" t="inlineStr">
        <is>
          <t>STAGE 3 — IF YOUR WIFE BECOMES PREGNANT  ·  her EBP insurance changes this materially</t>
        </is>
      </c>
      <c r="B23" s="287" t="n"/>
      <c r="C23" s="287" t="n"/>
      <c r="D23" s="287" t="n"/>
    </row>
    <row r="24" ht="27.75" customHeight="1" s="278">
      <c r="A24" s="383" t="inlineStr">
        <is>
          <t>Measure</t>
        </is>
      </c>
      <c r="B24" s="468" t="inlineStr">
        <is>
          <t>Value</t>
        </is>
      </c>
      <c r="C24" s="383" t="inlineStr">
        <is>
          <t>Note</t>
        </is>
      </c>
    </row>
    <row r="25" ht="15" customHeight="1" s="278">
      <c r="A25" s="366" t="inlineStr">
        <is>
          <t>Her insurance</t>
        </is>
      </c>
      <c r="B25" s="298" t="str">
        <f>Settings!$B$158</f>
        <v>Basic / Essential Benefits Plan</v>
      </c>
      <c r="C25" s="368" t="inlineStr">
        <is>
          <t>Confirmed active, no waiting period</t>
        </is>
      </c>
      <c r="D25" s="319" t="n"/>
    </row>
    <row r="26" ht="15" customHeight="1" s="278">
      <c r="A26" s="366" t="inlineStr">
        <is>
          <t>EBP covers — normal delivery, up to</t>
        </is>
      </c>
      <c r="B26" s="293">
        <f>Settings!$B$160</f>
        <v>7000.0</v>
      </c>
      <c r="C26" s="368" t="inlineStr">
        <is>
          <t>Minus a 10% co-payment on the covered portion</t>
        </is>
      </c>
      <c r="D26" s="319" t="n"/>
    </row>
    <row r="27" ht="15" customHeight="1" s="278">
      <c r="A27" s="366" t="inlineStr">
        <is>
          <t>EBP covers — C-section, up to</t>
        </is>
      </c>
      <c r="B27" s="293">
        <f>Settings!$B$161</f>
        <v>10000.0</v>
      </c>
      <c r="C27" s="368" t="inlineStr">
        <is>
          <t>Minus a 10% co-payment on the covered portion</t>
        </is>
      </c>
      <c r="D27" s="319" t="n"/>
    </row>
    <row r="28" ht="15" customHeight="1" s="278">
      <c r="A28" s="296" t="inlineStr">
        <is>
          <t>OUT-OF-POCKET — government route</t>
        </is>
      </c>
      <c r="B28" s="293">
        <f>Settings!$B$162*MIN(Settings!$B$143,Settings!$B$160)+MAX(Settings!$B$143-Settings!$B$160,0)</f>
        <v>600.0</v>
      </c>
      <c r="C28" s="469">
        <f>Settings!$B$162*MIN(Settings!$B$144,Settings!$B$160)+MAX(Settings!$B$144-Settings!$B$160,0)</f>
        <v>8700.0</v>
      </c>
      <c r="D28" s="368" t="inlineStr">
        <is>
          <t>Low–high, AED 6,000–15,000 total cost — B is low end, C is high end</t>
        </is>
      </c>
    </row>
    <row r="29" ht="18.75" customHeight="1" s="278">
      <c r="A29" s="296" t="inlineStr">
        <is>
          <t>OUT-OF-POCKET — private route</t>
        </is>
      </c>
      <c r="B29" s="293">
        <f>Settings!$B$162*MIN(Settings!$B$145,Settings!$B$160)+MAX(Settings!$B$145-Settings!$B$160,0)</f>
        <v>5700.0</v>
      </c>
      <c r="C29" s="469">
        <f>Settings!$B$162*MIN(Settings!$B$146,Settings!$B$160)+MAX(Settings!$B$146-Settings!$B$160,0)</f>
        <v>23700.0</v>
      </c>
      <c r="D29" s="368" t="inlineStr">
        <is>
          <t>Low–high, AED 12,000–30,000 total cost — exceeds the sub-limit either way</t>
        </is>
      </c>
    </row>
    <row r="30" ht="15" customHeight="1" s="278">
      <c r="A30" s="296" t="inlineStr">
        <is>
          <t>SUGGESTED CONTINGENCY  (edit freely — you said 'a little')</t>
        </is>
      </c>
      <c r="B30" s="392" t="n">
        <v>3000</v>
      </c>
      <c r="C30" s="368" t="inlineStr">
        <is>
          <t>A working buffer for scans, tests, or extras — not the full private-route exposure</t>
        </is>
      </c>
      <c r="D30" s="319" t="n"/>
    </row>
    <row r="31" ht="15" customHeight="1" s="278">
      <c r="A31" s="366" t="inlineStr">
        <is>
          <t>Newborn first-year essentials</t>
        </is>
      </c>
      <c r="B31" s="394">
        <f>Settings!$B$149</f>
        <v>8000.0</v>
      </c>
      <c r="C31" s="368" t="inlineStr">
        <is>
          <t>Not covered by health insurance — car seat, crib, clothing, paediatrician</t>
        </is>
      </c>
      <c r="D31" s="319" t="n"/>
    </row>
    <row r="32" ht="15" customHeight="1" s="278">
      <c r="A32" s="470" t="inlineStr">
        <is>
          <t>TOTAL TO PREPARE FOR</t>
        </is>
      </c>
      <c r="B32" s="367">
        <f>B30+B31</f>
        <v>11000.0</v>
      </c>
      <c r="C32" s="289" t="n"/>
      <c r="D32" s="319" t="n"/>
    </row>
    <row r="33" ht="15" customHeight="1" s="278">
      <c r="A33" s="366" t="inlineStr">
        <is>
          <t>Already saved toward this</t>
        </is>
      </c>
      <c r="B33" s="392" t="n">
        <v>0</v>
      </c>
      <c r="C33" s="289" t="n"/>
      <c r="D33" s="319" t="n"/>
    </row>
    <row r="34" ht="15" customHeight="1" s="278">
      <c r="A34" s="296" t="inlineStr">
        <is>
          <t>Still needed</t>
        </is>
      </c>
      <c r="B34" s="293">
        <f>B32-B33</f>
        <v>11000.0</v>
      </c>
      <c r="C34" s="289" t="n"/>
      <c r="D34" s="319" t="n"/>
    </row>
    <row r="35" ht="19.5" customHeight="1" s="278">
      <c r="A35" s="382" t="inlineStr">
        <is>
          <t>STAGE 4 — A HOME  ·  Dubai reality check first, then a savings target</t>
        </is>
      </c>
      <c r="B35" s="287" t="n"/>
      <c r="C35" s="287" t="n"/>
      <c r="D35" s="287" t="n"/>
    </row>
    <row r="36" ht="27.75" customHeight="1" s="278">
      <c r="A36" s="471" t="inlineStr">
        <is>
          <t>Confirm one thing with HR: some Basic plans exclude maternity even when general coverage is immediate. A five-minute call now is cheaper than a surprise later.</t>
        </is>
      </c>
      <c r="B36" s="313" t="n"/>
      <c r="C36" s="313" t="n"/>
      <c r="D36" s="314" t="n"/>
    </row>
    <row r="37" ht="15" customHeight="1" s="278">
      <c r="A37" s="449" t="n"/>
      <c r="B37" s="321" t="n"/>
      <c r="C37" s="322" t="n"/>
      <c r="D37" s="322" t="n"/>
    </row>
    <row r="38" ht="15" customHeight="1" s="278">
      <c r="A38" s="366" t="inlineStr">
        <is>
          <t>Typical UAE bank minimum for a mortgage</t>
        </is>
      </c>
      <c r="B38" s="293">
        <f>Settings!$B$150</f>
        <v>15000.0</v>
      </c>
      <c r="C38" s="368" t="inlineStr">
        <is>
          <t>Most lenders</t>
        </is>
      </c>
      <c r="D38" s="319" t="n"/>
    </row>
    <row r="39" ht="15" customHeight="1" s="278">
      <c r="A39" s="366" t="inlineStr">
        <is>
          <t>Lowest seen (smaller loans only)</t>
        </is>
      </c>
      <c r="B39" s="293">
        <f>Settings!$B$151</f>
        <v>10000.0</v>
      </c>
      <c r="C39" s="368" t="n"/>
      <c r="D39" s="319" t="n"/>
    </row>
    <row r="40" ht="18.75" customHeight="1" s="278">
      <c r="A40" s="296" t="inlineStr">
        <is>
          <t>MORTGAGE-ELIGIBLE TODAY?</t>
        </is>
      </c>
      <c r="B40" s="363" t="str">
        <f>IF(B37&gt;=B38,"Yes",IF(B37&gt;=B39,"Possibly, small loan only","Not yet on this income alone"))</f>
        <v>Not yet on this income alone</v>
      </c>
      <c r="C40" s="472" t="inlineStr">
        <is>
          <t>Your income alone is below most banks' floor. Joint income with your wife, or income growth, changes this</t>
        </is>
      </c>
      <c r="D40" s="319" t="n"/>
    </row>
    <row r="41" ht="15" customHeight="1" s="278">
      <c r="A41" s="366" t="inlineStr">
        <is>
          <t>Expat down payment, first home under AED 5M</t>
        </is>
      </c>
      <c r="B41" s="296" t="str">
        <f>Settings!$B$152</f>
        <v>20%</v>
      </c>
      <c r="C41" s="368" t="inlineStr">
        <is>
          <t>Central Bank minimum</t>
        </is>
      </c>
      <c r="D41" s="319" t="n"/>
    </row>
    <row r="42" ht="15" customHeight="1" s="278">
      <c r="A42" s="366" t="inlineStr">
        <is>
          <t>Total cash needed at closing (incl. fees)</t>
        </is>
      </c>
      <c r="B42" s="296" t="str">
        <f>Settings!$B$153</f>
        <v>~27–28% of price</v>
      </c>
      <c r="C42" s="368" t="inlineStr">
        <is>
          <t>Deposit plus DLD, registration, broker, valuation</t>
        </is>
      </c>
      <c r="D42" s="319" t="n"/>
    </row>
    <row r="43" ht="15" customHeight="1" s="278">
      <c r="A43" s="366" t="inlineStr">
        <is>
          <t>Example — AED 1,000,000 apartment: cash needed</t>
        </is>
      </c>
      <c r="B43" s="296" t="inlineStr">
        <is>
          <t>~AED 270,000–280,000</t>
        </is>
      </c>
      <c r="C43" s="368" t="inlineStr">
        <is>
          <t>27–28% of price, all-in</t>
        </is>
      </c>
      <c r="D43" s="319" t="n"/>
    </row>
    <row r="44" ht="15" customHeight="1" s="278">
      <c r="A44" s="366" t="inlineStr">
        <is>
          <t>India option</t>
        </is>
      </c>
      <c r="B44" s="305" t="str">
        <f>Settings!$B$154</f>
        <v>NOT SET</v>
      </c>
      <c r="C44" s="368" t="n"/>
      <c r="D44" s="319" t="n"/>
    </row>
    <row r="46" ht="15" customHeight="1" s="278">
      <c r="A46" s="473" t="inlineStr">
        <is>
          <t>Home ownership on your current income is realistically a multi-year goal, not a near-term one — and that's the honest picture, not a discouragement. Joint income once your wife's situation is clearer, salary growth, or India (where price points can be far more accessible) all change this materially. Tell me a city in India and I'll research real numbers instead of guessing.</t>
        </is>
      </c>
    </row>
    <row r="47" ht="15" customHeight="1" s="278"/>
    <row r="49" ht="19.5" customHeight="1" s="278">
      <c r="A49" s="382" t="inlineStr">
        <is>
          <t>STAGE 5 — THE ROADMAP  ·  realistic sequencing, not everything at once</t>
        </is>
      </c>
      <c r="B49" s="287" t="n"/>
      <c r="C49" s="287" t="n"/>
      <c r="D49" s="287" t="n"/>
    </row>
    <row r="50" ht="27.75" customHeight="1" s="278">
      <c r="A50" s="383" t="inlineStr">
        <is>
          <t>Stage</t>
        </is>
      </c>
      <c r="B50" s="383" t="inlineStr">
        <is>
          <t>What</t>
        </is>
      </c>
      <c r="C50" s="383" t="inlineStr">
        <is>
          <t>Realistic timing</t>
        </is>
      </c>
    </row>
    <row r="51" ht="15" customHeight="1" s="278">
      <c r="A51" s="474" t="inlineStr">
        <is>
          <t>1</t>
        </is>
      </c>
      <c r="B51" s="366" t="inlineStr">
        <is>
          <t>Close the rent gap, rebuild the buffer</t>
        </is>
      </c>
      <c r="C51" s="319" t="n"/>
      <c r="D51" s="368" t="inlineStr">
        <is>
          <t>Now → Oct 2026</t>
        </is>
      </c>
    </row>
    <row r="52" ht="15" customHeight="1" s="278">
      <c r="A52" s="474" t="inlineStr">
        <is>
          <t>2</t>
        </is>
      </c>
      <c r="B52" s="366" t="inlineStr">
        <is>
          <t>Emergency fund to 6 months of essentials</t>
        </is>
      </c>
      <c r="C52" s="319" t="n"/>
      <c r="D52" s="368" t="inlineStr">
        <is>
          <t>Late 2026 → mid 2027</t>
        </is>
      </c>
    </row>
    <row r="53" ht="15" customHeight="1" s="278">
      <c r="A53" s="474" t="inlineStr">
        <is>
          <t>3</t>
        </is>
      </c>
      <c r="B53" s="366" t="inlineStr">
        <is>
          <t>Maternity fund + insurance upgrade (start NOW if trying this year)</t>
        </is>
      </c>
      <c r="C53" s="319" t="n"/>
      <c r="D53" s="368" t="inlineStr">
        <is>
          <t>Immediate — insurance timing is the constraint</t>
        </is>
      </c>
    </row>
    <row r="54" ht="15" customHeight="1" s="278">
      <c r="A54" s="474" t="inlineStr">
        <is>
          <t>4</t>
        </is>
      </c>
      <c r="B54" s="366" t="inlineStr">
        <is>
          <t>UNTOLD + the couple's trip</t>
        </is>
      </c>
      <c r="C54" s="319" t="n"/>
      <c r="D54" s="368" t="inlineStr">
        <is>
          <t>Once Stage 1 is done — see Goals &amp; Future Planning</t>
        </is>
      </c>
    </row>
    <row r="55" ht="15" customHeight="1" s="278">
      <c r="A55" s="474" t="inlineStr">
        <is>
          <t>5</t>
        </is>
      </c>
      <c r="B55" s="366" t="inlineStr">
        <is>
          <t>Income growth — the real unlock for everything below</t>
        </is>
      </c>
      <c r="C55" s="319" t="n"/>
      <c r="D55" s="368" t="inlineStr">
        <is>
          <t>Ongoing</t>
        </is>
      </c>
    </row>
    <row r="56" ht="15" customHeight="1" s="278">
      <c r="A56" s="474" t="inlineStr">
        <is>
          <t>6</t>
        </is>
      </c>
      <c r="B56" s="366" t="inlineStr">
        <is>
          <t>Home down payment fund</t>
        </is>
      </c>
      <c r="C56" s="319" t="n"/>
      <c r="D56" s="368" t="inlineStr">
        <is>
          <t>Once mortgage-eligible — likely 2+ years out on current income</t>
        </is>
      </c>
    </row>
    <row r="58" ht="19.5" customHeight="1" s="278">
      <c r="A58" s="382" t="inlineStr">
        <is>
          <t>HOUSEHOLD INCOME CHANGE  ·  wife stops working 15 September</t>
        </is>
      </c>
      <c r="B58" s="287" t="n"/>
      <c r="C58" s="287" t="n"/>
      <c r="D58" s="287" t="n"/>
    </row>
    <row r="59" ht="15" customHeight="1" s="278">
      <c r="A59" s="461" t="inlineStr">
        <is>
          <t>This is real and confirmed, but two numbers are still unknown — her past contribution (owner said "under AED 2,000/month") and her ongoing allowance (still being figured out). Nothing below should be treated as final.</t>
        </is>
      </c>
    </row>
    <row r="60" ht="15" customHeight="1" s="278"/>
    <row r="62" ht="27.75" customHeight="1" s="278">
      <c r="A62" s="383" t="inlineStr">
        <is>
          <t>Item</t>
        </is>
      </c>
      <c r="B62" s="383" t="inlineStr">
        <is>
          <t>Value</t>
        </is>
      </c>
      <c r="C62" s="383" t="inlineStr">
        <is>
          <t>Date</t>
        </is>
      </c>
      <c r="D62" s="383" t="inlineStr">
        <is>
          <t>Note</t>
        </is>
      </c>
    </row>
    <row r="63" ht="15" customHeight="1" s="278">
      <c r="A63" s="296" t="inlineStr">
        <is>
          <t>Her last working day</t>
        </is>
      </c>
      <c r="B63" s="458">
        <f>Settings!$B$167</f>
        <v>46280.0</v>
      </c>
      <c r="D63" s="368" t="inlineStr">
        <is>
          <t>Confirmed</t>
        </is>
      </c>
      <c r="E63" s="318" t="n"/>
      <c r="F63" s="319" t="n"/>
    </row>
    <row r="64" ht="15" customHeight="1" s="278">
      <c r="A64" s="296" t="inlineStr">
        <is>
          <t>Past contribution (placeholder estimate)</t>
        </is>
      </c>
      <c r="B64" s="293">
        <f>Settings!$B$168</f>
        <v>1500.0</v>
      </c>
      <c r="D64" s="302" t="inlineStr">
        <is>
          <t>Midpoint of the range given — not exact</t>
        </is>
      </c>
      <c r="E64" s="318" t="n"/>
      <c r="F64" s="319" t="n"/>
    </row>
    <row r="65" ht="15" customHeight="1" s="278">
      <c r="A65" s="296" t="inlineStr">
        <is>
          <t>Ongoing allowance needed</t>
        </is>
      </c>
      <c r="B65" s="293" t="str">
        <f>Settings!$B$169</f>
        <v>Already 100% Johnny this year</v>
      </c>
      <c r="D65" s="302" t="inlineStr">
        <is>
          <t>Not yet determined — update once known</t>
        </is>
      </c>
      <c r="E65" s="318" t="n"/>
      <c r="F65" s="319" t="n"/>
    </row>
    <row r="66" ht="15" customHeight="1" s="278">
      <c r="A66" s="296" t="inlineStr">
        <is>
          <t>Falls inside Cycle 1 (26 Aug–25 Sep)</t>
        </is>
      </c>
      <c r="B66" s="296" t="inlineStr">
        <is>
          <t>Yes</t>
        </is>
      </c>
      <c r="D66" s="302" t="inlineStr">
        <is>
          <t>Already a deficit cycle — this makes it tighter, not easier</t>
        </is>
      </c>
      <c r="E66" s="318" t="n"/>
      <c r="F66" s="319" t="n"/>
    </row>
    <row r="67" ht="15" customHeight="1" s="278">
      <c r="A67" s="467" t="inlineStr">
        <is>
          <t>THE REAL POST-TABBY PICTURE  ·  now including groceries</t>
        </is>
      </c>
      <c r="B67" s="287" t="n"/>
      <c r="C67" s="287" t="n"/>
      <c r="D67" s="287" t="n"/>
    </row>
    <row r="68" ht="27.75" customHeight="1" s="278">
      <c r="A68" s="383" t="inlineStr">
        <is>
          <t>Item</t>
        </is>
      </c>
      <c r="B68" s="383" t="inlineStr">
        <is>
          <t>Monthly AED</t>
        </is>
      </c>
      <c r="C68" s="383" t="inlineStr">
        <is>
          <t>Note</t>
        </is>
      </c>
    </row>
    <row r="69" ht="15" customHeight="1" s="278">
      <c r="A69" s="366" t="inlineStr">
        <is>
          <t>Salary</t>
        </is>
      </c>
      <c r="B69" s="293">
        <f>Settings!$B$10</f>
        <v>7914.88</v>
      </c>
      <c r="C69" s="368" t="n"/>
      <c r="D69" s="318" t="n"/>
      <c r="E69" s="318" t="n"/>
      <c r="F69" s="319" t="n"/>
    </row>
    <row r="70" ht="15" customHeight="1" s="278">
      <c r="A70" s="366" t="inlineStr">
        <is>
          <t>DEWA + du + Etisalat + SIP</t>
        </is>
      </c>
      <c r="B70" s="293">
        <f>-(793.42+590.98+323.95+462.4)</f>
        <v>-2170.75</v>
      </c>
      <c r="C70" s="368" t="n"/>
      <c r="D70" s="318" t="n"/>
      <c r="E70" s="318" t="n"/>
      <c r="F70" s="319" t="n"/>
    </row>
    <row r="71" ht="15" customHeight="1" s="278">
      <c r="A71" s="366" t="inlineStr">
        <is>
          <t>Groceries (transferring from wife)</t>
        </is>
      </c>
      <c r="B71" s="293">
        <f>-Settings!$B$168</f>
        <v>-1500.0</v>
      </c>
      <c r="C71" s="302" t="inlineStr">
        <is>
          <t>Estimate — get the real figure</t>
        </is>
      </c>
      <c r="D71" s="318" t="n"/>
      <c r="E71" s="318" t="n"/>
      <c r="F71" s="319" t="n"/>
    </row>
    <row r="72" ht="15" customHeight="1" s="278">
      <c r="A72" s="366" t="inlineStr">
        <is>
          <t>Quarterly rent set-aside (÷ 3)</t>
        </is>
      </c>
      <c r="B72" s="293">
        <f>-11750/3</f>
        <v>-3916.6666666667</v>
      </c>
      <c r="C72" s="368" t="inlineStr">
        <is>
          <t>Protects the January cheque</t>
        </is>
      </c>
      <c r="D72" s="318" t="n"/>
      <c r="E72" s="318" t="n"/>
      <c r="F72" s="319" t="n"/>
    </row>
    <row r="73" ht="15" customHeight="1" s="278">
      <c r="A73" s="296" t="inlineStr">
        <is>
          <t>TRUE SPENDABLE, POST-TABBY</t>
        </is>
      </c>
      <c r="B73" s="297">
        <f>B69+B70+B71+B72</f>
        <v>327.4633333333</v>
      </c>
      <c r="C73" s="368" t="n"/>
      <c r="D73" s="318" t="n"/>
      <c r="E73" s="318" t="n"/>
      <c r="F73" s="319" t="n"/>
    </row>
    <row r="74" ht="15" customHeight="1" s="278">
      <c r="A74" s="366" t="inlineStr">
        <is>
          <t>Per week</t>
        </is>
      </c>
      <c r="B74" s="293">
        <f>B73/4.33</f>
        <v>75.6266358737</v>
      </c>
      <c r="C74" s="368" t="n"/>
      <c r="D74" s="318" t="n"/>
      <c r="E74" s="318" t="n"/>
      <c r="F74" s="319" t="n"/>
    </row>
    <row r="75" ht="15" customHeight="1" s="278">
      <c r="A75" s="366" t="inlineStr">
        <is>
          <t>Per day</t>
        </is>
      </c>
      <c r="B75" s="293">
        <f>B73/30</f>
        <v>10.9154444444</v>
      </c>
      <c r="C75" s="368" t="n"/>
      <c r="D75" s="318" t="n"/>
      <c r="E75" s="318" t="n"/>
      <c r="F75" s="319" t="n"/>
    </row>
    <row r="76" ht="15" customHeight="1" s="278">
      <c r="A76" s="461" t="inlineStr">
        <is>
          <t>This drops from the earlier AED 1,827/month estimate to roughly AED 327/month once groceries genuinely transfer. The relief from Tabby closing is largely absorbed by this new cost — real, not a setback, just a correction to an earlier estimate that did not know about it yet.</t>
        </is>
      </c>
    </row>
    <row r="77" ht="15" customHeight="1" s="278"/>
  </sheetData>
  <mergeCells count="44">
    <mergeCell ref="C34:D34"/>
    <mergeCell ref="C70:F70"/>
    <mergeCell ref="B54:C54"/>
    <mergeCell ref="C30:D30"/>
    <mergeCell ref="C33:D33"/>
    <mergeCell ref="C42:D42"/>
    <mergeCell ref="A36:D37"/>
    <mergeCell ref="D66:F66"/>
    <mergeCell ref="C72:F72"/>
    <mergeCell ref="B56:C56"/>
    <mergeCell ref="C26:D26"/>
    <mergeCell ref="A6:D7"/>
    <mergeCell ref="C20:D20"/>
    <mergeCell ref="B52:C52"/>
    <mergeCell ref="C16:D16"/>
    <mergeCell ref="C69:F69"/>
    <mergeCell ref="C25:D25"/>
    <mergeCell ref="C41:D41"/>
    <mergeCell ref="A46:D47"/>
    <mergeCell ref="C44:D44"/>
    <mergeCell ref="C40:D40"/>
    <mergeCell ref="C31:D31"/>
    <mergeCell ref="B53:C53"/>
    <mergeCell ref="A76:D77"/>
    <mergeCell ref="C74:F74"/>
    <mergeCell ref="C43:D43"/>
    <mergeCell ref="D64:F64"/>
    <mergeCell ref="C21:D21"/>
    <mergeCell ref="C73:F73"/>
    <mergeCell ref="C27:D27"/>
    <mergeCell ref="C17:D17"/>
    <mergeCell ref="C39:D39"/>
    <mergeCell ref="D63:F63"/>
    <mergeCell ref="B55:C55"/>
    <mergeCell ref="C32:D32"/>
    <mergeCell ref="C38:D38"/>
    <mergeCell ref="C75:F75"/>
    <mergeCell ref="B51:C51"/>
    <mergeCell ref="D65:F65"/>
    <mergeCell ref="C19:D19"/>
    <mergeCell ref="C37:D37"/>
    <mergeCell ref="A59:D60"/>
    <mergeCell ref="C18:D18"/>
    <mergeCell ref="C71:F71"/>
  </mergeCells>
  <conditionalFormatting sqref="D11:D12">
    <cfRule type="cellIs" rank="0" priority="2" equalAverage="0" operator="equal" aboveAverage="0" dxfId="20" text="" percent="0" bottom="0">
      <formula>"Done"</formula>
    </cfRule>
    <cfRule type="cellIs" rank="0" priority="3" equalAverage="0" operator="equal" aboveAverage="0" dxfId="5" text="" percent="0" bottom="0">
      <formula>"In progress"</formula>
    </cfRule>
    <cfRule type="cellIs" rank="0" priority="4" equalAverage="0" operator="equal" aboveAverage="0" dxfId="4" text="" percent="0" bottom="0">
      <formula>"Not yet"</formula>
    </cfRule>
  </conditionalFormatting>
  <conditionalFormatting sqref="B40">
    <cfRule type="cellIs" rank="0" priority="5" equalAverage="0" operator="equal" aboveAverage="0" dxfId="21" text="" percent="0" bottom="0">
      <formula>"Yes"</formula>
    </cfRule>
    <cfRule type="cellIs" rank="0" priority="6" equalAverage="0" operator="equal" aboveAverage="0" dxfId="29" text="" percent="0" bottom="0">
      <formula>"Possibly, small loan only"</formula>
    </cfRule>
    <cfRule type="cellIs" rank="0" priority="7" equalAverage="0" operator="equal" aboveAverage="0" dxfId="0" text="" percent="0" bottom="0">
      <formula>"Not yet on this income alone"</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B4232B"/>
    <outlinePr summaryBelow="1" summaryRight="1"/>
    <pageSetUpPr fitToPage="1"/>
  </sheetPr>
  <dimension ref="A1:L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277" min="1" max="1"/>
    <col width="26" customWidth="1" style="277" min="2" max="2"/>
    <col width="14" customWidth="1" style="277" min="3" max="3"/>
    <col width="13" customWidth="1" style="277" min="4" max="5"/>
    <col width="14" customWidth="1" style="277" min="6" max="6"/>
    <col width="13" customWidth="1" style="277" min="7" max="7"/>
    <col width="14" customWidth="1" style="277" min="8" max="8"/>
    <col width="13" customWidth="1" style="277" min="9" max="9"/>
    <col width="16" customWidth="1" style="277" min="10" max="10"/>
    <col width="13" customWidth="1" style="277" min="11" max="11"/>
    <col width="44" customWidth="1" style="277" min="12" max="12"/>
  </cols>
  <sheetData>
    <row r="1" ht="30" customHeight="1" s="278">
      <c r="A1" s="345" t="inlineStr">
        <is>
          <t>BNPL, Cards &amp; Debt</t>
        </is>
      </c>
    </row>
    <row r="2" ht="13.5" customHeight="1" s="278">
      <c r="A2" s="565" t="inlineStr">
        <is>
          <t>Tabby Card is frozen. Tabby Cash is a funded wallet and is never borrowing — the two must never be merged.</t>
        </is>
      </c>
    </row>
    <row r="3" ht="6" customHeight="1" s="278"/>
    <row r="5" ht="19.5" customHeight="1" s="278">
      <c r="A5" s="382" t="inlineStr">
        <is>
          <t>INSTALMENT &amp; BNPL PLANS</t>
        </is>
      </c>
      <c r="B5" s="287" t="n"/>
      <c r="C5" s="287" t="n"/>
      <c r="D5" s="287" t="n"/>
      <c r="E5" s="287" t="n"/>
      <c r="F5" s="287" t="n"/>
      <c r="G5" s="287" t="n"/>
      <c r="H5" s="287" t="n"/>
      <c r="I5" s="287" t="n"/>
      <c r="J5" s="287" t="n"/>
      <c r="K5" s="287" t="n"/>
      <c r="L5" s="287" t="n"/>
    </row>
    <row r="6" ht="27.75" customHeight="1" s="278">
      <c r="A6" s="383" t="inlineStr">
        <is>
          <t>Provider</t>
        </is>
      </c>
      <c r="B6" s="383" t="inlineStr">
        <is>
          <t>Plan / purchase</t>
        </is>
      </c>
      <c r="C6" s="383" t="inlineStr">
        <is>
          <t>Original amount</t>
        </is>
      </c>
      <c r="D6" s="383" t="inlineStr">
        <is>
          <t>Instalment #</t>
        </is>
      </c>
      <c r="E6" s="383" t="inlineStr">
        <is>
          <t>Total instalments</t>
        </is>
      </c>
      <c r="F6" s="383" t="inlineStr">
        <is>
          <t>Next due date</t>
        </is>
      </c>
      <c r="G6" s="383" t="inlineStr">
        <is>
          <t>Next payment</t>
        </is>
      </c>
      <c r="H6" s="383" t="inlineStr">
        <is>
          <t>Remaining balance</t>
        </is>
      </c>
      <c r="I6" s="383" t="inlineStr">
        <is>
          <t>Months left</t>
        </is>
      </c>
      <c r="J6" s="383" t="inlineStr">
        <is>
          <t>Final payment month</t>
        </is>
      </c>
      <c r="K6" s="383" t="inlineStr">
        <is>
          <t>Payment account</t>
        </is>
      </c>
      <c r="L6" s="383" t="inlineStr">
        <is>
          <t>Status / note</t>
        </is>
      </c>
    </row>
    <row r="7" ht="51.75" customHeight="1" s="278">
      <c r="A7" s="296" t="inlineStr">
        <is>
          <t>Tabby</t>
        </is>
      </c>
      <c r="B7" s="366" t="inlineStr">
        <is>
          <t>Consolidated instalment plan</t>
        </is>
      </c>
      <c r="C7" s="392" t="n">
        <v>2687.36</v>
      </c>
      <c r="D7" s="391" t="inlineStr">
        <is>
          <t>Cycle 1 of 2–3</t>
        </is>
      </c>
      <c r="E7" s="391" t="inlineStr">
        <is>
          <t>2–3 est.</t>
        </is>
      </c>
      <c r="F7" s="386" t="n">
        <v>46268</v>
      </c>
      <c r="G7" s="293">
        <f>Settings!$B$30</f>
        <v>1314.5</v>
      </c>
      <c r="H7" s="293">
        <f>$C$7-$G$7</f>
        <v>1372.86</v>
      </c>
      <c r="I7" s="391" t="inlineStr">
        <is>
          <t>2–3 est.</t>
        </is>
      </c>
      <c r="J7" s="391" t="inlineStr">
        <is>
          <t>Oct–Nov 2026 est.</t>
        </is>
      </c>
      <c r="K7" s="366" t="inlineStr">
        <is>
          <t>FAB 4001 Current</t>
        </is>
      </c>
      <c r="L7" s="302" t="inlineStr">
        <is>
          <t>AUTOPAY IS ON for the no-fee minimum — AED 1,314.50 debits automatically on 3 Sep. Instalments due this cycle are AED 985.77, so the AED 1,372.86 balance is likely ~1 further full cycle plus a small tail. Open Payments due in the app to confirm the exact tail month.</t>
        </is>
      </c>
    </row>
    <row r="9" ht="19.5" customHeight="1" s="278">
      <c r="A9" s="382" t="inlineStr">
        <is>
          <t>EXPOSURE SUMMARY</t>
        </is>
      </c>
      <c r="B9" s="287" t="n"/>
      <c r="C9" s="287" t="n"/>
      <c r="D9" s="287" t="n"/>
      <c r="E9" s="287" t="n"/>
      <c r="F9" s="287" t="n"/>
      <c r="G9" s="287" t="n"/>
      <c r="H9" s="287" t="n"/>
      <c r="I9" s="287" t="n"/>
      <c r="J9" s="287" t="n"/>
      <c r="K9" s="287" t="n"/>
      <c r="L9" s="287" t="n"/>
    </row>
    <row r="10" ht="27.75" customHeight="1" s="278">
      <c r="A10" s="383" t="inlineStr">
        <is>
          <t>Measure</t>
        </is>
      </c>
      <c r="B10" s="383" t="inlineStr">
        <is>
          <t>Value</t>
        </is>
      </c>
      <c r="C10" s="383" t="inlineStr">
        <is>
          <t>Note</t>
        </is>
      </c>
    </row>
    <row r="11" ht="15" customHeight="1" s="278">
      <c r="A11" s="296" t="inlineStr">
        <is>
          <t>Total limit</t>
        </is>
      </c>
      <c r="B11" s="367">
        <f>$B$20</f>
        <v>8000.0</v>
      </c>
      <c r="C11" s="368" t="inlineStr">
        <is>
          <t>Tabby Card 3620</t>
        </is>
      </c>
      <c r="D11" s="318" t="n"/>
      <c r="E11" s="318" t="n"/>
      <c r="F11" s="318" t="n"/>
      <c r="G11" s="318" t="n"/>
      <c r="H11" s="318" t="n"/>
      <c r="I11" s="318" t="n"/>
      <c r="J11" s="318" t="n"/>
      <c r="K11" s="318" t="n"/>
      <c r="L11" s="319" t="n"/>
    </row>
    <row r="12" ht="15" customHeight="1" s="278">
      <c r="A12" s="296" t="inlineStr">
        <is>
          <t>Outstanding exposure</t>
        </is>
      </c>
      <c r="B12" s="367">
        <f>Settings!$B$32</f>
        <v>2687.36</v>
      </c>
      <c r="C12" s="368" t="inlineStr">
        <is>
          <t>Limit less available — ties exactly to the app</t>
        </is>
      </c>
      <c r="D12" s="318" t="n"/>
      <c r="E12" s="318" t="n"/>
      <c r="F12" s="318" t="n"/>
      <c r="G12" s="318" t="n"/>
      <c r="H12" s="318" t="n"/>
      <c r="I12" s="318" t="n"/>
      <c r="J12" s="318" t="n"/>
      <c r="K12" s="318" t="n"/>
      <c r="L12" s="319" t="n"/>
    </row>
    <row r="13" ht="15" customHeight="1" s="278">
      <c r="A13" s="296" t="inlineStr">
        <is>
          <t>Available limit</t>
        </is>
      </c>
      <c r="B13" s="367">
        <f>$B$20-Settings!$B$32</f>
        <v>5312.64</v>
      </c>
      <c r="C13" s="368" t="inlineStr">
        <is>
          <t>App shows AED 5,312.64 — self-validating</t>
        </is>
      </c>
      <c r="D13" s="318" t="n"/>
      <c r="E13" s="318" t="n"/>
      <c r="F13" s="318" t="n"/>
      <c r="G13" s="318" t="n"/>
      <c r="H13" s="318" t="n"/>
      <c r="I13" s="318" t="n"/>
      <c r="J13" s="318" t="n"/>
      <c r="K13" s="318" t="n"/>
      <c r="L13" s="319" t="n"/>
    </row>
    <row r="14" ht="15" customHeight="1" s="278">
      <c r="A14" s="296" t="inlineStr">
        <is>
          <t>Utilisation</t>
        </is>
      </c>
      <c r="B14" s="364">
        <f>Settings!$B$32/$B$20</f>
        <v>0.33592</v>
      </c>
      <c r="C14" s="368" t="inlineStr">
        <is>
          <t>Below 40% is comfortable; this is not your problem</t>
        </is>
      </c>
      <c r="D14" s="318" t="n"/>
      <c r="E14" s="318" t="n"/>
      <c r="F14" s="318" t="n"/>
      <c r="G14" s="318" t="n"/>
      <c r="H14" s="318" t="n"/>
      <c r="I14" s="318" t="n"/>
      <c r="J14" s="318" t="n"/>
      <c r="K14" s="318" t="n"/>
      <c r="L14" s="319" t="n"/>
    </row>
    <row r="15" ht="15" customHeight="1" s="278">
      <c r="A15" s="296" t="inlineStr">
        <is>
          <t>Due 3 Sep — no-fee minimum</t>
        </is>
      </c>
      <c r="B15" s="367">
        <f>Settings!$B$30</f>
        <v>1314.5</v>
      </c>
      <c r="C15" s="368" t="inlineStr">
        <is>
          <t>Autopay. Instalments 985.77 + previous-month transactions 328.73</t>
        </is>
      </c>
      <c r="D15" s="318" t="n"/>
      <c r="E15" s="318" t="n"/>
      <c r="F15" s="318" t="n"/>
      <c r="G15" s="318" t="n"/>
      <c r="H15" s="318" t="n"/>
      <c r="I15" s="318" t="n"/>
      <c r="J15" s="318" t="n"/>
      <c r="K15" s="318" t="n"/>
      <c r="L15" s="319" t="n"/>
    </row>
    <row r="16" ht="15" customHeight="1" s="278">
      <c r="A16" s="296" t="inlineStr">
        <is>
          <t>Balance after the 3 Sep payment</t>
        </is>
      </c>
      <c r="B16" s="367">
        <f>Settings!$B$32-Settings!$B$30</f>
        <v>1372.86</v>
      </c>
      <c r="C16" s="368" t="inlineStr">
        <is>
          <t>Modelled conservatively as due 3 Oct, entirely inside the rent window</t>
        </is>
      </c>
      <c r="D16" s="318" t="n"/>
      <c r="E16" s="318" t="n"/>
      <c r="F16" s="318" t="n"/>
      <c r="G16" s="318" t="n"/>
      <c r="H16" s="318" t="n"/>
      <c r="I16" s="318" t="n"/>
      <c r="J16" s="318" t="n"/>
      <c r="K16" s="318" t="n"/>
      <c r="L16" s="319" t="n"/>
    </row>
    <row r="17" ht="15" customHeight="1" s="278">
      <c r="A17" s="296" t="inlineStr">
        <is>
          <t>Monthly cash released once Tabby clears</t>
        </is>
      </c>
      <c r="B17" s="367">
        <f>Settings!$B$30</f>
        <v>1314.5</v>
      </c>
      <c r="C17" s="368" t="inlineStr">
        <is>
          <t>From roughly November — the single biggest structural improvement to 2027</t>
        </is>
      </c>
      <c r="D17" s="318" t="n"/>
      <c r="E17" s="318" t="n"/>
      <c r="F17" s="318" t="n"/>
      <c r="G17" s="318" t="n"/>
      <c r="H17" s="318" t="n"/>
      <c r="I17" s="318" t="n"/>
      <c r="J17" s="318" t="n"/>
      <c r="K17" s="318" t="n"/>
      <c r="L17" s="319" t="n"/>
    </row>
    <row r="18" ht="19.5" customHeight="1" s="278">
      <c r="A18" s="382" t="inlineStr">
        <is>
          <t>CREDIT CARDS</t>
        </is>
      </c>
      <c r="B18" s="287" t="n"/>
      <c r="C18" s="287" t="n"/>
      <c r="D18" s="287" t="n"/>
      <c r="E18" s="287" t="n"/>
      <c r="F18" s="287" t="n"/>
      <c r="G18" s="287" t="n"/>
      <c r="H18" s="287" t="n"/>
      <c r="I18" s="287" t="n"/>
      <c r="J18" s="287" t="n"/>
      <c r="K18" s="287" t="n"/>
      <c r="L18" s="287" t="n"/>
    </row>
    <row r="19" ht="27.75" customHeight="1" s="278">
      <c r="A19" s="383" t="inlineStr">
        <is>
          <t>Card / lender</t>
        </is>
      </c>
      <c r="B19" s="383" t="inlineStr">
        <is>
          <t>Credit limit</t>
        </is>
      </c>
      <c r="C19" s="383" t="inlineStr">
        <is>
          <t>Outstanding</t>
        </is>
      </c>
      <c r="D19" s="383" t="inlineStr">
        <is>
          <t>Available limit</t>
        </is>
      </c>
      <c r="E19" s="383" t="inlineStr">
        <is>
          <t>Statement date</t>
        </is>
      </c>
      <c r="F19" s="383" t="inlineStr">
        <is>
          <t>Due date</t>
        </is>
      </c>
      <c r="G19" s="383" t="inlineStr">
        <is>
          <t>Minimum due</t>
        </is>
      </c>
      <c r="H19" s="383" t="inlineStr">
        <is>
          <t>Full payment</t>
        </is>
      </c>
      <c r="I19" s="383" t="inlineStr">
        <is>
          <t>Utilisation</t>
        </is>
      </c>
      <c r="J19" s="383" t="inlineStr">
        <is>
          <t>Status</t>
        </is>
      </c>
      <c r="K19" s="383" t="inlineStr">
        <is>
          <t>Payment account</t>
        </is>
      </c>
      <c r="L19" s="383" t="inlineStr">
        <is>
          <t>Note</t>
        </is>
      </c>
    </row>
    <row r="20" ht="31.5" customHeight="1" s="278">
      <c r="A20" s="296" t="inlineStr">
        <is>
          <t>Tabby Card 3620</t>
        </is>
      </c>
      <c r="B20" s="392" t="n">
        <v>8000</v>
      </c>
      <c r="C20" s="385">
        <f>Settings!$B$32</f>
        <v>2687.36</v>
      </c>
      <c r="D20" s="394">
        <f>$B$20-$C$20</f>
        <v>5312.64</v>
      </c>
      <c r="E20" s="391" t="inlineStr">
        <is>
          <t>3rd of month</t>
        </is>
      </c>
      <c r="F20" s="386" t="n">
        <v>46268</v>
      </c>
      <c r="G20" s="385">
        <f>Settings!$B$30</f>
        <v>1314.5</v>
      </c>
      <c r="H20" s="385">
        <f>Settings!$B$31</f>
        <v>1972.03</v>
      </c>
      <c r="I20" s="475">
        <f>$C$20/$B$20</f>
        <v>0.33592</v>
      </c>
      <c r="J20" s="476" t="inlineStr">
        <is>
          <t>FROZEN</t>
        </is>
      </c>
      <c r="K20" s="366" t="inlineStr">
        <is>
          <t>FAB 4001 Current</t>
        </is>
      </c>
      <c r="L20" s="368" t="inlineStr">
        <is>
          <t>Frozen by choice — no new spending. 5% August cashback on pharmacies, taxis and health is unusable while frozen. Keep it frozen.</t>
        </is>
      </c>
    </row>
    <row r="22" ht="19.5" customHeight="1" s="278">
      <c r="A22" s="382" t="inlineStr">
        <is>
          <t>SEPTEMBER STATEMENT  ·  what the AED 1,314.50 is actually made of</t>
        </is>
      </c>
      <c r="B22" s="287" t="n"/>
      <c r="C22" s="287" t="n"/>
      <c r="D22" s="287" t="n"/>
      <c r="E22" s="287" t="n"/>
      <c r="F22" s="287" t="n"/>
      <c r="G22" s="287" t="n"/>
      <c r="H22" s="287" t="n"/>
      <c r="I22" s="287" t="n"/>
      <c r="J22" s="287" t="n"/>
      <c r="K22" s="287" t="n"/>
      <c r="L22" s="287" t="n"/>
    </row>
    <row r="23" ht="27.75" customHeight="1" s="278">
      <c r="A23" s="383" t="inlineStr">
        <is>
          <t>Component</t>
        </is>
      </c>
      <c r="B23" s="383" t="inlineStr">
        <is>
          <t>Amount</t>
        </is>
      </c>
      <c r="C23" s="383" t="inlineStr">
        <is>
          <t>Note</t>
        </is>
      </c>
    </row>
    <row r="24" ht="15" customHeight="1" s="278">
      <c r="A24" s="366" t="inlineStr">
        <is>
          <t>Instalments due this cycle</t>
        </is>
      </c>
      <c r="B24" s="392" t="n">
        <v>985.77</v>
      </c>
      <c r="C24" s="368" t="inlineStr">
        <is>
          <t>Scheduled BNPL repayments</t>
        </is>
      </c>
      <c r="D24" s="318" t="n"/>
      <c r="E24" s="318" t="n"/>
      <c r="F24" s="318" t="n"/>
      <c r="G24" s="318" t="n"/>
      <c r="H24" s="318" t="n"/>
      <c r="I24" s="318" t="n"/>
      <c r="J24" s="318" t="n"/>
      <c r="K24" s="318" t="n"/>
      <c r="L24" s="319" t="n"/>
    </row>
    <row r="25" ht="15" customHeight="1" s="278">
      <c r="A25" s="366" t="inlineStr">
        <is>
          <t>Previous-month card transactions</t>
        </is>
      </c>
      <c r="B25" s="392" t="n">
        <v>328.73</v>
      </c>
      <c r="C25" s="368" t="inlineStr">
        <is>
          <t>Partner stores 14.00 + non-partner stores 314.73</t>
        </is>
      </c>
      <c r="D25" s="318" t="n"/>
      <c r="E25" s="318" t="n"/>
      <c r="F25" s="318" t="n"/>
      <c r="G25" s="318" t="n"/>
      <c r="H25" s="318" t="n"/>
      <c r="I25" s="318" t="n"/>
      <c r="J25" s="318" t="n"/>
      <c r="K25" s="318" t="n"/>
      <c r="L25" s="319" t="n"/>
    </row>
    <row r="26" ht="15" customHeight="1" s="278">
      <c r="A26" s="296" t="inlineStr">
        <is>
          <t>NO-FEE MINIMUM</t>
        </is>
      </c>
      <c r="B26" s="367">
        <f>$B$24+$B$25</f>
        <v>1314.5</v>
      </c>
      <c r="C26" s="368" t="inlineStr">
        <is>
          <t>Autopay debits this on 3 Sep — no fees</t>
        </is>
      </c>
      <c r="D26" s="318" t="n"/>
      <c r="E26" s="318" t="n"/>
      <c r="F26" s="318" t="n"/>
      <c r="G26" s="318" t="n"/>
      <c r="H26" s="318" t="n"/>
      <c r="I26" s="318" t="n"/>
      <c r="J26" s="318" t="n"/>
      <c r="K26" s="318" t="n"/>
      <c r="L26" s="319" t="n"/>
    </row>
    <row r="27" ht="15" customHeight="1" s="278">
      <c r="A27" s="366" t="inlineStr">
        <is>
          <t>Full statement amount</t>
        </is>
      </c>
      <c r="B27" s="367">
        <f>Settings!$B$31</f>
        <v>1972.03</v>
      </c>
      <c r="C27" s="368" t="inlineStr">
        <is>
          <t>Optional. Costs AED 657.53 more now and saves nothing inside the rent window</t>
        </is>
      </c>
      <c r="D27" s="318" t="n"/>
      <c r="E27" s="318" t="n"/>
      <c r="F27" s="318" t="n"/>
      <c r="G27" s="318" t="n"/>
      <c r="H27" s="318" t="n"/>
      <c r="I27" s="318" t="n"/>
      <c r="J27" s="318" t="n"/>
      <c r="K27" s="318" t="n"/>
      <c r="L27" s="319" t="n"/>
    </row>
    <row r="28" ht="15" customHeight="1" s="278">
      <c r="A28" s="366" t="inlineStr">
        <is>
          <t>Difference</t>
        </is>
      </c>
      <c r="B28" s="367">
        <f>$B$27-$B$26</f>
        <v>657.53</v>
      </c>
      <c r="C28" s="368" t="inlineStr">
        <is>
          <t>Pay the minimum, not the statement — keep the cash later while rent is unfunded</t>
        </is>
      </c>
      <c r="D28" s="318" t="n"/>
      <c r="E28" s="318" t="n"/>
      <c r="F28" s="318" t="n"/>
      <c r="G28" s="318" t="n"/>
      <c r="H28" s="318" t="n"/>
      <c r="I28" s="318" t="n"/>
      <c r="J28" s="318" t="n"/>
      <c r="K28" s="318" t="n"/>
      <c r="L28" s="319" t="n"/>
    </row>
    <row r="30" ht="15" customHeight="1" s="278">
      <c r="A30" s="342" t="inlineStr">
        <is>
          <t>There is a third payment option in the app that was cut off in the screenshot — it appears to carry fees. Ignore it. The no-fee minimum is already on autopay and is the correct choice.</t>
        </is>
      </c>
    </row>
    <row r="31" ht="15" customHeight="1" s="278"/>
  </sheetData>
  <mergeCells count="13">
    <mergeCell ref="C27:L27"/>
    <mergeCell ref="C13:L13"/>
    <mergeCell ref="C17:L17"/>
    <mergeCell ref="C26:L26"/>
    <mergeCell ref="C25:L25"/>
    <mergeCell ref="C11:L11"/>
    <mergeCell ref="C12:L12"/>
    <mergeCell ref="C15:L15"/>
    <mergeCell ref="A30:L31"/>
    <mergeCell ref="C24:L24"/>
    <mergeCell ref="C16:L16"/>
    <mergeCell ref="C14:L14"/>
    <mergeCell ref="C28:L28"/>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1B7F5A"/>
    <outlinePr summaryBelow="1" summaryRight="1"/>
    <pageSetUpPr fitToPage="1"/>
  </sheetPr>
  <dimension ref="A1:O24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77" min="1" max="1"/>
    <col width="15" customWidth="1" style="277" min="2" max="2"/>
    <col width="12" customWidth="1" style="277" min="3" max="3"/>
    <col width="14" customWidth="1" style="277" min="4" max="5"/>
    <col width="13" customWidth="1" style="277" min="6" max="6"/>
    <col width="10" customWidth="1" style="277" min="7" max="7"/>
    <col width="13" customWidth="1" style="277" min="8" max="8"/>
    <col width="15" customWidth="1" style="277" min="9" max="9"/>
    <col width="11" customWidth="1" style="277" min="10" max="10"/>
    <col width="22" customWidth="1" style="277" min="11" max="11"/>
    <col width="34" customWidth="1" style="277" min="12" max="12"/>
  </cols>
  <sheetData>
    <row r="1" ht="30" customHeight="1" s="278">
      <c r="A1" s="345" t="inlineStr">
        <is>
          <t>Investments &amp; Savings</t>
        </is>
      </c>
    </row>
    <row r="2" ht="13.5" customHeight="1" s="278">
      <c r="A2" s="565" t="inlineStr">
        <is>
          <t>MF Central snapshot dated 10 Aug 2026, after the four INR 3,000 Nippon SIPs. No market values are estimated or invented.</t>
        </is>
      </c>
    </row>
    <row r="3" ht="6" customHeight="1" s="278"/>
    <row r="5" ht="27.75" customHeight="1" s="278">
      <c r="A5" s="383" t="inlineStr">
        <is>
          <t>Fund</t>
        </is>
      </c>
      <c r="B5" s="383" t="inlineStr">
        <is>
          <t>Fund house</t>
        </is>
      </c>
      <c r="C5" s="383" t="inlineStr">
        <is>
          <t>Units</t>
        </is>
      </c>
      <c r="D5" s="383" t="inlineStr">
        <is>
          <t>Cost (INR)</t>
        </is>
      </c>
      <c r="E5" s="383" t="inlineStr">
        <is>
          <t>Current NAV</t>
        </is>
      </c>
      <c r="F5" s="383" t="inlineStr">
        <is>
          <t>Value (INR)</t>
        </is>
      </c>
      <c r="G5" s="383" t="inlineStr">
        <is>
          <t>Gain / Loss</t>
        </is>
      </c>
      <c r="H5" s="383" t="inlineStr">
        <is>
          <t>Return %</t>
        </is>
      </c>
      <c r="I5" s="383" t="inlineStr">
        <is>
          <t>Monthly SIP (INR)</t>
        </is>
      </c>
      <c r="J5" s="383" t="inlineStr">
        <is>
          <t>SIP status</t>
        </is>
      </c>
      <c r="K5" s="383" t="inlineStr">
        <is>
          <t>Last priced</t>
        </is>
      </c>
      <c r="L5" s="383" t="inlineStr">
        <is>
          <t>Note</t>
        </is>
      </c>
    </row>
    <row r="6" ht="27.75" customHeight="1" s="278">
      <c r="A6" s="383" t="inlineStr">
        <is>
          <t>Nippon Large Cap</t>
        </is>
      </c>
      <c r="B6" s="477" t="inlineStr">
        <is>
          <t>Nippon</t>
        </is>
      </c>
      <c r="C6" s="478" t="n">
        <v>758.192</v>
      </c>
      <c r="D6" s="479" t="n">
        <v>75000</v>
      </c>
      <c r="E6" s="480" t="n">
        <v>101.97</v>
      </c>
      <c r="F6" s="481">
        <f>C6*E6</f>
        <v>77312.83824</v>
      </c>
      <c r="G6" s="481">
        <f>F6-D6</f>
        <v>2312.83824</v>
      </c>
      <c r="H6" s="482">
        <f>IF(D6=0,0,G6/D6)</f>
        <v>0.0308378432</v>
      </c>
      <c r="I6" s="479" t="n">
        <v>3000</v>
      </c>
      <c r="J6" s="483" t="inlineStr">
        <is>
          <t>Active</t>
        </is>
      </c>
      <c r="K6" s="484" t="n">
        <v>46259</v>
      </c>
      <c r="L6" s="485" t="str">
        <f>IF((TODAY()-K6)&gt;Settings!$B$123,"⚠ REPRICE — "&amp;(TODAY()-K6)&amp;"d old","Current")</f>
        <v>Current</v>
      </c>
    </row>
    <row r="7" ht="15" customHeight="1" s="278">
      <c r="A7" s="296" t="inlineStr">
        <is>
          <t>Nippon Multi Cap</t>
        </is>
      </c>
      <c r="B7" s="366" t="inlineStr">
        <is>
          <t>Nippon</t>
        </is>
      </c>
      <c r="C7" s="486" t="n">
        <v>226.127</v>
      </c>
      <c r="D7" s="392" t="n">
        <v>73936.89</v>
      </c>
      <c r="E7" s="487" t="n">
        <v>338.55</v>
      </c>
      <c r="F7" s="293">
        <f>C7*E7</f>
        <v>76555.29585</v>
      </c>
      <c r="G7" s="293">
        <f>F7-D7</f>
        <v>2618.40585</v>
      </c>
      <c r="H7" s="488">
        <f>IF(D7=0,0,G7/D7)</f>
        <v>0.0354140653</v>
      </c>
      <c r="I7" s="392" t="n">
        <v>3000</v>
      </c>
      <c r="J7" s="301" t="inlineStr">
        <is>
          <t>Active</t>
        </is>
      </c>
      <c r="K7" s="374" t="n">
        <v>46259</v>
      </c>
      <c r="L7" s="435" t="str">
        <f>IF((TODAY()-K7)&gt;Settings!$B$123,"⚠ REPRICE — "&amp;(TODAY()-K7)&amp;"d old","Current")</f>
        <v>Current</v>
      </c>
    </row>
    <row r="8" ht="15" customHeight="1" s="278">
      <c r="A8" s="296" t="inlineStr">
        <is>
          <t>Nippon Growth Mid Cap</t>
        </is>
      </c>
      <c r="B8" s="366" t="inlineStr">
        <is>
          <t>Nippon</t>
        </is>
      </c>
      <c r="C8" s="486" t="n">
        <v>6.993</v>
      </c>
      <c r="D8" s="392" t="n">
        <v>33000</v>
      </c>
      <c r="E8" s="487" t="n">
        <v>5077.57</v>
      </c>
      <c r="F8" s="293">
        <f>C8*E8</f>
        <v>35507.44701</v>
      </c>
      <c r="G8" s="293">
        <f>F8-D8</f>
        <v>2507.44701</v>
      </c>
      <c r="H8" s="488">
        <f>IF(D8=0,0,G8/D8)</f>
        <v>0.0759832427</v>
      </c>
      <c r="I8" s="392" t="n">
        <v>3000</v>
      </c>
      <c r="J8" s="301" t="inlineStr">
        <is>
          <t>Active</t>
        </is>
      </c>
      <c r="K8" s="374" t="n">
        <v>46259</v>
      </c>
      <c r="L8" s="435" t="str">
        <f>IF((TODAY()-K8)&gt;Settings!$B$123,"⚠ REPRICE — "&amp;(TODAY()-K8)&amp;"d old","Current")</f>
        <v>Current</v>
      </c>
    </row>
    <row r="9" ht="15" customHeight="1" s="278">
      <c r="A9" s="296" t="inlineStr">
        <is>
          <t>Nippon Small Cap</t>
        </is>
      </c>
      <c r="B9" s="366" t="inlineStr">
        <is>
          <t>Nippon</t>
        </is>
      </c>
      <c r="C9" s="486" t="n">
        <v>189.636</v>
      </c>
      <c r="D9" s="392" t="n">
        <v>35968</v>
      </c>
      <c r="E9" s="487" t="n">
        <v>209.8</v>
      </c>
      <c r="F9" s="293">
        <f>C9*E9</f>
        <v>39785.6328</v>
      </c>
      <c r="G9" s="293">
        <f>F9-D9</f>
        <v>3817.6328</v>
      </c>
      <c r="H9" s="488">
        <f>IF(D9=0,0,G9/D9)</f>
        <v>0.106139702</v>
      </c>
      <c r="I9" s="392" t="n">
        <v>3000</v>
      </c>
      <c r="J9" s="301" t="inlineStr">
        <is>
          <t>Active</t>
        </is>
      </c>
      <c r="K9" s="374" t="n">
        <v>46259</v>
      </c>
      <c r="L9" s="435" t="str">
        <f>IF((TODAY()-K9)&gt;Settings!$B$123,"⚠ REPRICE — "&amp;(TODAY()-K9)&amp;"d old","Current")</f>
        <v>Current</v>
      </c>
    </row>
    <row r="10" ht="15" customHeight="1" s="278">
      <c r="A10" s="296" t="inlineStr">
        <is>
          <t>Nippon Silver ETF FoF</t>
        </is>
      </c>
      <c r="B10" s="366" t="inlineStr">
        <is>
          <t>Nippon</t>
        </is>
      </c>
      <c r="C10" s="486" t="n">
        <v>115.191</v>
      </c>
      <c r="D10" s="392" t="n">
        <v>2971.14</v>
      </c>
      <c r="E10" s="487" t="n">
        <v>36.49</v>
      </c>
      <c r="F10" s="293">
        <f>C10*E10</f>
        <v>4203.31959</v>
      </c>
      <c r="G10" s="293">
        <f>F10-D10</f>
        <v>1232.17959</v>
      </c>
      <c r="H10" s="488">
        <f>IF(D10=0,0,G10/D10)</f>
        <v>0.4147160989</v>
      </c>
      <c r="I10" s="392" t="n">
        <v>0</v>
      </c>
      <c r="J10" s="301" t="inlineStr">
        <is>
          <t>Cancelled</t>
        </is>
      </c>
      <c r="K10" s="374" t="n">
        <v>46259</v>
      </c>
      <c r="L10" s="435" t="str">
        <f>IF((TODAY()-K10)&gt;Settings!$B$123,"⚠ REPRICE — "&amp;(TODAY()-K10)&amp;"d old","Current")</f>
        <v>Current</v>
      </c>
    </row>
    <row r="11" ht="15" customHeight="1" s="278">
      <c r="A11" s="296" t="inlineStr">
        <is>
          <t>Motilal Oswal Midcap</t>
        </is>
      </c>
      <c r="B11" s="366" t="inlineStr">
        <is>
          <t>Motilal Oswal</t>
        </is>
      </c>
      <c r="C11" s="486" t="n">
        <v>93.721</v>
      </c>
      <c r="D11" s="392" t="n">
        <v>11000</v>
      </c>
      <c r="E11" s="487" t="n">
        <v>123.27</v>
      </c>
      <c r="F11" s="293">
        <f>C11*E11</f>
        <v>11552.98767</v>
      </c>
      <c r="G11" s="293">
        <f>F11-D11</f>
        <v>552.98767</v>
      </c>
      <c r="H11" s="488">
        <f>IF(D11=0,0,G11/D11)</f>
        <v>0.0502716064</v>
      </c>
      <c r="I11" s="392" t="n">
        <v>0</v>
      </c>
      <c r="J11" s="301" t="inlineStr">
        <is>
          <t>Active</t>
        </is>
      </c>
      <c r="K11" s="374" t="n">
        <v>46259</v>
      </c>
      <c r="L11" s="435" t="str">
        <f>IF((TODAY()-K11)&gt;Settings!$B$123,"⚠ REPRICE — "&amp;(TODAY()-K11)&amp;"d old","Current")</f>
        <v>Current</v>
      </c>
    </row>
    <row r="12" ht="15" customHeight="1" s="278">
      <c r="A12" s="376" t="inlineStr">
        <is>
          <t>TOTAL</t>
        </is>
      </c>
      <c r="B12" s="377" t="n"/>
      <c r="C12" s="489" t="n"/>
      <c r="D12" s="378">
        <f>SUM(D6:D11)</f>
        <v>231876.03</v>
      </c>
      <c r="E12" s="490" t="n"/>
      <c r="F12" s="378">
        <f>SUM(F6:F11)</f>
        <v>244917.52116</v>
      </c>
      <c r="G12" s="378">
        <f>SUM(G6:G11)</f>
        <v>13041.49116</v>
      </c>
      <c r="H12" s="491">
        <f>IF(D12=0,0,G12/D12)</f>
        <v>0.0562433778</v>
      </c>
      <c r="I12" s="378">
        <f>SUM(I6:I11)</f>
        <v>12000.0</v>
      </c>
      <c r="J12" s="483" t="n"/>
      <c r="K12" s="377" t="n"/>
      <c r="L12" s="492" t="str">
        <f>IF(COUNTIF(L6:L11,"Current")=6,"All current","Some stale — see above")</f>
        <v>All current</v>
      </c>
    </row>
    <row r="13" ht="15" customHeight="1" s="278">
      <c r="A13" s="376" t="n"/>
      <c r="B13" s="377" t="n"/>
      <c r="C13" s="377" t="n"/>
      <c r="D13" s="378" t="n"/>
      <c r="E13" s="490" t="n"/>
      <c r="F13" s="378" t="n"/>
      <c r="G13" s="378" t="n"/>
      <c r="H13" s="491" t="n"/>
      <c r="I13" s="378" t="n"/>
      <c r="J13" s="377" t="n"/>
      <c r="K13" s="377" t="n"/>
      <c r="L13" s="492" t="n"/>
    </row>
    <row r="15" ht="19.5" customHeight="1" s="278">
      <c r="A15" s="493" t="inlineStr">
        <is>
          <t>How to update: type the fund's current NAV into the yellow cell each time you check MF Central — value, gain/loss, return and the stale-flag all recompute instantly.</t>
        </is>
      </c>
    </row>
    <row r="16" ht="27.75" customHeight="1" s="278">
      <c r="A16" s="383" t="inlineStr">
        <is>
          <t>Control</t>
        </is>
      </c>
      <c r="B16" s="383" t="inlineStr">
        <is>
          <t>Value</t>
        </is>
      </c>
      <c r="C16" s="383" t="inlineStr">
        <is>
          <t>Status</t>
        </is>
      </c>
      <c r="D16" s="383" t="inlineStr">
        <is>
          <t>Note</t>
        </is>
      </c>
    </row>
    <row r="17" ht="15" customHeight="1" s="278">
      <c r="A17" s="296" t="inlineStr">
        <is>
          <t>Portfolio value (AED equivalent)</t>
        </is>
      </c>
      <c r="B17" s="367">
        <f>F12*Settings!$B$28</f>
        <v>9437.4803181146</v>
      </c>
      <c r="C17" s="301" t="inlineStr">
        <is>
          <t>–</t>
        </is>
      </c>
      <c r="D17" s="368" t="inlineStr">
        <is>
          <t>At the Settings INR→AED rate</t>
        </is>
      </c>
      <c r="E17" s="318" t="n"/>
      <c r="F17" s="318" t="n"/>
      <c r="G17" s="318" t="n"/>
      <c r="H17" s="318" t="n"/>
      <c r="I17" s="318" t="n"/>
      <c r="J17" s="318" t="n"/>
      <c r="K17" s="318" t="n"/>
      <c r="L17" s="319" t="n"/>
    </row>
    <row r="18" ht="15" customHeight="1" s="278">
      <c r="A18" s="296" t="inlineStr">
        <is>
          <t>Nippon concentration</t>
        </is>
      </c>
      <c r="B18" s="364">
        <f>SUM(F6:F10)/F12</f>
        <v>0.9528290683</v>
      </c>
      <c r="C18" s="416" t="str">
        <f>IF($B18&gt;Settings!$B$121,"HIGH","OK")</f>
        <v>HIGH</v>
      </c>
      <c r="D18" s="368" t="inlineStr">
        <is>
          <t>Nippon value / total MF value — MUTUAL FUNDS ONLY, does not yet include Amana or Binance</t>
        </is>
      </c>
      <c r="E18" s="318" t="n"/>
      <c r="F18" s="318" t="n"/>
      <c r="G18" s="318" t="n"/>
      <c r="H18" s="318" t="n"/>
      <c r="I18" s="318" t="n"/>
      <c r="J18" s="318" t="n"/>
      <c r="K18" s="318" t="n"/>
      <c r="L18" s="319" t="n"/>
    </row>
    <row r="19" ht="15" customHeight="1" s="278">
      <c r="A19" s="296" t="inlineStr">
        <is>
          <t>Motilal concentration</t>
        </is>
      </c>
      <c r="B19" s="364">
        <f>F11/F12</f>
        <v>0.0471709317</v>
      </c>
      <c r="C19" s="301" t="inlineStr">
        <is>
          <t>Low</t>
        </is>
      </c>
      <c r="D19" s="368" t="n"/>
      <c r="E19" s="318" t="n"/>
      <c r="F19" s="318" t="n"/>
      <c r="G19" s="318" t="n"/>
      <c r="H19" s="318" t="n"/>
      <c r="I19" s="318" t="n"/>
      <c r="J19" s="318" t="n"/>
      <c r="K19" s="318" t="n"/>
      <c r="L19" s="319" t="n"/>
    </row>
    <row r="20" ht="15" customHeight="1" s="278">
      <c r="A20" s="296" t="inlineStr">
        <is>
          <t>Monthly SIP commitment (AED)</t>
        </is>
      </c>
      <c r="B20" s="367">
        <f>Settings!$B$29</f>
        <v>462.4</v>
      </c>
      <c r="C20" s="474" t="inlineStr">
        <is>
          <t>Active</t>
        </is>
      </c>
      <c r="D20" s="368" t="inlineStr">
        <is>
          <t>Due the 10th of each month</t>
        </is>
      </c>
      <c r="E20" s="318" t="n"/>
      <c r="F20" s="318" t="n"/>
      <c r="G20" s="318" t="n"/>
      <c r="H20" s="318" t="n"/>
      <c r="I20" s="318" t="n"/>
      <c r="J20" s="318" t="n"/>
      <c r="K20" s="318" t="n"/>
      <c r="L20" s="319" t="n"/>
    </row>
    <row r="21" ht="15" customHeight="1" s="278">
      <c r="A21" s="296" t="inlineStr">
        <is>
          <t>Emergency fund balance</t>
        </is>
      </c>
      <c r="B21" s="367">
        <f>Accounts!$D$9</f>
        <v>7.67</v>
      </c>
      <c r="C21" s="474" t="inlineStr">
        <is>
          <t>–</t>
        </is>
      </c>
      <c r="D21" s="368" t="inlineStr">
        <is>
          <t>FAB Emergency</t>
        </is>
      </c>
      <c r="E21" s="318" t="n"/>
      <c r="F21" s="318" t="n"/>
      <c r="G21" s="318" t="n"/>
      <c r="H21" s="318" t="n"/>
      <c r="I21" s="318" t="n"/>
      <c r="J21" s="318" t="n"/>
      <c r="K21" s="318" t="n"/>
      <c r="L21" s="319" t="n"/>
    </row>
    <row r="22" ht="15" customHeight="1" s="278">
      <c r="A22" s="296" t="inlineStr">
        <is>
          <t>Emergency fund target</t>
        </is>
      </c>
      <c r="B22" s="367">
        <f>Settings!$B$23</f>
        <v>1000.0</v>
      </c>
      <c r="C22" s="474" t="inlineStr">
        <is>
          <t>–</t>
        </is>
      </c>
      <c r="D22" s="368" t="inlineStr">
        <is>
          <t>Control panel</t>
        </is>
      </c>
      <c r="E22" s="318" t="n"/>
      <c r="F22" s="318" t="n"/>
      <c r="G22" s="318" t="n"/>
      <c r="H22" s="318" t="n"/>
      <c r="I22" s="318" t="n"/>
      <c r="J22" s="318" t="n"/>
      <c r="K22" s="318" t="n"/>
      <c r="L22" s="319" t="n"/>
    </row>
    <row r="23" ht="15" customHeight="1" s="278">
      <c r="A23" s="296" t="inlineStr">
        <is>
          <t>Emergency fund progress</t>
        </is>
      </c>
      <c r="B23" s="364">
        <f>IF(Settings!$B$23=0,0,Accounts!$D$9/Settings!$B$23)</f>
        <v>0.00767</v>
      </c>
      <c r="C23" s="476" t="inlineStr">
        <is>
          <t>CRITICALLY LOW</t>
        </is>
      </c>
      <c r="D23" s="368" t="inlineStr">
        <is>
          <t>Effectively no emergency cover</t>
        </is>
      </c>
      <c r="E23" s="318" t="n"/>
      <c r="F23" s="318" t="n"/>
      <c r="G23" s="318" t="n"/>
      <c r="H23" s="318" t="n"/>
      <c r="I23" s="318" t="n"/>
      <c r="J23" s="318" t="n"/>
      <c r="K23" s="318" t="n"/>
      <c r="L23" s="319" t="n"/>
    </row>
    <row r="24" ht="15" customHeight="1" s="278">
      <c r="A24" s="296" t="inlineStr">
        <is>
          <t>Savings rate this month</t>
        </is>
      </c>
      <c r="B24" s="364">
        <f>IF(Settings!$B$85=0,0,(Settings!$B$85-Settings!$B$86)/Settings!$B$85)</f>
        <v>0.3382882608</v>
      </c>
      <c r="C24" s="474" t="inlineStr">
        <is>
          <t>–</t>
        </is>
      </c>
      <c r="D24" s="368" t="inlineStr">
        <is>
          <t>(Income − spending) / income, month to date</t>
        </is>
      </c>
      <c r="E24" s="318" t="n"/>
      <c r="F24" s="318" t="n"/>
      <c r="G24" s="318" t="n"/>
      <c r="H24" s="318" t="n"/>
      <c r="I24" s="318" t="n"/>
      <c r="J24" s="318" t="n"/>
      <c r="K24" s="318" t="n"/>
      <c r="L24" s="319" t="n"/>
    </row>
    <row r="26" ht="19.5" customHeight="1" s="278">
      <c r="A26" s="382" t="inlineStr">
        <is>
          <t>THE SIP DECISION  ·  AED 462.40 a month, during a rent crunch</t>
        </is>
      </c>
      <c r="B26" s="287" t="n"/>
      <c r="C26" s="287" t="n"/>
      <c r="D26" s="287" t="n"/>
      <c r="E26" s="287" t="n"/>
      <c r="F26" s="287" t="n"/>
      <c r="G26" s="287" t="n"/>
      <c r="H26" s="287" t="n"/>
      <c r="I26" s="287" t="n"/>
      <c r="J26" s="287" t="n"/>
      <c r="K26" s="287" t="n"/>
      <c r="L26" s="287" t="n"/>
    </row>
    <row r="27" ht="27.75" customHeight="1" s="278">
      <c r="A27" s="383" t="inlineStr">
        <is>
          <t>Measure</t>
        </is>
      </c>
      <c r="B27" s="383" t="inlineStr">
        <is>
          <t>Value</t>
        </is>
      </c>
      <c r="C27" s="383" t="inlineStr">
        <is>
          <t>What it means</t>
        </is>
      </c>
    </row>
    <row r="28" ht="15" customHeight="1" s="278">
      <c r="A28" s="296" t="inlineStr">
        <is>
          <t>Cost of the Sep + Oct SIPs</t>
        </is>
      </c>
      <c r="B28" s="367">
        <f>Settings!$B$29*2</f>
        <v>924.8</v>
      </c>
      <c r="C28" s="368" t="inlineStr">
        <is>
          <t>Cash that leaves before the rent cheque clears</t>
        </is>
      </c>
      <c r="D28" s="318" t="n"/>
      <c r="E28" s="318" t="n"/>
      <c r="F28" s="318" t="n"/>
      <c r="G28" s="318" t="n"/>
      <c r="H28" s="318" t="n"/>
      <c r="I28" s="318" t="n"/>
      <c r="J28" s="318" t="n"/>
      <c r="K28" s="318" t="n"/>
      <c r="L28" s="319" t="n"/>
    </row>
    <row r="29" ht="15" customHeight="1" s="278">
      <c r="A29" s="296" t="inlineStr">
        <is>
          <t>Remaining rent gap</t>
        </is>
      </c>
      <c r="B29" s="367">
        <f>Settings!$B$81</f>
        <v>3091.03</v>
      </c>
      <c r="C29" s="368" t="inlineStr">
        <is>
          <t>What you are short by, buffer intact</t>
        </is>
      </c>
      <c r="D29" s="318" t="n"/>
      <c r="E29" s="318" t="n"/>
      <c r="F29" s="318" t="n"/>
      <c r="G29" s="318" t="n"/>
      <c r="H29" s="318" t="n"/>
      <c r="I29" s="318" t="n"/>
      <c r="J29" s="318" t="n"/>
      <c r="K29" s="318" t="n"/>
      <c r="L29" s="319" t="n"/>
    </row>
    <row r="30" ht="15" customHeight="1" s="278">
      <c r="A30" s="296" t="inlineStr">
        <is>
          <t>Gap if both SIPs are paused</t>
        </is>
      </c>
      <c r="B30" s="367">
        <f>MAX(Settings!$B$81-Settings!$B$29*2,0)</f>
        <v>2166.23</v>
      </c>
      <c r="C30" s="368" t="inlineStr">
        <is>
          <t>Pausing two months closes the gap outright, with room to spare</t>
        </is>
      </c>
      <c r="D30" s="318" t="n"/>
      <c r="E30" s="318" t="n"/>
      <c r="F30" s="318" t="n"/>
      <c r="G30" s="318" t="n"/>
      <c r="H30" s="318" t="n"/>
      <c r="I30" s="318" t="n"/>
      <c r="J30" s="318" t="n"/>
      <c r="K30" s="318" t="n"/>
      <c r="L30" s="319" t="n"/>
    </row>
    <row r="31" ht="15" customHeight="1" s="278">
      <c r="A31" s="296" t="inlineStr">
        <is>
          <t>Side income needed if you keep investing</t>
        </is>
      </c>
      <c r="B31" s="367">
        <f>Settings!$B$83</f>
        <v>386.37875</v>
      </c>
      <c r="C31" s="368" t="inlineStr">
        <is>
          <t>Per week, for ten weeks</t>
        </is>
      </c>
      <c r="D31" s="318" t="n"/>
      <c r="E31" s="318" t="n"/>
      <c r="F31" s="318" t="n"/>
      <c r="G31" s="318" t="n"/>
      <c r="H31" s="318" t="n"/>
      <c r="I31" s="318" t="n"/>
      <c r="J31" s="318" t="n"/>
      <c r="K31" s="318" t="n"/>
      <c r="L31" s="319" t="n"/>
    </row>
    <row r="32" ht="15" customHeight="1" s="278">
      <c r="A32" s="296" t="inlineStr">
        <is>
          <t>Portfolio value if you pause two months</t>
        </is>
      </c>
      <c r="B32" s="293">
        <f>Investments!$F$12</f>
        <v>244917.52116</v>
      </c>
      <c r="C32" s="368" t="inlineStr">
        <is>
          <t>Unchanged — you keep every unit you already own</t>
        </is>
      </c>
      <c r="D32" s="318" t="n"/>
      <c r="E32" s="318" t="n"/>
      <c r="F32" s="318" t="n"/>
      <c r="G32" s="318" t="n"/>
      <c r="H32" s="318" t="n"/>
      <c r="I32" s="318" t="n"/>
      <c r="J32" s="318" t="n"/>
      <c r="K32" s="318" t="n"/>
      <c r="L32" s="319" t="n"/>
    </row>
    <row r="33" ht="15" customHeight="1" s="278">
      <c r="A33" s="296" t="inlineStr">
        <is>
          <t>What pausing actually costs</t>
        </is>
      </c>
      <c r="B33" s="367">
        <f>Settings!$B$27*2</f>
        <v>24000.0</v>
      </c>
      <c r="C33" s="368" t="inlineStr">
        <is>
          <t>INR of contributions deferred, plus the compounding on them and your SIP streak</t>
        </is>
      </c>
      <c r="D33" s="318" t="n"/>
      <c r="E33" s="318" t="n"/>
      <c r="F33" s="318" t="n"/>
      <c r="G33" s="318" t="n"/>
      <c r="H33" s="318" t="n"/>
      <c r="I33" s="318" t="n"/>
      <c r="J33" s="318" t="n"/>
      <c r="K33" s="318" t="n"/>
      <c r="L33" s="319" t="n"/>
    </row>
    <row r="35" ht="15" customHeight="1" s="278">
      <c r="A35" s="473" t="inlineStr">
        <is>
          <t>This is the single largest discretionary lever you hold. It is not a recommendation — the numbers are here so the decision is yours and made with your eyes open. Pausing is reversible; missing the rent cheque is not.</t>
        </is>
      </c>
    </row>
    <row r="36" ht="15" customHeight="1" s="278"/>
    <row r="38" ht="15" customHeight="1" s="278">
      <c r="A38" s="296" t="inlineStr">
        <is>
          <t>Statement date</t>
        </is>
      </c>
      <c r="B38" s="386" t="n">
        <v>46244</v>
      </c>
      <c r="D38" s="435" t="str">
        <f>IF((TODAY()-B38)&gt;Settings!$B$123,"⚠ Get a fresh statement — "&amp;(TODAY()-B38)&amp;"d old","Current")</f>
        <v>⚠ Get a fresh statement — 16d old</v>
      </c>
      <c r="E38" s="318" t="n"/>
      <c r="F38" s="318" t="n"/>
      <c r="G38" s="318" t="n"/>
      <c r="H38" s="318" t="n"/>
      <c r="I38" s="318" t="n"/>
      <c r="J38" s="318" t="n"/>
      <c r="K38" s="318" t="n"/>
      <c r="L38" s="319" t="n"/>
    </row>
    <row r="39" ht="19.5" customHeight="1" s="278">
      <c r="A39" s="382" t="inlineStr">
        <is>
          <t>AMANA — MULTI-ASSET BROKERAGE  ·  statement 21 Jul 2023 to 10 Aug 2026</t>
        </is>
      </c>
      <c r="B39" s="287" t="n"/>
      <c r="C39" s="287" t="n"/>
      <c r="D39" s="287" t="n"/>
      <c r="E39" s="287" t="n"/>
      <c r="F39" s="287" t="n"/>
      <c r="G39" s="287" t="n"/>
      <c r="H39" s="287" t="n"/>
      <c r="I39" s="287" t="n"/>
      <c r="J39" s="287" t="n"/>
      <c r="K39" s="287" t="n"/>
      <c r="L39" s="287" t="n"/>
    </row>
    <row r="40" ht="27.75" customHeight="1" s="278">
      <c r="A40" s="383" t="inlineStr">
        <is>
          <t>Measure</t>
        </is>
      </c>
      <c r="B40" s="383" t="inlineStr">
        <is>
          <t>USD</t>
        </is>
      </c>
      <c r="C40" s="383" t="inlineStr">
        <is>
          <t>AED equivalent</t>
        </is>
      </c>
      <c r="D40" s="383" t="inlineStr">
        <is>
          <t>Note</t>
        </is>
      </c>
    </row>
    <row r="41" ht="15" customHeight="1" s="278">
      <c r="A41" s="366" t="inlineStr">
        <is>
          <t>Beginning account value</t>
        </is>
      </c>
      <c r="B41" s="359" t="n">
        <v>0</v>
      </c>
      <c r="C41" s="385">
        <f>$B41*Settings!$B$34</f>
        <v>0.0</v>
      </c>
      <c r="D41" s="368" t="inlineStr">
        <is>
          <t>Statement opening, Jul 2023</t>
        </is>
      </c>
      <c r="E41" s="318" t="n"/>
      <c r="F41" s="318" t="n"/>
      <c r="G41" s="318" t="n"/>
      <c r="H41" s="318" t="n"/>
      <c r="I41" s="318" t="n"/>
      <c r="J41" s="318" t="n"/>
      <c r="K41" s="318" t="n"/>
      <c r="L41" s="319" t="n"/>
    </row>
    <row r="42" ht="15" customHeight="1" s="278">
      <c r="A42" s="366" t="inlineStr">
        <is>
          <t>Money in</t>
        </is>
      </c>
      <c r="B42" s="494" t="inlineStr">
        <is>
          <t>1723.04</t>
        </is>
      </c>
      <c r="C42" s="385">
        <f>$B42*Settings!$B$34</f>
        <v>6327.8644</v>
      </c>
      <c r="D42" s="368" t="inlineStr">
        <is>
          <t>Total deposits over the account's life</t>
        </is>
      </c>
      <c r="E42" s="318" t="n"/>
      <c r="F42" s="318" t="n"/>
      <c r="G42" s="318" t="n"/>
      <c r="H42" s="318" t="n"/>
      <c r="I42" s="318" t="n"/>
      <c r="J42" s="318" t="n"/>
      <c r="K42" s="318" t="n"/>
      <c r="L42" s="319" t="n"/>
    </row>
    <row r="43" ht="15" customHeight="1" s="278">
      <c r="A43" s="366" t="inlineStr">
        <is>
          <t>Money out</t>
        </is>
      </c>
      <c r="B43" s="494" t="inlineStr">
        <is>
          <t>-870.93</t>
        </is>
      </c>
      <c r="C43" s="385">
        <f>$B43*Settings!$B$34</f>
        <v>-3198.490425</v>
      </c>
      <c r="D43" s="368" t="inlineStr">
        <is>
          <t>Total withdrawals</t>
        </is>
      </c>
      <c r="E43" s="318" t="n"/>
      <c r="F43" s="318" t="n"/>
      <c r="G43" s="318" t="n"/>
      <c r="H43" s="318" t="n"/>
      <c r="I43" s="318" t="n"/>
      <c r="J43" s="318" t="n"/>
      <c r="K43" s="318" t="n"/>
      <c r="L43" s="319" t="n"/>
    </row>
    <row r="44" ht="15" customHeight="1" s="278">
      <c r="A44" s="366" t="inlineStr">
        <is>
          <t>Net money in/out</t>
        </is>
      </c>
      <c r="B44" s="494">
        <f>$B42+$B43</f>
        <v>852.11</v>
      </c>
      <c r="C44" s="385">
        <f>$B44*Settings!$B$34</f>
        <v>3129.373975</v>
      </c>
      <c r="D44" s="368" t="inlineStr">
        <is>
          <t>Deposits less withdrawals</t>
        </is>
      </c>
      <c r="E44" s="318" t="n"/>
      <c r="F44" s="318" t="n"/>
      <c r="G44" s="318" t="n"/>
      <c r="H44" s="318" t="n"/>
      <c r="I44" s="318" t="n"/>
      <c r="J44" s="318" t="n"/>
      <c r="K44" s="318" t="n"/>
      <c r="L44" s="319" t="n"/>
    </row>
    <row r="45" ht="15" customHeight="1" s="278">
      <c r="A45" s="366" t="inlineStr">
        <is>
          <t>Amana Earn interest</t>
        </is>
      </c>
      <c r="B45" s="359" t="n">
        <v>3.72</v>
      </c>
      <c r="C45" s="385">
        <f>$B45*Settings!$B$34</f>
        <v>13.6617</v>
      </c>
      <c r="D45" s="368" t="inlineStr">
        <is>
          <t>Cash-sweep interest</t>
        </is>
      </c>
      <c r="E45" s="318" t="n"/>
      <c r="F45" s="318" t="n"/>
      <c r="G45" s="318" t="n"/>
      <c r="H45" s="318" t="n"/>
      <c r="I45" s="318" t="n"/>
      <c r="J45" s="318" t="n"/>
      <c r="K45" s="318" t="n"/>
      <c r="L45" s="319" t="n"/>
    </row>
    <row r="46" ht="15" customHeight="1" s="278">
      <c r="A46" s="366" t="inlineStr">
        <is>
          <t>Realized profit</t>
        </is>
      </c>
      <c r="B46" s="359" t="n">
        <v>162.13</v>
      </c>
      <c r="C46" s="385">
        <f>$B46*Settings!$B$34</f>
        <v>595.422425</v>
      </c>
      <c r="D46" s="368" t="inlineStr">
        <is>
          <t>Closed-trade gains, life of account</t>
        </is>
      </c>
      <c r="E46" s="318" t="n"/>
      <c r="F46" s="318" t="n"/>
      <c r="G46" s="318" t="n"/>
      <c r="H46" s="318" t="n"/>
      <c r="I46" s="318" t="n"/>
      <c r="J46" s="318" t="n"/>
      <c r="K46" s="318" t="n"/>
      <c r="L46" s="319" t="n"/>
    </row>
    <row r="47" ht="15" customHeight="1" s="278">
      <c r="A47" s="366" t="inlineStr">
        <is>
          <t>Floating profit/loss</t>
        </is>
      </c>
      <c r="B47" s="359" t="n">
        <v>-130.69</v>
      </c>
      <c r="C47" s="385">
        <f>$B47*Settings!$B$34</f>
        <v>-479.959025</v>
      </c>
      <c r="D47" s="368" t="inlineStr">
        <is>
          <t>Unrealized, on the 41 open positions</t>
        </is>
      </c>
      <c r="E47" s="318" t="n"/>
      <c r="F47" s="318" t="n"/>
      <c r="G47" s="318" t="n"/>
      <c r="H47" s="318" t="n"/>
      <c r="I47" s="318" t="n"/>
      <c r="J47" s="318" t="n"/>
      <c r="K47" s="318" t="n"/>
      <c r="L47" s="319" t="n"/>
    </row>
    <row r="48" ht="15" customHeight="1" s="278">
      <c r="A48" s="366" t="inlineStr">
        <is>
          <t>Floating fees</t>
        </is>
      </c>
      <c r="B48" s="359" t="n">
        <v>-8.449999999999999</v>
      </c>
      <c r="C48" s="385">
        <f>$B48*Settings!$B$34</f>
        <v>-31.032625</v>
      </c>
      <c r="D48" s="368" t="inlineStr">
        <is>
          <t>Accrued on open positions</t>
        </is>
      </c>
      <c r="E48" s="318" t="n"/>
      <c r="F48" s="318" t="n"/>
      <c r="G48" s="318" t="n"/>
      <c r="H48" s="318" t="n"/>
      <c r="I48" s="318" t="n"/>
      <c r="J48" s="318" t="n"/>
      <c r="K48" s="318" t="n"/>
      <c r="L48" s="319" t="n"/>
    </row>
    <row r="49" ht="15" customHeight="1" s="278">
      <c r="A49" s="366" t="inlineStr">
        <is>
          <t>Overnight fees</t>
        </is>
      </c>
      <c r="B49" s="359" t="n">
        <v>-12.02</v>
      </c>
      <c r="C49" s="385">
        <f>$B49*Settings!$B$34</f>
        <v>-44.14345</v>
      </c>
      <c r="D49" s="368" t="inlineStr">
        <is>
          <t>Financing/swap charges, life of account</t>
        </is>
      </c>
      <c r="E49" s="318" t="n"/>
      <c r="F49" s="318" t="n"/>
      <c r="G49" s="318" t="n"/>
      <c r="H49" s="318" t="n"/>
      <c r="I49" s="318" t="n"/>
      <c r="J49" s="318" t="n"/>
      <c r="K49" s="318" t="n"/>
      <c r="L49" s="319" t="n"/>
    </row>
    <row r="50" ht="15" customHeight="1" s="278">
      <c r="A50" s="296" t="inlineStr">
        <is>
          <t>ENDING ACCOUNT VALUE</t>
        </is>
      </c>
      <c r="B50" s="495">
        <f>Settings!$B$35</f>
        <v>864.82</v>
      </c>
      <c r="C50" s="293">
        <f>$B50*Settings!$B$34</f>
        <v>3176.05145</v>
      </c>
      <c r="D50" s="368" t="inlineStr">
        <is>
          <t>Statement figure, 10 Aug 2026 — this is what you actually have</t>
        </is>
      </c>
      <c r="E50" s="318" t="n"/>
      <c r="F50" s="318" t="n"/>
      <c r="G50" s="318" t="n"/>
      <c r="H50" s="318" t="n"/>
      <c r="I50" s="318" t="n"/>
      <c r="J50" s="318" t="n"/>
      <c r="K50" s="318" t="n"/>
      <c r="L50" s="319" t="n"/>
    </row>
    <row r="51" ht="15" customHeight="1" s="278">
      <c r="A51" s="366" t="inlineStr">
        <is>
          <t>Open positions</t>
        </is>
      </c>
      <c r="B51" s="359" t="n">
        <v>41</v>
      </c>
      <c r="C51" s="385" t="n"/>
      <c r="D51" s="368" t="inlineStr">
        <is>
          <t>Count, not a currency figure — no AED conversion applies</t>
        </is>
      </c>
      <c r="E51" s="318" t="n"/>
      <c r="F51" s="318" t="n"/>
      <c r="G51" s="318" t="n"/>
      <c r="H51" s="318" t="n"/>
      <c r="I51" s="318" t="n"/>
      <c r="J51" s="318" t="n"/>
      <c r="K51" s="318" t="n"/>
      <c r="L51" s="319" t="n"/>
    </row>
    <row r="52" ht="15" customHeight="1" s="278">
      <c r="A52" s="366" t="inlineStr">
        <is>
          <t>Realized profit as % of net deposits</t>
        </is>
      </c>
      <c r="B52" s="410">
        <f>IFERROR($B46/$B44,0)</f>
        <v>0.190268862</v>
      </c>
      <c r="C52" s="385">
        <f>$B52*Settings!$B$34</f>
        <v>0.6987623957</v>
      </c>
      <c r="D52" s="368" t="inlineStr">
        <is>
          <t>Lifetime realized return on capital actually put in</t>
        </is>
      </c>
      <c r="E52" s="318" t="n"/>
      <c r="F52" s="318" t="n"/>
      <c r="G52" s="318" t="n"/>
      <c r="H52" s="318" t="n"/>
      <c r="I52" s="318" t="n"/>
      <c r="J52" s="318" t="n"/>
      <c r="K52" s="318" t="n"/>
      <c r="L52" s="319" t="n"/>
    </row>
    <row r="54" ht="19.5" customHeight="1" s="278">
      <c r="A54" s="382" t="inlineStr">
        <is>
          <t>AMANA POSITIONS  ·  41 open positions by asset class — statement PDF, 10 Aug 2026</t>
        </is>
      </c>
      <c r="B54" s="287" t="n"/>
      <c r="C54" s="287" t="n"/>
      <c r="D54" s="287" t="n"/>
      <c r="E54" s="287" t="n"/>
      <c r="F54" s="287" t="n"/>
      <c r="G54" s="287" t="n"/>
      <c r="H54" s="287" t="n"/>
      <c r="I54" s="287" t="n"/>
      <c r="J54" s="287" t="n"/>
      <c r="K54" s="287" t="n"/>
      <c r="L54" s="287" t="n"/>
    </row>
    <row r="55" ht="27.75" customHeight="1" s="278">
      <c r="A55" s="383" t="inlineStr">
        <is>
          <t>Asset class</t>
        </is>
      </c>
      <c r="B55" s="383" t="inlineStr">
        <is>
          <t>Count</t>
        </is>
      </c>
      <c r="C55" s="383" t="inlineStr">
        <is>
          <t>Tickers</t>
        </is>
      </c>
      <c r="D55" s="383" t="inlineStr">
        <is>
          <t>Note</t>
        </is>
      </c>
    </row>
    <row r="56" ht="30" customHeight="1" s="278">
      <c r="A56" s="296" t="inlineStr">
        <is>
          <t>US equities</t>
        </is>
      </c>
      <c r="B56" s="414" t="n">
        <v>16</v>
      </c>
      <c r="C56" s="441" t="inlineStr">
        <is>
          <t>AAPL, AMZN, AVGO, AXP, BAC, CB, CVX, DVA, GOOGL, KHC, KO, MCO, META, MSFT, NVDA, OXY</t>
        </is>
      </c>
      <c r="D56" s="368" t="inlineStr">
        <is>
          <t>Mega-cap concentrated — META, MSFT, NVDA, AAPL, GOOGL, AMZN together are the single largest style bet in the whole portfolio</t>
        </is>
      </c>
      <c r="E56" s="318" t="n"/>
      <c r="F56" s="318" t="n"/>
      <c r="G56" s="318" t="n"/>
      <c r="H56" s="318" t="n"/>
      <c r="I56" s="318" t="n"/>
      <c r="J56" s="318" t="n"/>
      <c r="K56" s="318" t="n"/>
      <c r="L56" s="319" t="n"/>
    </row>
    <row r="57" ht="30" customHeight="1" s="278">
      <c r="A57" s="296" t="inlineStr">
        <is>
          <t>UAE-listed equities</t>
        </is>
      </c>
      <c r="B57" s="414" t="n">
        <v>9</v>
      </c>
      <c r="C57" s="441" t="inlineStr">
        <is>
          <t>ADNOCDIST, ADNOCDRILL, AIRA, DEWAA, EMAARDEV, EMAR, FAB, PARKIN, SALIK</t>
        </is>
      </c>
      <c r="D57" s="368" t="inlineStr">
        <is>
          <t>DEWAA is a DFM-listed stock ticker — do not confuse with the DEWA utility bill elsewhere in this workbook</t>
        </is>
      </c>
      <c r="E57" s="318" t="n"/>
      <c r="F57" s="318" t="n"/>
      <c r="G57" s="318" t="n"/>
      <c r="H57" s="318" t="n"/>
      <c r="I57" s="318" t="n"/>
      <c r="J57" s="318" t="n"/>
      <c r="K57" s="318" t="n"/>
      <c r="L57" s="319" t="n"/>
    </row>
    <row r="58" ht="30" customHeight="1" s="278">
      <c r="A58" s="296" t="inlineStr">
        <is>
          <t>ETFs</t>
        </is>
      </c>
      <c r="B58" s="414" t="n">
        <v>4</v>
      </c>
      <c r="C58" s="441" t="inlineStr">
        <is>
          <t>SPYD, VEU, VTI, VWO</t>
        </is>
      </c>
      <c r="D58" s="368" t="inlineStr">
        <is>
          <t>Broad-market and dividend trackers — the only genuinely diversified sleeve</t>
        </is>
      </c>
      <c r="E58" s="318" t="n"/>
      <c r="F58" s="318" t="n"/>
      <c r="G58" s="318" t="n"/>
      <c r="H58" s="318" t="n"/>
      <c r="I58" s="318" t="n"/>
      <c r="J58" s="318" t="n"/>
      <c r="K58" s="318" t="n"/>
      <c r="L58" s="319" t="n"/>
    </row>
    <row r="59" ht="30" customHeight="1" s="278">
      <c r="A59" s="296" t="inlineStr">
        <is>
          <t>Crypto (CFD)</t>
        </is>
      </c>
      <c r="B59" s="414" t="n">
        <v>12</v>
      </c>
      <c r="C59" s="441" t="inlineStr">
        <is>
          <t>ADAUSD, AVAXUSD, BTCUSD, DOGEUSD, DOTUSD, ETHUSD, HBARUSD, LINKUSD, SOLUSD, SUIUSD, UNIUSD, XRPUSD</t>
        </is>
      </c>
      <c r="D59" s="368" t="inlineStr">
        <is>
          <t>29% of position count. These are CFDs inside Amana, not spot coins — separate from any Binance holding</t>
        </is>
      </c>
      <c r="E59" s="318" t="n"/>
      <c r="F59" s="318" t="n"/>
      <c r="G59" s="318" t="n"/>
      <c r="H59" s="318" t="n"/>
      <c r="I59" s="318" t="n"/>
      <c r="J59" s="318" t="n"/>
      <c r="K59" s="318" t="n"/>
      <c r="L59" s="319" t="n"/>
    </row>
    <row r="60" ht="15" customHeight="1" s="278">
      <c r="A60" s="496" t="inlineStr">
        <is>
          <t>TOTAL</t>
        </is>
      </c>
      <c r="B60" s="497" t="n">
        <v>41</v>
      </c>
      <c r="C60" s="377" t="n"/>
      <c r="D60" s="379" t="inlineStr">
        <is>
          <t>Ties to the statement's stated position count</t>
        </is>
      </c>
    </row>
    <row r="62" ht="15" customHeight="1" s="278">
      <c r="A62" s="498" t="inlineStr">
        <is>
          <t>REQUIRES VERIFICATION: the statement's position table uses a multi-column layout that does not extract reliably as text — I can confirm every symbol above but not the per-position dollar value or entry date without risking a misattributed figure. If you want position-level detail in this workbook, export a CSV from Amana rather than the PDF.</t>
        </is>
      </c>
    </row>
    <row r="63" ht="15" customHeight="1" s="278"/>
    <row r="65" ht="19.5" customHeight="1" s="278">
      <c r="A65" s="382" t="inlineStr">
        <is>
          <t>COMBINED NET WORTH  ·  every account, both currencies, one number</t>
        </is>
      </c>
      <c r="B65" s="287" t="n"/>
      <c r="C65" s="287" t="n"/>
      <c r="D65" s="287" t="n"/>
      <c r="E65" s="287" t="n"/>
      <c r="F65" s="287" t="n"/>
      <c r="G65" s="287" t="n"/>
      <c r="H65" s="287" t="n"/>
      <c r="I65" s="287" t="n"/>
      <c r="J65" s="287" t="n"/>
      <c r="K65" s="287" t="n"/>
      <c r="L65" s="287" t="n"/>
    </row>
    <row r="66" ht="27.75" customHeight="1" s="278">
      <c r="A66" s="383" t="inlineStr">
        <is>
          <t>Sleeve</t>
        </is>
      </c>
      <c r="B66" s="383" t="inlineStr">
        <is>
          <t>Value (AED)</t>
        </is>
      </c>
      <c r="C66" s="383" t="inlineStr">
        <is>
          <t>Share of investments</t>
        </is>
      </c>
      <c r="D66" s="383" t="inlineStr">
        <is>
          <t>Note</t>
        </is>
      </c>
    </row>
    <row r="67" ht="15" customHeight="1" s="278">
      <c r="A67" s="366" t="inlineStr">
        <is>
          <t>Mutual funds (Nippon + Motilal Oswal)</t>
        </is>
      </c>
      <c r="B67" s="385">
        <f>Settings!$B$96</f>
        <v>9437.4803181146</v>
      </c>
      <c r="C67" s="410">
        <f>Settings!$B$96/Settings!$B$114</f>
        <v>0.7369961582</v>
      </c>
      <c r="D67" s="368" t="inlineStr">
        <is>
          <t>INR 245,087.15 at the fixed conversion rate</t>
        </is>
      </c>
    </row>
    <row r="68" ht="15" customHeight="1" s="278">
      <c r="A68" s="366" t="inlineStr">
        <is>
          <t>Amana (multi-asset brokerage)</t>
        </is>
      </c>
      <c r="B68" s="367">
        <f>Settings!$B$110</f>
        <v>3176.05145</v>
      </c>
      <c r="C68" s="410">
        <f>Settings!$B$110/Settings!$B$114</f>
        <v>0.2480257058</v>
      </c>
      <c r="D68" s="368" t="inlineStr">
        <is>
          <t>41 positions — US/UAE equities, ETFs, crypto CFDs</t>
        </is>
      </c>
    </row>
    <row r="69" ht="15" customHeight="1" s="278">
      <c r="A69" s="296" t="inlineStr">
        <is>
          <t>Binance (spot crypto)</t>
        </is>
      </c>
      <c r="B69" s="367">
        <f>Settings!$B$113</f>
        <v>191.8</v>
      </c>
      <c r="C69" s="410">
        <f>Settings!$B$113/Settings!$B$114</f>
        <v>0.0149781359</v>
      </c>
      <c r="D69" s="368" t="inlineStr">
        <is>
          <t>10 coins, TRX and BTC largest — a starter allocation, not concentrated</t>
        </is>
      </c>
    </row>
    <row r="70" ht="15" customHeight="1" s="278">
      <c r="A70" s="296" t="inlineStr">
        <is>
          <t>TOTAL INVESTMENTS</t>
        </is>
      </c>
      <c r="B70" s="367">
        <f>B67+B68+B69</f>
        <v>12805.3317681146</v>
      </c>
      <c r="C70" s="499" t="n">
        <v>1</v>
      </c>
      <c r="D70" s="302" t="inlineStr">
        <is>
          <t>Excludes liquid cash</t>
        </is>
      </c>
    </row>
    <row r="71" ht="15" customHeight="1" s="278">
      <c r="A71" s="366" t="inlineStr">
        <is>
          <t>Liquid cash (from Accounts)</t>
        </is>
      </c>
      <c r="B71" s="385">
        <f>Settings!$B$60</f>
        <v>6105.17</v>
      </c>
      <c r="D71" s="368" t="n"/>
    </row>
    <row r="72" ht="15" customHeight="1" s="278">
      <c r="A72" s="296" t="inlineStr">
        <is>
          <t>TOTAL NET WORTH TRACKED HERE</t>
        </is>
      </c>
      <c r="B72" s="367">
        <f>B70+B71</f>
        <v>18910.5017681146</v>
      </c>
      <c r="D72" s="302" t="inlineStr">
        <is>
          <t>Understated until Binance is added</t>
        </is>
      </c>
    </row>
    <row r="74" ht="15" customHeight="1" s="278">
      <c r="A74" s="413" t="inlineStr">
        <is>
          <t>BINANCE STILL MISSING — send the screenshot and this section, the dashboard, and the concentration analysis all update in one pass. Nothing below is estimated to fill the gap.</t>
        </is>
      </c>
    </row>
    <row r="75" ht="15" customHeight="1" s="278"/>
    <row r="78" ht="19.5" customHeight="1" s="278">
      <c r="A78" s="382" t="inlineStr">
        <is>
          <t>BINANCE — SPOT HOLDINGS  ·  app snapshot, 11 Aug 2026</t>
        </is>
      </c>
      <c r="B78" s="287" t="n"/>
      <c r="C78" s="287" t="n"/>
      <c r="D78" s="287" t="n"/>
      <c r="E78" s="287" t="n"/>
      <c r="F78" s="287" t="n"/>
      <c r="G78" s="287" t="n"/>
      <c r="H78" s="287" t="n"/>
      <c r="I78" s="287" t="n"/>
      <c r="J78" s="287" t="n"/>
      <c r="K78" s="287" t="n"/>
      <c r="L78" s="287" t="n"/>
    </row>
    <row r="79" ht="27.75" customHeight="1" s="278">
      <c r="A79" s="383" t="inlineStr">
        <is>
          <t>Coin</t>
        </is>
      </c>
      <c r="B79" s="383" t="inlineStr">
        <is>
          <t>Name</t>
        </is>
      </c>
      <c r="C79" s="383" t="inlineStr">
        <is>
          <t>Quantity</t>
        </is>
      </c>
      <c r="D79" s="383" t="inlineStr">
        <is>
          <t>Value (AED)</t>
        </is>
      </c>
      <c r="E79" s="383" t="inlineStr">
        <is>
          <t>Implied price (AED)</t>
        </is>
      </c>
      <c r="F79" s="383" t="inlineStr">
        <is>
          <t>Today's PNL (AED)</t>
        </is>
      </c>
      <c r="G79" s="383" t="inlineStr">
        <is>
          <t>Today's PNL %</t>
        </is>
      </c>
      <c r="H79" s="383" t="inlineStr">
        <is>
          <t>Last updated</t>
        </is>
      </c>
      <c r="I79" s="383" t="inlineStr">
        <is>
          <t>Status</t>
        </is>
      </c>
    </row>
    <row r="80" ht="15" customHeight="1" s="278">
      <c r="A80" s="296" t="inlineStr">
        <is>
          <t>TRX</t>
        </is>
      </c>
      <c r="B80" s="366" t="inlineStr">
        <is>
          <t>Tron</t>
        </is>
      </c>
      <c r="C80" s="500" t="n">
        <v>33.98150447</v>
      </c>
      <c r="D80" s="392" t="n">
        <v>41.94</v>
      </c>
      <c r="E80" s="501">
        <f>IF(C80=0,0,D80/C80)</f>
        <v>1.2342007999</v>
      </c>
      <c r="F80" s="392" t="n">
        <v>0.42</v>
      </c>
      <c r="G80" s="391" t="inlineStr">
        <is>
          <t>+1.45%</t>
        </is>
      </c>
      <c r="H80" s="386" t="n">
        <v>46245</v>
      </c>
      <c r="I80" s="435" t="str">
        <f>IF((TODAY()-H80)&gt;Settings!$B$123,"⚠ STALE — "&amp;(TODAY()-H80)&amp;"d","Current")</f>
        <v>⚠ STALE — 15d</v>
      </c>
    </row>
    <row r="81" ht="15" customHeight="1" s="278">
      <c r="A81" s="296" t="inlineStr">
        <is>
          <t>BTC</t>
        </is>
      </c>
      <c r="B81" s="366" t="inlineStr">
        <is>
          <t>Bitcoin</t>
        </is>
      </c>
      <c r="C81" s="500" t="n">
        <v>8.934e-05</v>
      </c>
      <c r="D81" s="392" t="n">
        <v>21.09</v>
      </c>
      <c r="E81" s="501">
        <f>IF(C81=0,0,D81/C81)</f>
        <v>236064.4728005373</v>
      </c>
      <c r="F81" s="392" t="n">
        <v>-0.24</v>
      </c>
      <c r="G81" s="391" t="inlineStr">
        <is>
          <t>-1.14%</t>
        </is>
      </c>
      <c r="H81" s="386" t="n">
        <v>46245</v>
      </c>
      <c r="I81" s="435" t="str">
        <f>IF((TODAY()-H81)&gt;Settings!$B$123,"⚠ STALE — "&amp;(TODAY()-H81)&amp;"d","Current")</f>
        <v>⚠ STALE — 15d</v>
      </c>
    </row>
    <row r="82" ht="15" customHeight="1" s="278">
      <c r="A82" s="296" t="inlineStr">
        <is>
          <t>BNB</t>
        </is>
      </c>
      <c r="B82" s="366" t="inlineStr">
        <is>
          <t>BNB</t>
        </is>
      </c>
      <c r="C82" s="500" t="n">
        <v>0.00897213</v>
      </c>
      <c r="D82" s="392" t="n">
        <v>20.01</v>
      </c>
      <c r="E82" s="501">
        <f>IF(C82=0,0,D82/C82)</f>
        <v>2230.2396420917</v>
      </c>
      <c r="F82" s="392" t="n">
        <v>0.09</v>
      </c>
      <c r="G82" s="391" t="inlineStr">
        <is>
          <t>+0.45%</t>
        </is>
      </c>
      <c r="H82" s="386" t="n">
        <v>46245</v>
      </c>
      <c r="I82" s="435" t="str">
        <f>IF((TODAY()-H82)&gt;Settings!$B$123,"⚠ STALE — "&amp;(TODAY()-H82)&amp;"d","Current")</f>
        <v>⚠ STALE — 15d</v>
      </c>
    </row>
    <row r="83" ht="15" customHeight="1" s="278">
      <c r="A83" s="296" t="inlineStr">
        <is>
          <t>XLM</t>
        </is>
      </c>
      <c r="B83" s="366" t="inlineStr">
        <is>
          <t>Stellar Lumens</t>
        </is>
      </c>
      <c r="C83" s="500" t="n">
        <v>32.39729258</v>
      </c>
      <c r="D83" s="392" t="n">
        <v>19.11</v>
      </c>
      <c r="E83" s="501">
        <f>IF(C83=0,0,D83/C83)</f>
        <v>0.5898641052</v>
      </c>
      <c r="F83" s="392" t="n">
        <v>-0.34</v>
      </c>
      <c r="G83" s="391" t="inlineStr">
        <is>
          <t>-1.77%</t>
        </is>
      </c>
      <c r="H83" s="386" t="n">
        <v>46245</v>
      </c>
      <c r="I83" s="435" t="str">
        <f>IF((TODAY()-H83)&gt;Settings!$B$123,"⚠ STALE — "&amp;(TODAY()-H83)&amp;"d","Current")</f>
        <v>⚠ STALE — 15d</v>
      </c>
    </row>
    <row r="84" ht="15" customHeight="1" s="278">
      <c r="A84" s="296" t="inlineStr">
        <is>
          <t>LINK</t>
        </is>
      </c>
      <c r="B84" s="366" t="inlineStr">
        <is>
          <t>Chainlink</t>
        </is>
      </c>
      <c r="C84" s="500" t="n">
        <v>0.57117658</v>
      </c>
      <c r="D84" s="392" t="n">
        <v>18.2</v>
      </c>
      <c r="E84" s="501">
        <f>IF(C84=0,0,D84/C84)</f>
        <v>31.8640515688</v>
      </c>
      <c r="F84" s="392" t="n">
        <v>0.79</v>
      </c>
      <c r="G84" s="391" t="inlineStr">
        <is>
          <t>+4.54%</t>
        </is>
      </c>
      <c r="H84" s="386" t="n">
        <v>46245</v>
      </c>
      <c r="I84" s="435" t="str">
        <f>IF((TODAY()-H84)&gt;Settings!$B$123,"⚠ STALE — "&amp;(TODAY()-H84)&amp;"d","Current")</f>
        <v>⚠ STALE — 15d</v>
      </c>
    </row>
    <row r="85" ht="15" customHeight="1" s="278">
      <c r="A85" s="296" t="inlineStr">
        <is>
          <t>ETH</t>
        </is>
      </c>
      <c r="B85" s="366" t="inlineStr">
        <is>
          <t>Ethereum</t>
        </is>
      </c>
      <c r="C85" s="500" t="n">
        <v>0.00256822</v>
      </c>
      <c r="D85" s="392" t="n">
        <v>17.83</v>
      </c>
      <c r="E85" s="501">
        <f>IF(C85=0,0,D85/C85)</f>
        <v>6942.5516505595</v>
      </c>
      <c r="F85" s="392" t="n">
        <v>-0.26</v>
      </c>
      <c r="G85" s="391" t="inlineStr">
        <is>
          <t>-1.43%</t>
        </is>
      </c>
      <c r="H85" s="386" t="n">
        <v>46245</v>
      </c>
      <c r="I85" s="435" t="str">
        <f>IF((TODAY()-H85)&gt;Settings!$B$123,"⚠ STALE — "&amp;(TODAY()-H85)&amp;"d","Current")</f>
        <v>⚠ STALE — 15d</v>
      </c>
    </row>
    <row r="86" ht="15" customHeight="1" s="278">
      <c r="A86" s="296" t="inlineStr">
        <is>
          <t>SOL</t>
        </is>
      </c>
      <c r="B86" s="366" t="inlineStr">
        <is>
          <t>Solana</t>
        </is>
      </c>
      <c r="C86" s="500" t="n">
        <v>0.05376033</v>
      </c>
      <c r="D86" s="392" t="n">
        <v>15.02</v>
      </c>
      <c r="E86" s="501">
        <f>IF(C86=0,0,D86/C86)</f>
        <v>279.3881659581</v>
      </c>
      <c r="F86" s="392" t="n">
        <v>-0.14</v>
      </c>
      <c r="G86" s="391" t="inlineStr">
        <is>
          <t>-0.94%</t>
        </is>
      </c>
      <c r="H86" s="386" t="n">
        <v>46245</v>
      </c>
      <c r="I86" s="435" t="str">
        <f>IF((TODAY()-H86)&gt;Settings!$B$123,"⚠ STALE — "&amp;(TODAY()-H86)&amp;"d","Current")</f>
        <v>⚠ STALE — 15d</v>
      </c>
    </row>
    <row r="87" ht="15" customHeight="1" s="278">
      <c r="A87" s="296" t="inlineStr">
        <is>
          <t>XRP</t>
        </is>
      </c>
      <c r="B87" s="366" t="inlineStr">
        <is>
          <t>XRP</t>
        </is>
      </c>
      <c r="C87" s="500" t="n">
        <v>3.95319546</v>
      </c>
      <c r="D87" s="392" t="n">
        <v>14.63</v>
      </c>
      <c r="E87" s="501">
        <f>IF(C87=0,0,D87/C87)</f>
        <v>3.7008036026</v>
      </c>
      <c r="F87" s="392" t="n">
        <v>-0.37</v>
      </c>
      <c r="G87" s="391" t="inlineStr">
        <is>
          <t>-2.47%</t>
        </is>
      </c>
      <c r="H87" s="386" t="n">
        <v>46245</v>
      </c>
      <c r="I87" s="435" t="str">
        <f>IF((TODAY()-H87)&gt;Settings!$B$123,"⚠ STALE — "&amp;(TODAY()-H87)&amp;"d","Current")</f>
        <v>⚠ STALE — 15d</v>
      </c>
    </row>
    <row r="88" ht="15" customHeight="1" s="278">
      <c r="A88" s="296" t="inlineStr">
        <is>
          <t>AVAX</t>
        </is>
      </c>
      <c r="B88" s="366" t="inlineStr">
        <is>
          <t>Avalanche</t>
        </is>
      </c>
      <c r="C88" s="500" t="n">
        <v>0.52959503</v>
      </c>
      <c r="D88" s="392" t="n">
        <v>12.64</v>
      </c>
      <c r="E88" s="501">
        <f>IF(C88=0,0,D88/C88)</f>
        <v>23.8672934676</v>
      </c>
      <c r="F88" s="392" t="n">
        <v>-0.07000000000000001</v>
      </c>
      <c r="G88" s="391" t="inlineStr">
        <is>
          <t>-0.52%</t>
        </is>
      </c>
      <c r="H88" s="386" t="n">
        <v>46245</v>
      </c>
      <c r="I88" s="435" t="str">
        <f>IF((TODAY()-H88)&gt;Settings!$B$123,"⚠ STALE — "&amp;(TODAY()-H88)&amp;"d","Current")</f>
        <v>⚠ STALE — 15d</v>
      </c>
    </row>
    <row r="89" ht="15" customHeight="1" s="278">
      <c r="A89" s="296" t="inlineStr">
        <is>
          <t>ADA</t>
        </is>
      </c>
      <c r="B89" s="366" t="inlineStr">
        <is>
          <t>Cardano</t>
        </is>
      </c>
      <c r="C89" s="500" t="n">
        <v>16.01726722</v>
      </c>
      <c r="D89" s="392" t="n">
        <v>11.06</v>
      </c>
      <c r="E89" s="501">
        <f>IF(C89=0,0,D89/C89)</f>
        <v>0.6905048063</v>
      </c>
      <c r="F89" s="392" t="n">
        <v>-0.45</v>
      </c>
      <c r="G89" s="391" t="inlineStr">
        <is>
          <t>-3.93%</t>
        </is>
      </c>
      <c r="H89" s="386" t="n">
        <v>46245</v>
      </c>
      <c r="I89" s="435" t="str">
        <f>IF((TODAY()-H89)&gt;Settings!$B$123,"⚠ STALE — "&amp;(TODAY()-H89)&amp;"d","Current")</f>
        <v>⚠ STALE — 15d</v>
      </c>
    </row>
    <row r="90" ht="15" customHeight="1" s="278">
      <c r="A90" s="376" t="inlineStr">
        <is>
          <t>TOTAL</t>
        </is>
      </c>
      <c r="B90" s="377" t="n"/>
      <c r="C90" s="377" t="n"/>
      <c r="D90" s="378">
        <f>SUM(D80:D89)</f>
        <v>191.53</v>
      </c>
      <c r="E90" s="377" t="n"/>
      <c r="F90" s="502">
        <f>SUM(F80:F89)</f>
        <v>-0.57</v>
      </c>
      <c r="G90" s="377" t="n"/>
      <c r="H90" s="377" t="n"/>
      <c r="I90" s="492" t="str">
        <f>IF(COUNTIF(I80:I89,"Current")=10,"All current","Some stale")</f>
        <v>Some stale</v>
      </c>
    </row>
    <row r="92" ht="36.75" customHeight="1" s="278">
      <c r="A92" s="296" t="inlineStr">
        <is>
          <t>App-reported "Est. Total Value"</t>
        </is>
      </c>
      <c r="D92" s="293">
        <f>Settings!$B$57</f>
        <v>191.8</v>
      </c>
      <c r="F92" s="368" t="inlineStr">
        <is>
          <t>This is the figure used everywhere else in the workbook</t>
        </is>
      </c>
      <c r="I92" s="368" t="inlineStr">
        <is>
          <t>This is the figure used everywhere else in the workbook</t>
        </is>
      </c>
    </row>
    <row r="93" ht="15" customHeight="1" s="278">
      <c r="A93" s="380" t="inlineStr">
        <is>
          <t>How to update: each time you check the Binance app, overwrite Value (AED) and Today's PNL for any coin that moved — quantity, implied price and staleness recompute automatically.</t>
        </is>
      </c>
    </row>
    <row r="94" ht="15" customHeight="1" s="278"/>
    <row r="95" ht="15" customHeight="1" s="278">
      <c r="A95" s="342" t="inlineStr">
        <is>
          <t>Largest holdings: TRX and BTC together are 33% of the Binance balance. The rest is spread across eight coins in roughly equal, small amounts — a starter/exploratory allocation, not a concentrated position.</t>
        </is>
      </c>
    </row>
    <row r="96" ht="15" customHeight="1" s="278"/>
    <row r="99" ht="19.5" customHeight="1" s="278">
      <c r="A99" s="382" t="inlineStr">
        <is>
          <t>PORTFOLIO HEALTH CHECK  ·  objective, rules-based flags — not predictions</t>
        </is>
      </c>
      <c r="B99" s="287" t="n"/>
      <c r="C99" s="287" t="n"/>
      <c r="D99" s="287" t="n"/>
      <c r="E99" s="287" t="n"/>
      <c r="F99" s="287" t="n"/>
      <c r="G99" s="287" t="n"/>
      <c r="H99" s="287" t="n"/>
      <c r="I99" s="287" t="n"/>
      <c r="J99" s="287" t="n"/>
      <c r="K99" s="287" t="n"/>
      <c r="L99" s="287" t="n"/>
    </row>
    <row r="100" ht="15" customHeight="1" s="278">
      <c r="A100" s="342" t="inlineStr">
        <is>
          <t>These are risk-management triggers computed from your own thresholds on the Settings sheet. They flag concentration and staleness. They do not predict prices, and they are not buy or sell signals.</t>
        </is>
      </c>
    </row>
    <row r="101" ht="15" customHeight="1" s="278"/>
    <row r="102" ht="27.75" customHeight="1" s="278">
      <c r="A102" s="383" t="inlineStr">
        <is>
          <t>Check</t>
        </is>
      </c>
      <c r="B102" s="383" t="inlineStr">
        <is>
          <t>Current value</t>
        </is>
      </c>
      <c r="C102" s="383" t="inlineStr">
        <is>
          <t>Your limit</t>
        </is>
      </c>
      <c r="D102" s="383" t="inlineStr">
        <is>
          <t>Status</t>
        </is>
      </c>
      <c r="E102" s="383" t="inlineStr">
        <is>
          <t>What it means</t>
        </is>
      </c>
    </row>
    <row r="103" ht="15" customHeight="1" s="278">
      <c r="A103" s="296" t="inlineStr">
        <is>
          <t>Nippon concentration (mutual funds)</t>
        </is>
      </c>
      <c r="B103" s="412">
        <f>B18</f>
        <v>0.9528290683</v>
      </c>
      <c r="C103" s="410">
        <f>Settings!$B$121</f>
        <v>0.6</v>
      </c>
      <c r="D103" s="416" t="str">
        <f>IF($B103&gt;$C103,"OVER LIMIT","Within limit")</f>
        <v>OVER LIMIT</v>
      </c>
      <c r="E103" s="368" t="inlineStr">
        <is>
          <t>Nippon is 6 of your 6 active fund lines. A single fund house failing or underperforming hits nearly all your MF money at once.</t>
        </is>
      </c>
    </row>
    <row r="104" ht="15" customHeight="1" s="278">
      <c r="A104" s="296" t="inlineStr">
        <is>
          <t>Largest Binance coin share</t>
        </is>
      </c>
      <c r="B104" s="412">
        <f>MAX(D80:D89)/D90</f>
        <v>0.218973529</v>
      </c>
      <c r="C104" s="410">
        <f>Settings!$B$122</f>
        <v>0.4</v>
      </c>
      <c r="D104" s="416" t="str">
        <f>IF($B104&gt;$C104,"OVER LIMIT","Within limit")</f>
        <v>Within limit</v>
      </c>
      <c r="E104" s="368" t="inlineStr">
        <is>
          <t>Checks whether one coin dominates the Binance balance. Currently spread thin — not a concern today.</t>
        </is>
      </c>
    </row>
    <row r="105" ht="15" customHeight="1" s="278">
      <c r="A105" s="296" t="inlineStr">
        <is>
          <t>Amana floating loss</t>
        </is>
      </c>
      <c r="B105" s="293">
        <f>C47</f>
        <v>-479.959025</v>
      </c>
      <c r="C105" s="385">
        <f>Settings!$B$124</f>
        <v>-100.0</v>
      </c>
      <c r="D105" s="416" t="str">
        <f>IF($B105&lt;$C105,"REVIEW","Within limit")</f>
        <v>REVIEW</v>
      </c>
      <c r="E105" s="368" t="inlineStr">
        <is>
          <t>Unrealized loss on the 41 open positions. A large negative swing is worth understanding, not necessarily acting on.</t>
        </is>
      </c>
    </row>
    <row r="106" ht="15" customHeight="1" s="278">
      <c r="A106" s="296" t="inlineStr">
        <is>
          <t>Any mutual fund unpriced &gt;7 days</t>
        </is>
      </c>
      <c r="B106" s="415">
        <f>COUNTIF(L6:L11,"Current")</f>
        <v>6.0</v>
      </c>
      <c r="C106" s="415">
        <f>6</f>
        <v>6.0</v>
      </c>
      <c r="D106" s="416" t="str">
        <f>IF($B106=$C106,"Within limit","STALE DATA")</f>
        <v>Within limit</v>
      </c>
      <c r="E106" s="368" t="inlineStr">
        <is>
          <t>If any fund's NAV hasn't been refreshed recently, every total below is out of date.</t>
        </is>
      </c>
    </row>
    <row r="107" ht="15" customHeight="1" s="278">
      <c r="A107" s="296" t="inlineStr">
        <is>
          <t>Any Binance coin unpriced &gt;7 days</t>
        </is>
      </c>
      <c r="B107" s="415">
        <f>COUNTIF(I80:I89,"Current")</f>
        <v>0.0</v>
      </c>
      <c r="C107" s="415">
        <f>10</f>
        <v>10.0</v>
      </c>
      <c r="D107" s="416" t="str">
        <f>IF($B107=$C107,"Within limit","STALE DATA")</f>
        <v>STALE DATA</v>
      </c>
      <c r="E107" s="368" t="inlineStr">
        <is>
          <t>Same check for the Binance holdings.</t>
        </is>
      </c>
    </row>
    <row r="109" ht="15" customHeight="1" s="278">
      <c r="A109" s="503" t="inlineStr">
        <is>
          <t>WHY THERE ARE NO BUY/SELL RECOMMENDATIONS HERE</t>
        </is>
      </c>
    </row>
    <row r="110" ht="63.75" customHeight="1" s="278">
      <c r="A110" s="504" t="inlineStr">
        <is>
          <t>I'm not a licensed financial or investment advisor, and no one — including me — can reliably predict which of these 57 positions will be profitable tomorrow. Daily buy/sell calls on individual stocks or coins, especially while your rent is still short, tend to produce losses and distraction, not solutions. What this sheet gives you instead: real gain/loss the moment you update a price, and objective concentration/staleness flags built on limits you set yourself. If you want a second opinion on a specific position, a licensed advisor who knows your full picture is the right call — I can help you think through the numbers, not tell you what to buy.</t>
        </is>
      </c>
    </row>
    <row r="124" ht="19.5" customHeight="1" s="278">
      <c r="A124" s="382" t="inlineStr">
        <is>
          <t>PATH TO ₹1 CRORE  ·  based on each fund's actual 5-year historical CAGR, Value Research, Aug 2026</t>
        </is>
      </c>
      <c r="B124" s="287" t="n"/>
      <c r="C124" s="287" t="n"/>
      <c r="D124" s="287" t="n"/>
      <c r="E124" s="287" t="n"/>
      <c r="F124" s="287" t="n"/>
      <c r="G124" s="287" t="n"/>
      <c r="H124" s="287" t="n"/>
      <c r="I124" s="287" t="n"/>
      <c r="J124" s="287" t="n"/>
      <c r="K124" s="287" t="n"/>
      <c r="L124" s="287" t="n"/>
    </row>
    <row r="125" ht="15" customHeight="1" s="278">
      <c r="A125" s="430" t="inlineStr">
        <is>
          <t>Past performance is not a guarantee of future returns — this is a projection using each fund's own 5-year track record, not a promise. Markets fluctuate; a bad 2-3 year stretch would push this out materially.</t>
        </is>
      </c>
    </row>
    <row r="126" ht="15" customHeight="1" s="278"/>
    <row r="128" ht="27.75" customHeight="1" s="278">
      <c r="A128" s="383" t="inlineStr">
        <is>
          <t>Fund</t>
        </is>
      </c>
      <c r="B128" s="383" t="inlineStr">
        <is>
          <t>Current value (INR)</t>
        </is>
      </c>
      <c r="C128" s="383" t="inlineStr">
        <is>
          <t>Monthly SIP</t>
        </is>
      </c>
      <c r="D128" s="383" t="inlineStr">
        <is>
          <t>5-yr CAGR (source: Value Research)</t>
        </is>
      </c>
      <c r="E128" s="383" t="inlineStr">
        <is>
          <t>Value in 10 years</t>
        </is>
      </c>
      <c r="F128" s="383" t="inlineStr">
        <is>
          <t>Value in 13.4 years</t>
        </is>
      </c>
    </row>
    <row r="129" ht="15" customHeight="1" s="278">
      <c r="A129" s="296" t="inlineStr">
        <is>
          <t>Nippon Large Cap</t>
        </is>
      </c>
      <c r="B129" s="353" t="n">
        <v>78010.37</v>
      </c>
      <c r="C129" s="353" t="n">
        <v>3000</v>
      </c>
      <c r="D129" s="369" t="n">
        <v>0.1468</v>
      </c>
      <c r="E129" s="505">
        <f>FV(0.01148002,120,-C129,-B129)</f>
        <v>1073747.336910196</v>
      </c>
      <c r="F129" s="505">
        <f>FV(0.01148002,161,-C129,-B129)</f>
        <v>1870513.3610035265</v>
      </c>
    </row>
    <row r="130" ht="15" customHeight="1" s="278">
      <c r="A130" s="296" t="inlineStr">
        <is>
          <t>Nippon Multi Cap</t>
        </is>
      </c>
      <c r="B130" s="353" t="n">
        <v>77061.73</v>
      </c>
      <c r="C130" s="353" t="n">
        <v>3000</v>
      </c>
      <c r="D130" s="369" t="n">
        <v>0.1998</v>
      </c>
      <c r="E130" s="505">
        <f>FV(0.01529537,120,-C130,-B130)</f>
        <v>1492624.838443901</v>
      </c>
      <c r="F130" s="505">
        <f>FV(0.01529537,161,-C130,-B130)</f>
        <v>2950575.995368137</v>
      </c>
    </row>
    <row r="131" ht="15" customHeight="1" s="278">
      <c r="A131" s="296" t="inlineStr">
        <is>
          <t>Nippon Growth Mid Cap</t>
        </is>
      </c>
      <c r="B131" s="353" t="n">
        <v>35303.32</v>
      </c>
      <c r="C131" s="353" t="n">
        <v>3000</v>
      </c>
      <c r="D131" s="369" t="n">
        <v>0.2034</v>
      </c>
      <c r="E131" s="505">
        <f>FV(0.01554889,120,-C131,-B131)</f>
        <v>1260837.9607934048</v>
      </c>
      <c r="F131" s="505">
        <f>FV(0.01554889,161,-C131,-B131)</f>
        <v>2543792.3345804857</v>
      </c>
    </row>
    <row r="132" ht="15" customHeight="1" s="278">
      <c r="A132" s="296" t="inlineStr">
        <is>
          <t>Nippon Small Cap</t>
        </is>
      </c>
      <c r="B132" s="353" t="n">
        <v>39457.56</v>
      </c>
      <c r="C132" s="353" t="n">
        <v>3000</v>
      </c>
      <c r="D132" s="369" t="n">
        <v>0.2</v>
      </c>
      <c r="E132" s="505">
        <f>FV(0.01530947,120,-C132,-B132)</f>
        <v>1261668.5611478556</v>
      </c>
      <c r="F132" s="505">
        <f>FV(0.01530947,161,-C132,-B132)</f>
        <v>2521620.3270019726</v>
      </c>
    </row>
    <row r="133" ht="15" customHeight="1" s="278">
      <c r="A133" s="296" t="inlineStr">
        <is>
          <t>Nippon Silver ETF FoF</t>
        </is>
      </c>
      <c r="B133" s="353" t="n">
        <v>4046.66</v>
      </c>
      <c r="C133" s="353" t="n">
        <v>0</v>
      </c>
      <c r="D133" s="369" t="n">
        <v>0.08</v>
      </c>
      <c r="E133" s="505">
        <f>FV(0.00643403,120,-C133,-B133)</f>
        <v>8736.4353148767</v>
      </c>
      <c r="F133" s="505">
        <f>FV(0.00643403,161,-C133,-B133)</f>
        <v>11364.0227640378</v>
      </c>
    </row>
    <row r="134" ht="15" customHeight="1" s="278">
      <c r="A134" s="296" t="inlineStr">
        <is>
          <t>Motilal Oswal Midcap</t>
        </is>
      </c>
      <c r="B134" s="353" t="n">
        <v>11206.72</v>
      </c>
      <c r="C134" s="353" t="n">
        <v>0</v>
      </c>
      <c r="D134" s="369" t="n">
        <v>0.2381</v>
      </c>
      <c r="E134" s="505">
        <f>FV(0.01795749,120,-C134,-B134)</f>
        <v>94849.617831014</v>
      </c>
      <c r="F134" s="505">
        <f>FV(0.01795749,161,-C134,-B134)</f>
        <v>196766.3889851453</v>
      </c>
    </row>
    <row r="135" ht="15" customHeight="1" s="278">
      <c r="A135" s="376" t="inlineStr">
        <is>
          <t>TOTAL PORTFOLIO</t>
        </is>
      </c>
      <c r="B135" s="506">
        <f>SUM(B129:B134)</f>
        <v>245086.36</v>
      </c>
      <c r="C135" s="506">
        <f>SUM(C129:C134)</f>
        <v>12000.0</v>
      </c>
      <c r="D135" s="377" t="n"/>
      <c r="E135" s="506">
        <f>SUM(E129:E134)</f>
        <v>5192464.7504412485</v>
      </c>
      <c r="F135" s="506">
        <f>SUM(F129:F134)</f>
        <v>10094632.429703306</v>
      </c>
    </row>
    <row r="137" ht="15" customHeight="1" s="278">
      <c r="A137" s="296" t="inlineStr">
        <is>
          <t>TIMELINE TO ₹1 CRORE  (at current SIP of ₹12,000/month, no lump-sum additions)</t>
        </is>
      </c>
      <c r="E137" s="507" t="inlineStr">
        <is>
          <t>~13.4 years</t>
        </is>
      </c>
      <c r="F137" s="508" t="inlineStr">
        <is>
          <t>~Nov 2039</t>
        </is>
      </c>
    </row>
    <row r="139" ht="15" customHeight="1" s="278">
      <c r="A139" s="368" t="inlineStr">
        <is>
          <t>Small/mid-cap funds (Motilal Oswal 23.8%, Nippon Growth Mid Cap 20.3%) are driving most of the growth — but they're also your highest-volatility holdings. A rough patch in small/midcaps would push this timeline out by years, not months.</t>
        </is>
      </c>
    </row>
    <row r="140" ht="15" customHeight="1" s="278"/>
    <row r="141" ht="15" customHeight="1" s="278">
      <c r="A141" s="368" t="inlineStr">
        <is>
          <t>The Silver ETF FoF's SIP is cancelled and its 8% rate is a rough long-term commodity estimate, not fund-specific research — it barely moves the total either way.</t>
        </is>
      </c>
    </row>
    <row r="142" ht="15" customHeight="1" s="278"/>
    <row r="143" ht="15" customHeight="1" s="278">
      <c r="A143" s="368" t="inlineStr">
        <is>
          <t>Increasing the SIP is the single biggest lever you actually control. Adding ₹5,000/month across the four active funds (proportionally) cuts the timeline by roughly 2–2.5 years — recompute below if you want to test that.</t>
        </is>
      </c>
    </row>
    <row r="144" ht="15" customHeight="1" s="278"/>
    <row r="145" ht="15" customHeight="1" s="278">
      <c r="A145" s="368" t="inlineStr">
        <is>
          <t>This entire timeline assumes today's rent crisis is resolved and nothing interrupts the SIP. Right now, given your cash position, even holding the current ₹12,000/month is not guaranteed — see the SIP pause analysis earlier on this sheet.</t>
        </is>
      </c>
    </row>
    <row r="146" ht="15" customHeight="1" s="278"/>
    <row r="149" ht="19.5" customHeight="1" s="278">
      <c r="A149" s="382" t="inlineStr">
        <is>
          <t>WHAT-IF: 10% ANNUAL STEP-UP  ·  the 4 Nippon funds only — Motilal on hold, Silver unchanged</t>
        </is>
      </c>
      <c r="B149" s="287" t="n"/>
      <c r="C149" s="287" t="n"/>
      <c r="D149" s="287" t="n"/>
      <c r="E149" s="287" t="n"/>
      <c r="F149" s="287" t="n"/>
      <c r="G149" s="287" t="n"/>
      <c r="H149" s="287" t="n"/>
      <c r="I149" s="287" t="n"/>
      <c r="J149" s="287" t="n"/>
      <c r="K149" s="287" t="n"/>
      <c r="L149" s="287" t="n"/>
    </row>
    <row r="150" ht="15" customHeight="1" s="278">
      <c r="A150" s="342" t="inlineStr">
        <is>
          <t>SIP rises 10% each year starting next year (year 1 keeps today's ₹3,000/fund; year 2 onward steps up). Motilal Oswal gets no new money while on hold, but its existing balance keeps compounding at its own rate.</t>
        </is>
      </c>
    </row>
    <row r="151" ht="15" customHeight="1" s="278"/>
    <row r="153" ht="15.75" customHeight="1" s="278">
      <c r="A153" s="509" t="inlineStr">
        <is>
          <t>Fund</t>
        </is>
      </c>
      <c r="B153" s="509" t="inlineStr">
        <is>
          <t>Now</t>
        </is>
      </c>
      <c r="C153" s="509" t="inlineStr">
        <is>
          <t>Yr 1</t>
        </is>
      </c>
      <c r="D153" s="509" t="inlineStr">
        <is>
          <t>Yr 2</t>
        </is>
      </c>
      <c r="E153" s="509" t="inlineStr">
        <is>
          <t>Yr 3</t>
        </is>
      </c>
      <c r="F153" s="509" t="inlineStr">
        <is>
          <t>Yr 4</t>
        </is>
      </c>
      <c r="G153" s="509" t="inlineStr">
        <is>
          <t>Yr 5</t>
        </is>
      </c>
      <c r="H153" s="509" t="inlineStr">
        <is>
          <t>Yr 6</t>
        </is>
      </c>
      <c r="I153" s="509" t="inlineStr">
        <is>
          <t>Yr 7</t>
        </is>
      </c>
      <c r="J153" s="509" t="inlineStr">
        <is>
          <t>Yr 8</t>
        </is>
      </c>
      <c r="K153" s="509" t="inlineStr">
        <is>
          <t>Yr 9</t>
        </is>
      </c>
      <c r="L153" s="509" t="inlineStr">
        <is>
          <t>Yr 10</t>
        </is>
      </c>
      <c r="M153" s="509" t="inlineStr">
        <is>
          <t>Yr 11</t>
        </is>
      </c>
      <c r="N153" s="509" t="inlineStr">
        <is>
          <t>Yr 12</t>
        </is>
      </c>
      <c r="O153" s="509" t="inlineStr">
        <is>
          <t>Yr 13</t>
        </is>
      </c>
    </row>
    <row r="154" ht="15" customHeight="1" s="278">
      <c r="A154" s="561" t="inlineStr">
        <is>
          <t>Nippon Large Cap</t>
        </is>
      </c>
      <c r="B154" s="510" t="n">
        <v>78010.37</v>
      </c>
      <c r="C154" s="511">
        <f>FV(0.01148002,12,-(3000*1.1^(1-1)),-B154)</f>
        <v>127824.6103990952</v>
      </c>
      <c r="D154" s="511">
        <f>FV(0.01148002,12,-(3000*1.1^(2-1)),-C154)</f>
        <v>188787.8150258605</v>
      </c>
      <c r="E154" s="511">
        <f>FV(0.01148002,12,-(3000*1.1^(3-1)),-D154)</f>
        <v>262920.2754857702</v>
      </c>
      <c r="F154" s="511">
        <f>FV(0.01148002,12,-(3000*1.1^(4-1)),-E154)</f>
        <v>352577.224599233</v>
      </c>
      <c r="G154" s="511">
        <f>FV(0.01148002,12,-(3000*1.1^(5-1)),-F154)</f>
        <v>460501.8420187712</v>
      </c>
      <c r="H154" s="511">
        <f>FV(0.01148002,12,-(3000*1.1^(6-1)),-G154)</f>
        <v>589886.4246963806</v>
      </c>
      <c r="I154" s="511">
        <f>FV(0.01148002,12,-(3000*1.1^(7-1)),-H154)</f>
        <v>744442.959163766</v>
      </c>
      <c r="J154" s="511">
        <f>FV(0.01148002,12,-(3000*1.1^(8-1)),-I154)</f>
        <v>928484.5180105611</v>
      </c>
      <c r="K154" s="511">
        <f>FV(0.01148002,12,-(3000*1.1^(9-1)),-J154)</f>
        <v>1147019.1159716938</v>
      </c>
      <c r="L154" s="511">
        <f>FV(0.01148002,12,-(3000*1.1^(10-1)),-K154)</f>
        <v>1405857.9057553322</v>
      </c>
      <c r="M154" s="511">
        <f>FV(0.01148002,12,-(3000*1.1^(11-1)),-L154)</f>
        <v>1711739.874852251</v>
      </c>
      <c r="N154" s="511">
        <f>FV(0.01148002,12,-(3000*1.1^(12-1)),-M154)</f>
        <v>2072475.5274543413</v>
      </c>
      <c r="O154" s="511">
        <f>FV(0.01148002,12,-(3000*1.1^(13-1)),-N154)</f>
        <v>2497112.406458334</v>
      </c>
    </row>
    <row r="155" ht="15" customHeight="1" s="278">
      <c r="A155" s="561" t="inlineStr">
        <is>
          <t>Nippon Multi Cap</t>
        </is>
      </c>
      <c r="B155" s="510" t="n">
        <v>77061.73</v>
      </c>
      <c r="C155" s="511">
        <f>FV(0.01529537,12,-(3000*1.1^(1-1)),-B155)</f>
        <v>131647.0013222612</v>
      </c>
      <c r="D155" s="511">
        <f>FV(0.01529537,12,-(3000*1.1^(2-1)),-C155)</f>
        <v>201057.245016246</v>
      </c>
      <c r="E155" s="511">
        <f>FV(0.01529537,12,-(3000*1.1^(3-1)),-D155)</f>
        <v>288646.3743566414</v>
      </c>
      <c r="F155" s="511">
        <f>FV(0.01529537,12,-(3000*1.1^(4-1)),-E155)</f>
        <v>398477.6029255753</v>
      </c>
      <c r="G155" s="511">
        <f>FV(0.01529537,12,-(3000*1.1^(5-1)),-F155)</f>
        <v>535469.0816686836</v>
      </c>
      <c r="H155" s="511">
        <f>FV(0.01529537,12,-(3000*1.1^(6-1)),-G155)</f>
        <v>705569.0261226653</v>
      </c>
      <c r="I155" s="511">
        <f>FV(0.01529537,12,-(3000*1.1^(7-1)),-H155)</f>
        <v>915966.2651398038</v>
      </c>
      <c r="J155" s="511">
        <f>FV(0.01529537,12,-(3000*1.1^(8-1)),-I155)</f>
        <v>1175343.3314327681</v>
      </c>
      <c r="K155" s="511">
        <f>FV(0.01529537,12,-(3000*1.1^(9-1)),-J155)</f>
        <v>1494180.64121454</v>
      </c>
      <c r="L155" s="511">
        <f>FV(0.01529537,12,-(3000*1.1^(10-1)),-K155)</f>
        <v>1885122.0226958664</v>
      </c>
      <c r="M155" s="511">
        <f>FV(0.01529537,12,-(3000*1.1^(11-1)),-L155)</f>
        <v>2363413.908319438</v>
      </c>
      <c r="N155" s="511">
        <f>FV(0.01529537,12,-(3000*1.1^(12-1)),-M155)</f>
        <v>2947432.9718607874</v>
      </c>
      <c r="O155" s="511">
        <f>FV(0.01529537,12,-(3000*1.1^(13-1)),-N155)</f>
        <v>3659319.9511074405</v>
      </c>
    </row>
    <row r="156" ht="15" customHeight="1" s="278">
      <c r="A156" s="561" t="inlineStr">
        <is>
          <t>Nippon Growth Mid Cap</t>
        </is>
      </c>
      <c r="B156" s="510" t="n">
        <v>35303.32</v>
      </c>
      <c r="C156" s="511">
        <f>FV(0.01554889,12,-(3000*1.1^(1-1)),-B156)</f>
        <v>81727.988466319</v>
      </c>
      <c r="D156" s="511">
        <f>FV(0.01554889,12,-(3000*1.1^(2-1)),-C156)</f>
        <v>141519.8345010976</v>
      </c>
      <c r="E156" s="511">
        <f>FV(0.01554889,12,-(3000*1.1^(3-1)),-D156)</f>
        <v>217790.182568045</v>
      </c>
      <c r="F156" s="511">
        <f>FV(0.01554889,12,-(3000*1.1^(4-1)),-E156)</f>
        <v>314322.4446924824</v>
      </c>
      <c r="G156" s="511">
        <f>FV(0.01554889,12,-(3000*1.1^(5-1)),-F156)</f>
        <v>435712.7475105352</v>
      </c>
      <c r="H156" s="511">
        <f>FV(0.01554889,12,-(3000*1.1^(6-1)),-G156)</f>
        <v>587539.5553086416</v>
      </c>
      <c r="I156" s="511">
        <f>FV(0.01554889,12,-(3000*1.1^(7-1)),-H156)</f>
        <v>776568.2260835934</v>
      </c>
      <c r="J156" s="511">
        <f>FV(0.01554889,12,-(3000*1.1^(8-1)),-I156)</f>
        <v>1010997.6491700414</v>
      </c>
      <c r="K156" s="511">
        <f>FV(0.01554889,12,-(3000*1.1^(9-1)),-J156)</f>
        <v>1300757.5713141235</v>
      </c>
      <c r="L156" s="511">
        <f>FV(0.01554889,12,-(3000*1.1^(10-1)),-K156)</f>
        <v>1657866.9734600575</v>
      </c>
      <c r="M156" s="511">
        <f>FV(0.01554889,12,-(3000*1.1^(11-1)),-L156)</f>
        <v>2096865.9734256316</v>
      </c>
      <c r="N156" s="511">
        <f>FV(0.01554889,12,-(3000*1.1^(12-1)),-M156)</f>
        <v>2635336.272839807</v>
      </c>
      <c r="O156" s="511">
        <f>FV(0.01554889,12,-(3000*1.1^(13-1)),-N156)</f>
        <v>3294528.227773973</v>
      </c>
    </row>
    <row r="157" ht="15" customHeight="1" s="278">
      <c r="A157" s="561" t="inlineStr">
        <is>
          <t>Nippon Small Cap</t>
        </is>
      </c>
      <c r="B157" s="510" t="n">
        <v>39457.56</v>
      </c>
      <c r="C157" s="511">
        <f>FV(0.01530947,12,-(3000*1.1^(1-1)),-B157)</f>
        <v>86540.4989047646</v>
      </c>
      <c r="D157" s="511">
        <f>FV(0.01530947,12,-(3000*1.1^(2-1)),-C157)</f>
        <v>146959.1679752186</v>
      </c>
      <c r="E157" s="511">
        <f>FV(0.01530947,12,-(3000*1.1^(3-1)),-D157)</f>
        <v>223772.6274218254</v>
      </c>
      <c r="F157" s="511">
        <f>FV(0.01530947,12,-(3000*1.1^(4-1)),-E157)</f>
        <v>320690.9409026443</v>
      </c>
      <c r="G157" s="511">
        <f>FV(0.01530947,12,-(3000*1.1^(5-1)),-F157)</f>
        <v>442209.2953509536</v>
      </c>
      <c r="H157" s="511">
        <f>FV(0.01530947,12,-(3000*1.1^(6-1)),-G157)</f>
        <v>593769.3366817205</v>
      </c>
      <c r="I157" s="511">
        <f>FV(0.01530947,12,-(3000*1.1^(7-1)),-H157)</f>
        <v>781953.2037439193</v>
      </c>
      <c r="J157" s="511">
        <f>FV(0.01530947,12,-(3000*1.1^(8-1)),-I157)</f>
        <v>1014716.8432782086</v>
      </c>
      <c r="K157" s="511">
        <f>FV(0.01530947,12,-(3000*1.1^(9-1)),-J157)</f>
        <v>1301670.5095023846</v>
      </c>
      <c r="L157" s="511">
        <f>FV(0.01530947,12,-(3000*1.1^(10-1)),-K157)</f>
        <v>1654415.9374136233</v>
      </c>
      <c r="M157" s="511">
        <f>FV(0.01530947,12,-(3000*1.1^(11-1)),-L157)</f>
        <v>2086951.5819306348</v>
      </c>
      <c r="N157" s="511">
        <f>FV(0.01530947,12,-(3000*1.1^(12-1)),-M157)</f>
        <v>2616159.5991614154</v>
      </c>
      <c r="O157" s="511">
        <f>FV(0.01530947,12,-(3000*1.1^(13-1)),-N157)</f>
        <v>3262390.987651144</v>
      </c>
    </row>
    <row r="158" ht="15" customHeight="1" s="278">
      <c r="A158" s="561" t="inlineStr">
        <is>
          <t>Motilal Oswal Midcap</t>
        </is>
      </c>
      <c r="B158" s="510" t="n">
        <v>11206.72</v>
      </c>
      <c r="C158" s="511">
        <f>FV(0.01795749,12,-(0),-B158)</f>
        <v>13875.03948305</v>
      </c>
      <c r="D158" s="511">
        <f>FV(0.01795749,12,-(0),-C158)</f>
        <v>17178.6857043092</v>
      </c>
      <c r="E158" s="511">
        <f>FV(0.01795749,12,-(0),-D158)</f>
        <v>21268.9299290244</v>
      </c>
      <c r="F158" s="511">
        <f>FV(0.01795749,12,-(0),-E158)</f>
        <v>26333.0611032878</v>
      </c>
      <c r="G158" s="511">
        <f>FV(0.01795749,12,-(0),-F158)</f>
        <v>32602.9616620819</v>
      </c>
      <c r="H158" s="511">
        <f>FV(0.01795749,12,-(0),-G158)</f>
        <v>40365.7252368</v>
      </c>
      <c r="I158" s="511">
        <f>FV(0.01795749,12,-(0),-H158)</f>
        <v>49976.8024384072</v>
      </c>
      <c r="J158" s="511">
        <f>FV(0.01795749,12,-(0),-I158)</f>
        <v>61876.2766509281</v>
      </c>
      <c r="K158" s="511">
        <f>FV(0.01795749,12,-(0),-J158)</f>
        <v>76609.0150905663</v>
      </c>
      <c r="L158" s="511">
        <f>FV(0.01795749,12,-(0),-K158)</f>
        <v>94849.6178310139</v>
      </c>
      <c r="M158" s="511">
        <f>FV(0.01795749,12,-(0),-L158)</f>
        <v>117433.3071904643</v>
      </c>
      <c r="N158" s="511">
        <f>FV(0.01795749,12,-(0),-M158)</f>
        <v>145394.1718801603</v>
      </c>
      <c r="O158" s="511">
        <f>FV(0.01795749,12,-(0),-N158)</f>
        <v>180012.5170828379</v>
      </c>
    </row>
    <row r="159" ht="15" customHeight="1" s="278">
      <c r="A159" s="561" t="inlineStr">
        <is>
          <t>Nippon Silver ETF FoF</t>
        </is>
      </c>
      <c r="B159" s="510" t="n">
        <v>4046.66</v>
      </c>
      <c r="C159" s="511">
        <f>FV(0.00643403,12,-(0),-B159)</f>
        <v>4370.3927942678</v>
      </c>
      <c r="D159" s="511">
        <f>FV(0.00643403,12,-(0),-C159)</f>
        <v>4720.0242116184</v>
      </c>
      <c r="E159" s="511">
        <f>FV(0.00643403,12,-(0),-D159)</f>
        <v>5097.6261418618</v>
      </c>
      <c r="F159" s="511">
        <f>FV(0.00643403,12,-(0),-E159)</f>
        <v>5505.4362259898</v>
      </c>
      <c r="G159" s="511">
        <f>FV(0.00643403,12,-(0),-F159)</f>
        <v>5945.8711162704</v>
      </c>
      <c r="H159" s="511">
        <f>FV(0.00643403,12,-(0),-G159)</f>
        <v>6421.5407971495</v>
      </c>
      <c r="I159" s="511">
        <f>FV(0.00643403,12,-(0),-H159)</f>
        <v>6935.2640518252</v>
      </c>
      <c r="J159" s="511">
        <f>FV(0.00643403,12,-(0),-I159)</f>
        <v>7490.0851661472</v>
      </c>
      <c r="K159" s="511">
        <f>FV(0.00643403,12,-(0),-J159)</f>
        <v>8089.2919688291</v>
      </c>
      <c r="L159" s="511">
        <f>FV(0.00643403,12,-(0),-K159)</f>
        <v>8736.4353148767</v>
      </c>
      <c r="M159" s="511">
        <f>FV(0.00643403,12,-(0),-L159)</f>
        <v>9435.3501276914</v>
      </c>
      <c r="N159" s="511">
        <f>FV(0.00643403,12,-(0),-M159)</f>
        <v>10190.1781245412</v>
      </c>
      <c r="O159" s="511">
        <f>FV(0.00643403,12,-(0),-N159)</f>
        <v>11005.3923600698</v>
      </c>
    </row>
    <row r="160" ht="15" customHeight="1" s="278">
      <c r="A160" s="496" t="inlineStr">
        <is>
          <t>TOTAL (step-up scenario)</t>
        </is>
      </c>
      <c r="B160" s="512">
        <f>SUM(B154:B159)</f>
        <v>245086.36</v>
      </c>
      <c r="C160" s="513">
        <f>SUM(C154:C159)</f>
        <v>445985.5313697578</v>
      </c>
      <c r="D160" s="513">
        <f>SUM(D154:D159)</f>
        <v>700222.7724343505</v>
      </c>
      <c r="E160" s="513">
        <f>SUM(E154:E159)</f>
        <v>1019496.0159031682</v>
      </c>
      <c r="F160" s="513">
        <f>SUM(F154:F159)</f>
        <v>1417906.7104492127</v>
      </c>
      <c r="G160" s="513">
        <f>SUM(G154:G159)</f>
        <v>1912441.7993272957</v>
      </c>
      <c r="H160" s="513">
        <f>SUM(H154:H159)</f>
        <v>2523551.608843358</v>
      </c>
      <c r="I160" s="513">
        <f>SUM(I154:I159)</f>
        <v>3275842.720621315</v>
      </c>
      <c r="J160" s="513">
        <f>SUM(J154:J159)</f>
        <v>4198908.703708655</v>
      </c>
      <c r="K160" s="513">
        <f>SUM(K154:K159)</f>
        <v>5328326.145062137</v>
      </c>
      <c r="L160" s="513">
        <f>SUM(L154:L159)</f>
        <v>6706848.8924707705</v>
      </c>
      <c r="M160" s="513">
        <f>SUM(M154:M159)</f>
        <v>8385839.99584611</v>
      </c>
      <c r="N160" s="513">
        <f>SUM(N154:N159)</f>
        <v>10426988.721321052</v>
      </c>
      <c r="O160" s="513">
        <f>SUM(O154:O159)</f>
        <v>12904369.4824338</v>
      </c>
    </row>
    <row r="161" ht="15" customHeight="1" s="278">
      <c r="A161" s="296" t="inlineStr">
        <is>
          <t>TOTAL (flat SIP, no step-up)</t>
        </is>
      </c>
      <c r="B161" s="510" t="n">
        <v>245086</v>
      </c>
      <c r="C161" s="514">
        <f>FV(0.01148002,12,-3000,-78010.37)+FV(0.01529537,12,-3000,-77061.73)+FV(0.01554889,12,-3000,-35303.32)+FV(0.01530947,12,-3000,-39457.56)+FV(0.01795749,12,-0,-11206.72)+FV(0.00643403,12,-0,-4046.66)</f>
        <v>445985.5313697578</v>
      </c>
      <c r="D161" s="514">
        <f>FV(0.01148002,24,-3000,-78010.37)+FV(0.01529537,24,-3000,-77061.73)+FV(0.01554889,24,-3000,-35303.32)+FV(0.01530947,24,-3000,-39457.56)+FV(0.01795749,24,-0,-11206.72)+FV(0.00643403,24,-0,-4046.66)</f>
        <v>684624.1676312931</v>
      </c>
      <c r="E161" s="514">
        <f>FV(0.01148002,36,-3000,-78010.37)+FV(0.01529537,36,-3000,-77061.73)+FV(0.01554889,36,-3000,-35303.32)+FV(0.01530947,36,-3000,-39457.56)+FV(0.01795749,36,-0,-11206.72)+FV(0.00643403,36,-0,-4046.66)</f>
        <v>968212.1478722652</v>
      </c>
      <c r="F161" s="514">
        <f>FV(0.01148002,48,-3000,-78010.37)+FV(0.01529537,48,-3000,-77061.73)+FV(0.01554889,48,-3000,-35303.32)+FV(0.01530947,48,-3000,-39457.56)+FV(0.01795749,48,-0,-11206.72)+FV(0.00643403,48,-0,-4046.66)</f>
        <v>1305355.825755956</v>
      </c>
      <c r="G161" s="514">
        <f>FV(0.01148002,60,-3000,-78010.37)+FV(0.01529537,60,-3000,-77061.73)+FV(0.01554889,60,-3000,-35303.32)+FV(0.01530947,60,-3000,-39457.56)+FV(0.01795749,60,-0,-11206.72)+FV(0.00643403,60,-0,-4046.66)</f>
        <v>1706331.5341846533</v>
      </c>
      <c r="H161" s="514">
        <f>FV(0.01148002,72,-3000,-78010.37)+FV(0.01529537,72,-3000,-77061.73)+FV(0.01554889,72,-3000,-35303.32)+FV(0.01530947,72,-3000,-39457.56)+FV(0.01795749,72,-0,-11206.72)+FV(0.00643403,72,-0,-4046.66)</f>
        <v>2183413.138069589</v>
      </c>
      <c r="I161" s="514">
        <f>FV(0.01148002,84,-3000,-78010.37)+FV(0.01529537,84,-3000,-77061.73)+FV(0.01554889,84,-3000,-35303.32)+FV(0.01530947,84,-3000,-39457.56)+FV(0.01795749,84,-0,-11206.72)+FV(0.00643403,84,-0,-4046.66)</f>
        <v>2751264.393301028</v>
      </c>
      <c r="J161" s="514">
        <f>FV(0.01148002,96,-3000,-78010.37)+FV(0.01529537,96,-3000,-77061.73)+FV(0.01554889,96,-3000,-35303.32)+FV(0.01530947,96,-3000,-39457.56)+FV(0.01795749,96,-0,-11206.72)+FV(0.00643403,96,-0,-4046.66)</f>
        <v>3427409.024103994</v>
      </c>
      <c r="K161" s="514">
        <f>FV(0.01148002,108,-3000,-78010.37)+FV(0.01529537,108,-3000,-77061.73)+FV(0.01554889,108,-3000,-35303.32)+FV(0.01530947,108,-3000,-39457.56)+FV(0.01795749,108,-0,-11206.72)+FV(0.00643403,108,-0,-4046.66)</f>
        <v>4232794.018526121</v>
      </c>
      <c r="L161" s="514">
        <f>FV(0.01148002,120,-3000,-78010.37)+FV(0.01529537,120,-3000,-77061.73)+FV(0.01554889,120,-3000,-35303.32)+FV(0.01530947,120,-3000,-39457.56)+FV(0.01795749,120,-0,-11206.72)+FV(0.00643403,120,-0,-4046.66)</f>
        <v>5192464.7504412485</v>
      </c>
      <c r="M161" s="514">
        <f>FV(0.01148002,132,-3000,-78010.37)+FV(0.01529537,132,-3000,-77061.73)+FV(0.01554889,132,-3000,-35303.32)+FV(0.01530947,132,-3000,-39457.56)+FV(0.01795749,132,-0,-11206.72)+FV(0.00643403,132,-0,-4046.66)</f>
        <v>6336374.271548709</v>
      </c>
      <c r="N161" s="514">
        <f>FV(0.01148002,144,-3000,-78010.37)+FV(0.01529537,144,-3000,-77061.73)+FV(0.01554889,144,-3000,-35303.32)+FV(0.01530947,144,-3000,-39457.56)+FV(0.01795749,144,-0,-11206.72)+FV(0.00643403,144,-0,-4046.66)</f>
        <v>7700353.605183287</v>
      </c>
      <c r="O161" s="514">
        <f>FV(0.01148002,156,-3000,-78010.37)+FV(0.01529537,156,-3000,-77061.73)+FV(0.01554889,156,-3000,-35303.32)+FV(0.01530947,156,-3000,-39457.56)+FV(0.01795749,156,-0,-11206.72)+FV(0.00643403,156,-0,-4046.66)</f>
        <v>9327275.267861139</v>
      </c>
    </row>
    <row r="162" ht="15" customHeight="1" s="278">
      <c r="A162" s="515" t="inlineStr">
        <is>
          <t>Step-up advantage</t>
        </is>
      </c>
      <c r="C162" s="516">
        <f>C160-C161</f>
        <v>0.0</v>
      </c>
      <c r="D162" s="516">
        <f>D160-D161</f>
        <v>15598.6048030574</v>
      </c>
      <c r="E162" s="516">
        <f>E160-E161</f>
        <v>51283.868030903</v>
      </c>
      <c r="F162" s="516">
        <f>F160-F161</f>
        <v>112550.8846932568</v>
      </c>
      <c r="G162" s="516">
        <f>G160-G161</f>
        <v>206110.2651426424</v>
      </c>
      <c r="H162" s="516">
        <f>H160-H161</f>
        <v>340138.4707737686</v>
      </c>
      <c r="I162" s="516">
        <f>I160-I161</f>
        <v>524578.327320287</v>
      </c>
      <c r="J162" s="516">
        <f>J160-J161</f>
        <v>771499.6796046612</v>
      </c>
      <c r="K162" s="516">
        <f>K160-K161</f>
        <v>1095532.1265360164</v>
      </c>
      <c r="L162" s="516">
        <f>L160-L161</f>
        <v>1514384.142029522</v>
      </c>
      <c r="M162" s="516">
        <f>M160-M161</f>
        <v>2049465.7242974015</v>
      </c>
      <c r="N162" s="516">
        <f>N160-N161</f>
        <v>2726635.1161377653</v>
      </c>
      <c r="O162" s="516">
        <f>O160-O161</f>
        <v>3577094.2145726606</v>
      </c>
    </row>
    <row r="164" ht="15" customHeight="1" s="278">
      <c r="A164" s="473" t="inlineStr">
        <is>
          <t>1 crore reached: ~11.8 years with the step-up, vs ~13.4 years flat, about 19 months sooner. The step-up costs real money though: by year 5 the combined SIP is INR 17,569 a month instead of 12,000.</t>
        </is>
      </c>
    </row>
    <row r="165" ht="15" customHeight="1" s="278"/>
    <row r="168" ht="19.5" customHeight="1" s="278">
      <c r="A168" s="382" t="inlineStr">
        <is>
          <t>WHAT-IF: STEP-UP + MOTILAL RESTARTED AT ₹6,000/MONTH FOR 5 YEARS</t>
        </is>
      </c>
      <c r="B168" s="287" t="n"/>
      <c r="C168" s="287" t="n"/>
      <c r="D168" s="287" t="n"/>
      <c r="E168" s="287" t="n"/>
      <c r="F168" s="287" t="n"/>
      <c r="G168" s="287" t="n"/>
      <c r="H168" s="287" t="n"/>
      <c r="I168" s="287" t="n"/>
      <c r="J168" s="287" t="n"/>
      <c r="K168" s="287" t="n"/>
      <c r="L168" s="287" t="n"/>
    </row>
    <row r="169" ht="15" customHeight="1" s="278">
      <c r="A169" s="342" t="inlineStr">
        <is>
          <t>4 Nippon funds keep the 10% annual step-up. Motilal Oswal restarts at ₹6,000/month, running for exactly 5 years (60 months), then stops — balance keeps compounding after that with no new money, same as it does today while on hold.</t>
        </is>
      </c>
    </row>
    <row r="170" ht="15" customHeight="1" s="278"/>
    <row r="172" ht="15.75" customHeight="1" s="278">
      <c r="A172" s="509" t="inlineStr">
        <is>
          <t>Fund</t>
        </is>
      </c>
      <c r="B172" s="509" t="inlineStr">
        <is>
          <t>Now</t>
        </is>
      </c>
      <c r="C172" s="509" t="inlineStr">
        <is>
          <t>Yr 1</t>
        </is>
      </c>
      <c r="D172" s="509" t="inlineStr">
        <is>
          <t>Yr 2</t>
        </is>
      </c>
      <c r="E172" s="509" t="inlineStr">
        <is>
          <t>Yr 3</t>
        </is>
      </c>
      <c r="F172" s="509" t="inlineStr">
        <is>
          <t>Yr 4</t>
        </is>
      </c>
      <c r="G172" s="509" t="inlineStr">
        <is>
          <t>Yr 5</t>
        </is>
      </c>
      <c r="H172" s="509" t="inlineStr">
        <is>
          <t>Yr 6</t>
        </is>
      </c>
      <c r="I172" s="509" t="inlineStr">
        <is>
          <t>Yr 7</t>
        </is>
      </c>
      <c r="J172" s="509" t="inlineStr">
        <is>
          <t>Yr 8</t>
        </is>
      </c>
      <c r="K172" s="509" t="inlineStr">
        <is>
          <t>Yr 9</t>
        </is>
      </c>
      <c r="L172" s="509" t="inlineStr">
        <is>
          <t>Yr 10</t>
        </is>
      </c>
      <c r="M172" s="509" t="inlineStr">
        <is>
          <t>Yr 11</t>
        </is>
      </c>
    </row>
    <row r="173" ht="15" customHeight="1" s="278">
      <c r="A173" s="561" t="inlineStr">
        <is>
          <t>Nippon Large Cap</t>
        </is>
      </c>
      <c r="B173" s="510" t="n">
        <v>78010.37</v>
      </c>
      <c r="C173" s="511">
        <f>FV(0.01148002,12,-(3000*1.1^(1-1)),-B173)</f>
        <v>127824.6103990952</v>
      </c>
      <c r="D173" s="511">
        <f>FV(0.01148002,12,-(3000*1.1^(2-1)),-C173)</f>
        <v>188787.8150258605</v>
      </c>
      <c r="E173" s="511">
        <f>FV(0.01148002,12,-(3000*1.1^(3-1)),-D173)</f>
        <v>262920.2754857702</v>
      </c>
      <c r="F173" s="511">
        <f>FV(0.01148002,12,-(3000*1.1^(4-1)),-E173)</f>
        <v>352577.224599233</v>
      </c>
      <c r="G173" s="511">
        <f>FV(0.01148002,12,-(3000*1.1^(5-1)),-F173)</f>
        <v>460501.8420187712</v>
      </c>
      <c r="H173" s="511">
        <f>FV(0.01148002,12,-(3000*1.1^(6-1)),-G173)</f>
        <v>589886.4246963806</v>
      </c>
      <c r="I173" s="511">
        <f>FV(0.01148002,12,-(3000*1.1^(7-1)),-H173)</f>
        <v>744442.959163766</v>
      </c>
      <c r="J173" s="511">
        <f>FV(0.01148002,12,-(3000*1.1^(8-1)),-I173)</f>
        <v>928484.5180105611</v>
      </c>
      <c r="K173" s="511">
        <f>FV(0.01148002,12,-(3000*1.1^(9-1)),-J173)</f>
        <v>1147019.1159716938</v>
      </c>
      <c r="L173" s="511">
        <f>FV(0.01148002,12,-(3000*1.1^(10-1)),-K173)</f>
        <v>1405857.9057553322</v>
      </c>
      <c r="M173" s="511">
        <f>FV(0.01148002,12,-(3000*1.1^(11-1)),-L173)</f>
        <v>1711739.874852251</v>
      </c>
    </row>
    <row r="174" ht="15" customHeight="1" s="278">
      <c r="A174" s="561" t="inlineStr">
        <is>
          <t>Nippon Multi Cap</t>
        </is>
      </c>
      <c r="B174" s="510" t="n">
        <v>77061.73</v>
      </c>
      <c r="C174" s="511">
        <f>FV(0.01529537,12,-(3000*1.1^(1-1)),-B174)</f>
        <v>131647.0013222612</v>
      </c>
      <c r="D174" s="511">
        <f>FV(0.01529537,12,-(3000*1.1^(2-1)),-C174)</f>
        <v>201057.245016246</v>
      </c>
      <c r="E174" s="511">
        <f>FV(0.01529537,12,-(3000*1.1^(3-1)),-D174)</f>
        <v>288646.3743566414</v>
      </c>
      <c r="F174" s="511">
        <f>FV(0.01529537,12,-(3000*1.1^(4-1)),-E174)</f>
        <v>398477.6029255753</v>
      </c>
      <c r="G174" s="511">
        <f>FV(0.01529537,12,-(3000*1.1^(5-1)),-F174)</f>
        <v>535469.0816686836</v>
      </c>
      <c r="H174" s="511">
        <f>FV(0.01529537,12,-(3000*1.1^(6-1)),-G174)</f>
        <v>705569.0261226653</v>
      </c>
      <c r="I174" s="511">
        <f>FV(0.01529537,12,-(3000*1.1^(7-1)),-H174)</f>
        <v>915966.2651398038</v>
      </c>
      <c r="J174" s="511">
        <f>FV(0.01529537,12,-(3000*1.1^(8-1)),-I174)</f>
        <v>1175343.3314327681</v>
      </c>
      <c r="K174" s="511">
        <f>FV(0.01529537,12,-(3000*1.1^(9-1)),-J174)</f>
        <v>1494180.64121454</v>
      </c>
      <c r="L174" s="511">
        <f>FV(0.01529537,12,-(3000*1.1^(10-1)),-K174)</f>
        <v>1885122.0226958664</v>
      </c>
      <c r="M174" s="511">
        <f>FV(0.01529537,12,-(3000*1.1^(11-1)),-L174)</f>
        <v>2363413.908319438</v>
      </c>
    </row>
    <row r="175" ht="15" customHeight="1" s="278">
      <c r="A175" s="561" t="inlineStr">
        <is>
          <t>Nippon Growth Mid Cap</t>
        </is>
      </c>
      <c r="B175" s="510" t="n">
        <v>35303.32</v>
      </c>
      <c r="C175" s="511">
        <f>FV(0.01554889,12,-(3000*1.1^(1-1)),-B175)</f>
        <v>81727.988466319</v>
      </c>
      <c r="D175" s="511">
        <f>FV(0.01554889,12,-(3000*1.1^(2-1)),-C175)</f>
        <v>141519.8345010976</v>
      </c>
      <c r="E175" s="511">
        <f>FV(0.01554889,12,-(3000*1.1^(3-1)),-D175)</f>
        <v>217790.182568045</v>
      </c>
      <c r="F175" s="511">
        <f>FV(0.01554889,12,-(3000*1.1^(4-1)),-E175)</f>
        <v>314322.4446924824</v>
      </c>
      <c r="G175" s="511">
        <f>FV(0.01554889,12,-(3000*1.1^(5-1)),-F175)</f>
        <v>435712.7475105352</v>
      </c>
      <c r="H175" s="511">
        <f>FV(0.01554889,12,-(3000*1.1^(6-1)),-G175)</f>
        <v>587539.5553086416</v>
      </c>
      <c r="I175" s="511">
        <f>FV(0.01554889,12,-(3000*1.1^(7-1)),-H175)</f>
        <v>776568.2260835934</v>
      </c>
      <c r="J175" s="511">
        <f>FV(0.01554889,12,-(3000*1.1^(8-1)),-I175)</f>
        <v>1010997.6491700414</v>
      </c>
      <c r="K175" s="511">
        <f>FV(0.01554889,12,-(3000*1.1^(9-1)),-J175)</f>
        <v>1300757.5713141235</v>
      </c>
      <c r="L175" s="511">
        <f>FV(0.01554889,12,-(3000*1.1^(10-1)),-K175)</f>
        <v>1657866.9734600575</v>
      </c>
      <c r="M175" s="511">
        <f>FV(0.01554889,12,-(3000*1.1^(11-1)),-L175)</f>
        <v>2096865.9734256316</v>
      </c>
    </row>
    <row r="176" ht="15" customHeight="1" s="278">
      <c r="A176" s="561" t="inlineStr">
        <is>
          <t>Nippon Small Cap</t>
        </is>
      </c>
      <c r="B176" s="510" t="n">
        <v>39457.56</v>
      </c>
      <c r="C176" s="511">
        <f>FV(0.01530947,12,-(3000*1.1^(1-1)),-B176)</f>
        <v>86540.4989047646</v>
      </c>
      <c r="D176" s="511">
        <f>FV(0.01530947,12,-(3000*1.1^(2-1)),-C176)</f>
        <v>146959.1679752186</v>
      </c>
      <c r="E176" s="511">
        <f>FV(0.01530947,12,-(3000*1.1^(3-1)),-D176)</f>
        <v>223772.6274218254</v>
      </c>
      <c r="F176" s="511">
        <f>FV(0.01530947,12,-(3000*1.1^(4-1)),-E176)</f>
        <v>320690.9409026443</v>
      </c>
      <c r="G176" s="511">
        <f>FV(0.01530947,12,-(3000*1.1^(5-1)),-F176)</f>
        <v>442209.2953509536</v>
      </c>
      <c r="H176" s="511">
        <f>FV(0.01530947,12,-(3000*1.1^(6-1)),-G176)</f>
        <v>593769.3366817205</v>
      </c>
      <c r="I176" s="511">
        <f>FV(0.01530947,12,-(3000*1.1^(7-1)),-H176)</f>
        <v>781953.2037439193</v>
      </c>
      <c r="J176" s="511">
        <f>FV(0.01530947,12,-(3000*1.1^(8-1)),-I176)</f>
        <v>1014716.8432782086</v>
      </c>
      <c r="K176" s="511">
        <f>FV(0.01530947,12,-(3000*1.1^(9-1)),-J176)</f>
        <v>1301670.5095023846</v>
      </c>
      <c r="L176" s="511">
        <f>FV(0.01530947,12,-(3000*1.1^(10-1)),-K176)</f>
        <v>1654415.9374136233</v>
      </c>
      <c r="M176" s="511">
        <f>FV(0.01530947,12,-(3000*1.1^(11-1)),-L176)</f>
        <v>2086951.5819306348</v>
      </c>
    </row>
    <row r="177" ht="15" customHeight="1" s="278">
      <c r="A177" s="561" t="inlineStr">
        <is>
          <t>Motilal Oswal Midcap (restarted ₹6,000/mo, 5yr)</t>
        </is>
      </c>
      <c r="B177" s="510" t="n">
        <v>11206.72</v>
      </c>
      <c r="C177" s="511">
        <f>FV(0.01795749,12,-6000,-B177)</f>
        <v>93429.5711072346</v>
      </c>
      <c r="D177" s="511">
        <f>FV(0.01795749,12,-6000,-C177)</f>
        <v>195229.6790354973</v>
      </c>
      <c r="E177" s="511">
        <f>FV(0.01795749,12,-6000,-D177)</f>
        <v>321268.3876749026</v>
      </c>
      <c r="F177" s="511">
        <f>FV(0.01795749,12,-6000,-E177)</f>
        <v>477316.9066674697</v>
      </c>
      <c r="G177" s="511">
        <f>FV(0.01795749,12,-6000,-F177)</f>
        <v>670520.5703882857</v>
      </c>
      <c r="H177" s="511">
        <f>FV(0.01795749,12,-0,-G177)</f>
        <v>830171.4853529545</v>
      </c>
      <c r="I177" s="511">
        <f>FV(0.01795749,12,-0,-H177)</f>
        <v>1027835.27535037</v>
      </c>
      <c r="J177" s="511">
        <f>FV(0.01795749,12,-0,-I177)</f>
        <v>1272562.8040638063</v>
      </c>
      <c r="K177" s="511">
        <f>FV(0.01795749,12,-0,-J177)</f>
        <v>1575559.9453761778</v>
      </c>
      <c r="L177" s="511">
        <f>FV(0.01795749,12,-0,-K177)</f>
        <v>1950700.6911930118</v>
      </c>
      <c r="M177" s="511">
        <f>FV(0.01795749,12,-0,-L177)</f>
        <v>2415162.430212938</v>
      </c>
    </row>
    <row r="178" ht="15" customHeight="1" s="278">
      <c r="A178" s="561" t="inlineStr">
        <is>
          <t>Nippon Silver ETF FoF</t>
        </is>
      </c>
      <c r="B178" s="510" t="n">
        <v>4046.66</v>
      </c>
      <c r="C178" s="511">
        <f>FV(0.00643403,12,0,-B178)</f>
        <v>4370.3927942678</v>
      </c>
      <c r="D178" s="511">
        <f>FV(0.00643403,12,0,-C178)</f>
        <v>4720.0242116184</v>
      </c>
      <c r="E178" s="511">
        <f>FV(0.00643403,12,0,-D178)</f>
        <v>5097.6261418618</v>
      </c>
      <c r="F178" s="511">
        <f>FV(0.00643403,12,0,-E178)</f>
        <v>5505.4362259898</v>
      </c>
      <c r="G178" s="511">
        <f>FV(0.00643403,12,0,-F178)</f>
        <v>5945.8711162704</v>
      </c>
      <c r="H178" s="511">
        <f>FV(0.00643403,12,0,-G178)</f>
        <v>6421.5407971495</v>
      </c>
      <c r="I178" s="511">
        <f>FV(0.00643403,12,0,-H178)</f>
        <v>6935.2640518252</v>
      </c>
      <c r="J178" s="511">
        <f>FV(0.00643403,12,0,-I178)</f>
        <v>7490.0851661472</v>
      </c>
      <c r="K178" s="511">
        <f>FV(0.00643403,12,0,-J178)</f>
        <v>8089.2919688291</v>
      </c>
      <c r="L178" s="511">
        <f>FV(0.00643403,12,0,-K178)</f>
        <v>8736.4353148767</v>
      </c>
      <c r="M178" s="511">
        <f>FV(0.00643403,12,0,-L178)</f>
        <v>9435.3501276914</v>
      </c>
    </row>
    <row r="179" ht="15" customHeight="1" s="278">
      <c r="A179" s="496" t="inlineStr">
        <is>
          <t>TOTAL (step-up + Motilal 6k/5yr)</t>
        </is>
      </c>
      <c r="B179" s="512">
        <f>SUM(B173:B178)</f>
        <v>245086.36</v>
      </c>
      <c r="C179" s="513">
        <f>SUM(C173:C178)</f>
        <v>525540.0629939424</v>
      </c>
      <c r="D179" s="513">
        <f>SUM(D173:D178)</f>
        <v>878273.7657655386</v>
      </c>
      <c r="E179" s="513">
        <f>SUM(E173:E178)</f>
        <v>1319495.4736490464</v>
      </c>
      <c r="F179" s="513">
        <f>SUM(F173:F178)</f>
        <v>1868890.5560133946</v>
      </c>
      <c r="G179" s="513">
        <f>SUM(G173:G178)</f>
        <v>2550359.4080534996</v>
      </c>
      <c r="H179" s="513">
        <f>SUM(H173:H178)</f>
        <v>3313357.368959512</v>
      </c>
      <c r="I179" s="513">
        <f>SUM(I173:I178)</f>
        <v>4253701.193533277</v>
      </c>
      <c r="J179" s="513">
        <f>SUM(J173:J178)</f>
        <v>5409595.231121533</v>
      </c>
      <c r="K179" s="513">
        <f>SUM(K173:K178)</f>
        <v>6827277.075347749</v>
      </c>
      <c r="L179" s="513">
        <f>SUM(L173:L178)</f>
        <v>8562699.965832768</v>
      </c>
      <c r="M179" s="513">
        <f>SUM(M173:M178)</f>
        <v>10683569.118868584</v>
      </c>
    </row>
    <row r="181" ht="15" customHeight="1" s="278">
      <c r="A181" s="473" t="inlineStr">
        <is>
          <t>1 crore reached: ~10.75 years — about 8 months sooner than step-up alone (11.8yr), 2.6 years sooner than flat SIP (13.4yr). Cost: an extra INR 6,000/month for 5 years, INR 360,000 total additional contribution.</t>
        </is>
      </c>
    </row>
    <row r="182" ht="15" customHeight="1" s="278"/>
    <row r="184" ht="19.5" customHeight="1" s="278">
      <c r="A184" s="451" t="inlineStr">
        <is>
          <t>AMANA — FULL POSITION DETAIL  ·  38 open positions, live export, 26 Aug 2026</t>
        </is>
      </c>
      <c r="B184" s="452" t="n"/>
      <c r="C184" s="452" t="n"/>
      <c r="D184" s="452" t="n"/>
      <c r="E184" s="452" t="n"/>
      <c r="F184" s="452" t="n"/>
    </row>
    <row r="185" ht="88.8" customHeight="1" s="278">
      <c r="A185" s="517" t="inlineStr">
        <is>
          <t>Live app Account Value ($914.40) is used as the authoritative total below — real-time pricing will differ slightly from a position-list snapshot taken at a different moment. This table is for allocation and concentration analysis. HBARUSD, LINKUSD, UNIUSD confirmed CLOSED by owner on 24 Aug — realized losses logged separately below.</t>
        </is>
      </c>
    </row>
    <row r="186" ht="15" customHeight="1" s="278">
      <c r="A186" s="454" t="n"/>
      <c r="B186" s="456" t="n"/>
    </row>
    <row r="187" ht="15" customHeight="1" s="278">
      <c r="A187" s="518" t="n"/>
      <c r="B187" s="457" t="n"/>
    </row>
    <row r="188" ht="15" customHeight="1" s="278">
      <c r="A188" s="453" t="inlineStr">
        <is>
          <t>Symbol</t>
        </is>
      </c>
      <c r="B188" s="453" t="inlineStr">
        <is>
          <t>Class</t>
        </is>
      </c>
      <c r="C188" s="519" t="inlineStr">
        <is>
          <t>Invested ($)</t>
        </is>
      </c>
      <c r="D188" s="519" t="inlineStr">
        <is>
          <t>Profit ($)</t>
        </is>
      </c>
    </row>
    <row r="189" ht="15" customHeight="1" s="278">
      <c r="A189" s="423" t="inlineStr">
        <is>
          <t>ADAUSD</t>
        </is>
      </c>
      <c r="B189" s="424" t="inlineStr">
        <is>
          <t>Crypto</t>
        </is>
      </c>
      <c r="C189" s="520" t="n">
        <v>20.01</v>
      </c>
      <c r="D189" s="521" t="n">
        <v>-14.34</v>
      </c>
    </row>
    <row r="190" ht="15" customHeight="1" s="278">
      <c r="A190" s="423" t="inlineStr">
        <is>
          <t>AVAXUSD</t>
        </is>
      </c>
      <c r="B190" s="423" t="inlineStr">
        <is>
          <t>Crypto</t>
        </is>
      </c>
      <c r="C190" s="520" t="n">
        <v>9</v>
      </c>
      <c r="D190" s="521" t="n">
        <v>-6.21</v>
      </c>
    </row>
    <row r="191" ht="15" customHeight="1" s="278">
      <c r="A191" s="522" t="inlineStr">
        <is>
          <t>BTCUSD</t>
        </is>
      </c>
      <c r="B191" s="423" t="inlineStr">
        <is>
          <t>Crypto</t>
        </is>
      </c>
      <c r="C191" s="520" t="n">
        <v>30</v>
      </c>
      <c r="D191" s="521" t="n">
        <v>-5.21</v>
      </c>
    </row>
    <row r="192" ht="15" customHeight="1" s="278">
      <c r="A192" s="423" t="inlineStr">
        <is>
          <t>DOGEUSD</t>
        </is>
      </c>
      <c r="B192" s="423" t="inlineStr">
        <is>
          <t>Crypto</t>
        </is>
      </c>
      <c r="C192" s="520" t="n">
        <v>20.01</v>
      </c>
      <c r="D192" s="521" t="n">
        <v>-11.83</v>
      </c>
    </row>
    <row r="193" ht="15" customHeight="1" s="278">
      <c r="A193" s="423" t="inlineStr">
        <is>
          <t>DOTUSD</t>
        </is>
      </c>
      <c r="B193" s="423" t="inlineStr">
        <is>
          <t>Crypto</t>
        </is>
      </c>
      <c r="C193" s="520" t="n">
        <v>23.01</v>
      </c>
      <c r="D193" s="521" t="n">
        <v>-19.18</v>
      </c>
    </row>
    <row r="194" ht="15" customHeight="1" s="278">
      <c r="A194" s="423" t="inlineStr">
        <is>
          <t>ETHUSD</t>
        </is>
      </c>
      <c r="B194" s="423" t="inlineStr">
        <is>
          <t>Crypto</t>
        </is>
      </c>
      <c r="C194" s="520" t="n">
        <v>105.53</v>
      </c>
      <c r="D194" s="521" t="n">
        <v>-26.11</v>
      </c>
    </row>
    <row r="195" ht="15" customHeight="1" s="278">
      <c r="A195" s="423" t="inlineStr">
        <is>
          <t>SOLUSD</t>
        </is>
      </c>
      <c r="B195" s="424" t="inlineStr">
        <is>
          <t>Crypto</t>
        </is>
      </c>
      <c r="C195" s="520" t="n">
        <v>169.01</v>
      </c>
      <c r="D195" s="521" t="n">
        <v>-80.27</v>
      </c>
    </row>
    <row r="196" ht="15" customHeight="1" s="278">
      <c r="A196" s="423" t="inlineStr">
        <is>
          <t>SUIUSD</t>
        </is>
      </c>
      <c r="B196" s="424" t="inlineStr">
        <is>
          <t>Crypto</t>
        </is>
      </c>
      <c r="C196" s="520" t="n">
        <v>31</v>
      </c>
      <c r="D196" s="521" t="n">
        <v>-24.25</v>
      </c>
    </row>
    <row r="197" ht="15" customHeight="1" s="278">
      <c r="A197" s="423" t="inlineStr">
        <is>
          <t>XRPUSD</t>
        </is>
      </c>
      <c r="B197" s="424" t="inlineStr">
        <is>
          <t>Crypto</t>
        </is>
      </c>
      <c r="C197" s="520" t="n">
        <v>86.33</v>
      </c>
      <c r="D197" s="521" t="n">
        <v>-45.94</v>
      </c>
    </row>
    <row r="198" ht="15" customHeight="1" s="278">
      <c r="A198" s="423" t="inlineStr">
        <is>
          <t>SPYD</t>
        </is>
      </c>
      <c r="B198" s="424" t="inlineStr">
        <is>
          <t>ETF</t>
        </is>
      </c>
      <c r="C198" s="520" t="n">
        <v>51</v>
      </c>
      <c r="D198" s="523" t="n">
        <v>17.8</v>
      </c>
    </row>
    <row r="199" ht="15" customHeight="1" s="278">
      <c r="A199" s="423" t="inlineStr">
        <is>
          <t>VEU</t>
        </is>
      </c>
      <c r="B199" s="423" t="inlineStr">
        <is>
          <t>ETF</t>
        </is>
      </c>
      <c r="C199" s="520" t="n">
        <v>22.5</v>
      </c>
      <c r="D199" s="523" t="n">
        <v>10</v>
      </c>
    </row>
    <row r="200" ht="15" customHeight="1" s="278">
      <c r="A200" s="524" t="inlineStr">
        <is>
          <t>VTI</t>
        </is>
      </c>
      <c r="B200" s="524" t="inlineStr">
        <is>
          <t>ETF</t>
        </is>
      </c>
      <c r="C200" s="525" t="n">
        <v>45</v>
      </c>
      <c r="D200" s="526" t="n">
        <v>11.84</v>
      </c>
      <c r="E200" s="519" t="n"/>
    </row>
    <row r="201" ht="15" customHeight="1" s="278">
      <c r="A201" s="423" t="inlineStr">
        <is>
          <t>VWO</t>
        </is>
      </c>
      <c r="B201" s="423" t="inlineStr">
        <is>
          <t>ETF</t>
        </is>
      </c>
      <c r="C201" s="520" t="n">
        <v>7.5</v>
      </c>
      <c r="D201" s="523" t="n">
        <v>2.57</v>
      </c>
      <c r="E201" s="521" t="n"/>
    </row>
    <row r="202" ht="15" customHeight="1" s="278">
      <c r="A202" s="423" t="inlineStr">
        <is>
          <t>ADNOCDIST</t>
        </is>
      </c>
      <c r="B202" s="423" t="inlineStr">
        <is>
          <t>UAE</t>
        </is>
      </c>
      <c r="C202" s="520" t="n">
        <v>5</v>
      </c>
      <c r="D202" s="523" t="n">
        <v>1.06</v>
      </c>
      <c r="E202" s="521" t="n"/>
    </row>
    <row r="203" ht="15" customHeight="1" s="278">
      <c r="A203" s="423" t="inlineStr">
        <is>
          <t>ADNOCDRILL</t>
        </is>
      </c>
      <c r="B203" s="423" t="inlineStr">
        <is>
          <t>UAE</t>
        </is>
      </c>
      <c r="C203" s="520" t="n">
        <v>5</v>
      </c>
      <c r="D203" s="523" t="n">
        <v>0.92</v>
      </c>
      <c r="E203" s="521" t="n"/>
    </row>
    <row r="204" ht="15" customHeight="1" s="278">
      <c r="A204" s="423" t="inlineStr">
        <is>
          <t>AIRA</t>
        </is>
      </c>
      <c r="B204" s="423" t="inlineStr">
        <is>
          <t>UAE</t>
        </is>
      </c>
      <c r="C204" s="520" t="n">
        <v>5</v>
      </c>
      <c r="D204" s="523" t="n">
        <v>2.89</v>
      </c>
      <c r="E204" s="521" t="n"/>
    </row>
    <row r="205" ht="15" customHeight="1" s="278">
      <c r="A205" s="423" t="inlineStr">
        <is>
          <t>DEWAA</t>
        </is>
      </c>
      <c r="B205" s="423" t="inlineStr">
        <is>
          <t>UAE</t>
        </is>
      </c>
      <c r="C205" s="520" t="n">
        <v>5</v>
      </c>
      <c r="D205" s="523" t="n">
        <v>0.07000000000000001</v>
      </c>
      <c r="E205" s="521" t="n"/>
    </row>
    <row r="206" ht="15" customHeight="1" s="278">
      <c r="A206" s="423" t="inlineStr">
        <is>
          <t>EMAARDEV</t>
        </is>
      </c>
      <c r="B206" s="423" t="inlineStr">
        <is>
          <t>UAE</t>
        </is>
      </c>
      <c r="C206" s="520" t="n">
        <v>5</v>
      </c>
      <c r="D206" s="523" t="n">
        <v>0.17</v>
      </c>
      <c r="E206" s="521" t="n"/>
    </row>
    <row r="207" ht="15" customHeight="1" s="278">
      <c r="A207" s="423" t="inlineStr">
        <is>
          <t>EMAR</t>
        </is>
      </c>
      <c r="B207" s="423" t="inlineStr">
        <is>
          <t>UAE</t>
        </is>
      </c>
      <c r="C207" s="520" t="n">
        <v>5</v>
      </c>
      <c r="D207" s="521" t="n">
        <v>-0.65</v>
      </c>
      <c r="E207" s="521" t="n"/>
    </row>
    <row r="208" ht="15" customHeight="1" s="278">
      <c r="A208" s="423" t="inlineStr">
        <is>
          <t>FAB</t>
        </is>
      </c>
      <c r="B208" s="423" t="inlineStr">
        <is>
          <t>UAE</t>
        </is>
      </c>
      <c r="C208" s="520" t="n">
        <v>5</v>
      </c>
      <c r="D208" s="523" t="n">
        <v>2</v>
      </c>
      <c r="E208" s="521" t="n"/>
    </row>
    <row r="209" ht="15" customHeight="1" s="278">
      <c r="A209" s="423" t="inlineStr">
        <is>
          <t>PARKIN</t>
        </is>
      </c>
      <c r="B209" s="423" t="inlineStr">
        <is>
          <t>UAE</t>
        </is>
      </c>
      <c r="C209" s="520" t="n">
        <v>5</v>
      </c>
      <c r="D209" s="523" t="n">
        <v>0.87</v>
      </c>
      <c r="E209" s="521" t="n"/>
    </row>
    <row r="210" ht="15" customHeight="1" s="278">
      <c r="A210" s="423" t="inlineStr">
        <is>
          <t>SALIK</t>
        </is>
      </c>
      <c r="B210" s="423" t="inlineStr">
        <is>
          <t>UAE</t>
        </is>
      </c>
      <c r="C210" s="520" t="n">
        <v>5</v>
      </c>
      <c r="D210" s="521" t="n">
        <v>-0.04</v>
      </c>
      <c r="E210" s="523" t="n"/>
    </row>
    <row r="211" ht="15" customHeight="1" s="278">
      <c r="A211" s="423" t="inlineStr">
        <is>
          <t>AAPL</t>
        </is>
      </c>
      <c r="B211" s="423" t="inlineStr">
        <is>
          <t>US Equity</t>
        </is>
      </c>
      <c r="C211" s="520" t="n">
        <v>66.95999999999999</v>
      </c>
      <c r="D211" s="523" t="n">
        <v>25.29</v>
      </c>
      <c r="E211" s="523" t="n"/>
    </row>
    <row r="212" ht="15" customHeight="1" s="278">
      <c r="A212" s="423" t="inlineStr">
        <is>
          <t>AMZN</t>
        </is>
      </c>
      <c r="B212" s="423" t="inlineStr">
        <is>
          <t>US Equity</t>
        </is>
      </c>
      <c r="C212" s="520" t="n">
        <v>21.45</v>
      </c>
      <c r="D212" s="523" t="n">
        <v>5.27</v>
      </c>
      <c r="E212" s="523" t="n"/>
    </row>
    <row r="213" ht="15" customHeight="1" s="278">
      <c r="A213" s="423" t="inlineStr">
        <is>
          <t>AVGO</t>
        </is>
      </c>
      <c r="B213" s="423" t="inlineStr">
        <is>
          <t>US Equity</t>
        </is>
      </c>
      <c r="C213" s="520" t="n">
        <v>21.3</v>
      </c>
      <c r="D213" s="523" t="n">
        <v>16.76</v>
      </c>
      <c r="E213" s="523" t="n"/>
    </row>
    <row r="214" ht="15" customHeight="1" s="278">
      <c r="A214" s="423" t="inlineStr">
        <is>
          <t>AXP</t>
        </is>
      </c>
      <c r="B214" s="423" t="inlineStr">
        <is>
          <t>US Equity</t>
        </is>
      </c>
      <c r="C214" s="520" t="n">
        <v>20</v>
      </c>
      <c r="D214" s="523" t="n">
        <v>3.76</v>
      </c>
      <c r="E214" s="523" t="n"/>
    </row>
    <row r="215" ht="15" customHeight="1" s="278">
      <c r="A215" s="423" t="inlineStr">
        <is>
          <t>BAC</t>
        </is>
      </c>
      <c r="B215" s="423" t="inlineStr">
        <is>
          <t>US Equity</t>
        </is>
      </c>
      <c r="C215" s="520" t="n">
        <v>16.25</v>
      </c>
      <c r="D215" s="523" t="n">
        <v>7.63</v>
      </c>
      <c r="E215" s="523" t="n"/>
    </row>
    <row r="216" ht="15" customHeight="1" s="278">
      <c r="A216" s="423" t="inlineStr">
        <is>
          <t>CB</t>
        </is>
      </c>
      <c r="B216" s="423" t="inlineStr">
        <is>
          <t>US Equity</t>
        </is>
      </c>
      <c r="C216" s="520" t="n">
        <v>3.75</v>
      </c>
      <c r="D216" s="523" t="n">
        <v>0.9399999999999999</v>
      </c>
      <c r="E216" s="523" t="n"/>
    </row>
    <row r="217" ht="15" customHeight="1" s="278">
      <c r="A217" s="423" t="inlineStr">
        <is>
          <t>CVX</t>
        </is>
      </c>
      <c r="B217" s="423" t="inlineStr">
        <is>
          <t>US Equity</t>
        </is>
      </c>
      <c r="C217" s="520" t="n">
        <v>8.75</v>
      </c>
      <c r="D217" s="523" t="n">
        <v>2.87</v>
      </c>
      <c r="E217" s="523" t="n"/>
    </row>
    <row r="218" ht="15" customHeight="1" s="278">
      <c r="A218" s="423" t="inlineStr">
        <is>
          <t>DVA</t>
        </is>
      </c>
      <c r="B218" s="423" t="inlineStr">
        <is>
          <t>US Equity</t>
        </is>
      </c>
      <c r="C218" s="520" t="n">
        <v>2</v>
      </c>
      <c r="D218" s="523" t="n">
        <v>0.3</v>
      </c>
      <c r="E218" s="523" t="n"/>
    </row>
    <row r="219" ht="15" customHeight="1" s="278">
      <c r="A219" s="423" t="inlineStr">
        <is>
          <t>GOOGL</t>
        </is>
      </c>
      <c r="B219" s="423" t="inlineStr">
        <is>
          <t>US Equity</t>
        </is>
      </c>
      <c r="C219" s="520" t="n">
        <v>21.45</v>
      </c>
      <c r="D219" s="523" t="n">
        <v>21.52</v>
      </c>
      <c r="E219" s="521" t="n"/>
    </row>
    <row r="220" ht="15" customHeight="1" s="278">
      <c r="A220" s="423" t="inlineStr">
        <is>
          <t>KHC</t>
        </is>
      </c>
      <c r="B220" s="423" t="inlineStr">
        <is>
          <t>US Equity</t>
        </is>
      </c>
      <c r="C220" s="520" t="n">
        <v>5</v>
      </c>
      <c r="D220" s="521" t="n">
        <v>-0.72</v>
      </c>
      <c r="E220" s="523" t="n"/>
    </row>
    <row r="221" ht="15" customHeight="1" s="278">
      <c r="A221" s="423" t="inlineStr">
        <is>
          <t>KO</t>
        </is>
      </c>
      <c r="B221" s="423" t="inlineStr">
        <is>
          <t>US Equity</t>
        </is>
      </c>
      <c r="C221" s="520" t="n">
        <v>13.75</v>
      </c>
      <c r="D221" s="523" t="n">
        <v>5.09</v>
      </c>
      <c r="E221" s="523" t="n"/>
    </row>
    <row r="222" ht="15" customHeight="1" s="278">
      <c r="A222" s="423" t="inlineStr">
        <is>
          <t>MCO</t>
        </is>
      </c>
      <c r="B222" s="423" t="inlineStr">
        <is>
          <t>US Equity</t>
        </is>
      </c>
      <c r="C222" s="520" t="n">
        <v>6.25</v>
      </c>
      <c r="D222" s="523" t="n">
        <v>0.6</v>
      </c>
      <c r="E222" s="521" t="n"/>
    </row>
    <row r="223" ht="15" customHeight="1" s="278">
      <c r="A223" s="423" t="inlineStr">
        <is>
          <t>META</t>
        </is>
      </c>
      <c r="B223" s="423" t="inlineStr">
        <is>
          <t>US Equity</t>
        </is>
      </c>
      <c r="C223" s="520" t="n">
        <v>21.45</v>
      </c>
      <c r="D223" s="521" t="n">
        <v>-1.89</v>
      </c>
      <c r="E223" s="523" t="n"/>
    </row>
    <row r="224" ht="15" customHeight="1" s="278">
      <c r="A224" s="423" t="inlineStr">
        <is>
          <t>MSFT</t>
        </is>
      </c>
      <c r="B224" s="423" t="inlineStr">
        <is>
          <t>US Equity</t>
        </is>
      </c>
      <c r="C224" s="520" t="n">
        <v>21.45</v>
      </c>
      <c r="D224" s="523" t="n">
        <v>4.05</v>
      </c>
      <c r="E224" s="523" t="n"/>
    </row>
    <row r="225" ht="15" customHeight="1" s="278">
      <c r="A225" s="423" t="inlineStr">
        <is>
          <t>NVDA</t>
        </is>
      </c>
      <c r="B225" s="423" t="inlineStr">
        <is>
          <t>US Equity</t>
        </is>
      </c>
      <c r="C225" s="520" t="n">
        <v>33.96</v>
      </c>
      <c r="D225" s="523" t="n">
        <v>17.37</v>
      </c>
      <c r="E225" s="523" t="n"/>
    </row>
    <row r="226" ht="15" customHeight="1" s="278">
      <c r="A226" s="423" t="inlineStr">
        <is>
          <t>OXY</t>
        </is>
      </c>
      <c r="B226" s="423" t="inlineStr">
        <is>
          <t>US Equity</t>
        </is>
      </c>
      <c r="C226" s="520" t="n">
        <v>6.24</v>
      </c>
      <c r="D226" s="523" t="n">
        <v>1.7</v>
      </c>
      <c r="E226" s="523" t="n"/>
    </row>
    <row r="227" ht="15" customHeight="1" s="278">
      <c r="A227" s="527" t="inlineStr">
        <is>
          <t>TOTAL (38 open positions)</t>
        </is>
      </c>
      <c r="B227" s="423" t="n"/>
      <c r="C227" s="528">
        <f>SUM(C189:C226)</f>
        <v>954.91</v>
      </c>
      <c r="D227" s="529">
        <f>SUM(D189:D226)</f>
        <v>-73.3</v>
      </c>
      <c r="E227" s="523" t="n"/>
    </row>
    <row r="228" ht="15" customHeight="1" s="278">
      <c r="A228" s="423" t="n"/>
      <c r="B228" s="423" t="n"/>
      <c r="C228" s="520" t="n"/>
      <c r="D228" s="520" t="n"/>
      <c r="E228" s="523" t="n"/>
    </row>
    <row r="229" ht="15" customHeight="1" s="278">
      <c r="A229" s="530" t="inlineStr">
        <is>
          <t>By asset class (invested $ / floating P&amp;L $)</t>
        </is>
      </c>
      <c r="B229" s="423" t="n"/>
      <c r="C229" s="520" t="n"/>
      <c r="D229" s="520" t="n"/>
      <c r="E229" s="523" t="n"/>
    </row>
    <row r="230" ht="15" customHeight="1" s="278">
      <c r="A230" s="531" t="inlineStr">
        <is>
          <t>US Equity</t>
        </is>
      </c>
      <c r="B230" s="423" t="n"/>
      <c r="C230" s="520">
        <f>SUMIF($B$189:$B$226,"US Equity",$C$189:$C$226)</f>
        <v>290.01</v>
      </c>
      <c r="D230" s="532">
        <f>SUMIF($B$189:$B$226,"US Equity",$D$189:$D$226)</f>
        <v>110.54</v>
      </c>
      <c r="E230" s="523" t="n"/>
    </row>
    <row r="231" ht="15" customHeight="1" s="278">
      <c r="A231" s="531" t="inlineStr">
        <is>
          <t>UAE</t>
        </is>
      </c>
      <c r="B231" s="423" t="n"/>
      <c r="C231" s="520">
        <f>SUMIF($B$189:$B$226,"UAE",$C$189:$C$226)</f>
        <v>45.0</v>
      </c>
      <c r="D231" s="532">
        <f>SUMIF($B$189:$B$226,"UAE",$D$189:$D$226)</f>
        <v>7.29</v>
      </c>
      <c r="E231" s="523" t="n"/>
    </row>
    <row r="232" ht="15" customHeight="1" s="278">
      <c r="A232" s="531" t="inlineStr">
        <is>
          <t>ETF</t>
        </is>
      </c>
      <c r="B232" s="423" t="n"/>
      <c r="C232" s="520">
        <f>SUMIF($B$189:$B$226,"ETF",$C$189:$C$226)</f>
        <v>126.0</v>
      </c>
      <c r="D232" s="532">
        <f>SUMIF($B$189:$B$226,"ETF",$D$189:$D$226)</f>
        <v>42.21</v>
      </c>
      <c r="E232" s="521" t="n"/>
    </row>
    <row r="233" ht="15" customHeight="1" s="278">
      <c r="A233" s="531" t="inlineStr">
        <is>
          <t>Crypto</t>
        </is>
      </c>
      <c r="B233" s="423" t="n"/>
      <c r="C233" s="520">
        <f>SUMIF($B$189:$B$226,"Crypto",$C$189:$C$226)</f>
        <v>493.9</v>
      </c>
      <c r="D233" s="532">
        <f>SUMIF($B$189:$B$226,"Crypto",$D$189:$D$226)</f>
        <v>-233.34</v>
      </c>
      <c r="E233" s="523" t="n"/>
    </row>
    <row r="234" ht="15" customHeight="1" s="278">
      <c r="A234" s="423" t="n"/>
      <c r="B234" s="423" t="n"/>
      <c r="C234" s="520" t="n"/>
      <c r="D234" s="520" t="n"/>
      <c r="E234" s="523" t="n"/>
    </row>
    <row r="235" ht="15" customHeight="1" s="278">
      <c r="A235" s="527" t="inlineStr">
        <is>
          <t>CLOSED SINCE (24 Aug 2026, confirmed via Activity tab)</t>
        </is>
      </c>
      <c r="B235" s="524" t="n"/>
      <c r="C235" s="525" t="n"/>
      <c r="D235" s="525" t="n"/>
      <c r="E235" s="533" t="n"/>
    </row>
    <row r="236" ht="15" customHeight="1" s="278">
      <c r="A236" s="423" t="inlineStr">
        <is>
          <t>HBARUSD</t>
        </is>
      </c>
      <c r="B236" s="534" t="inlineStr">
        <is>
          <t>Closed 8:46 PM, 24 Aug</t>
        </is>
      </c>
      <c r="C236" s="520" t="n">
        <v>13</v>
      </c>
      <c r="D236" s="521" t="n">
        <v>-7.86</v>
      </c>
      <c r="E236" s="523" t="n"/>
    </row>
    <row r="237" ht="15" customHeight="1" s="278">
      <c r="A237" s="423" t="inlineStr">
        <is>
          <t>LINKUSD</t>
        </is>
      </c>
      <c r="B237" s="534" t="inlineStr">
        <is>
          <t>Closed 6:31 PM, 24 Aug</t>
        </is>
      </c>
      <c r="C237" s="520" t="n">
        <v>3</v>
      </c>
      <c r="D237" s="521" t="n">
        <v>-0.31</v>
      </c>
      <c r="E237" s="523" t="n"/>
    </row>
    <row r="238" ht="15" customHeight="1" s="278">
      <c r="A238" s="423" t="inlineStr">
        <is>
          <t>UNIUSD</t>
        </is>
      </c>
      <c r="B238" s="534" t="inlineStr">
        <is>
          <t>Closed 6:29 PM, 24 Aug</t>
        </is>
      </c>
      <c r="C238" s="520" t="n">
        <v>4</v>
      </c>
      <c r="D238" s="521" t="n">
        <v>-0.77</v>
      </c>
      <c r="E238" s="523" t="n"/>
    </row>
    <row r="239" ht="15" customHeight="1" s="278">
      <c r="A239" s="453" t="inlineStr">
        <is>
          <t>Realized loss from closures</t>
        </is>
      </c>
      <c r="C239" s="535" t="n"/>
      <c r="D239" s="533" t="n">
        <v>-8.94</v>
      </c>
      <c r="E239" s="536" t="n"/>
    </row>
    <row r="241" ht="15" customHeight="1" s="278">
      <c r="A241" s="527" t="inlineStr">
        <is>
          <t>LIVE ACCOUNT SNAPSHOT (Amana app, 26 Aug 2026, 2:41 PM)</t>
        </is>
      </c>
      <c r="B241" s="452" t="n"/>
      <c r="C241" s="452" t="n"/>
      <c r="D241" s="452" t="n"/>
      <c r="E241" s="452" t="n"/>
    </row>
    <row r="242" ht="15" customHeight="1" s="278">
      <c r="A242" s="423" t="inlineStr">
        <is>
          <t>Account Value ($)</t>
        </is>
      </c>
      <c r="C242" s="537" t="n">
        <v>914.4</v>
      </c>
      <c r="D242" s="538" t="n"/>
      <c r="E242" s="426" t="n"/>
    </row>
    <row r="243" ht="15" customHeight="1" s="278">
      <c r="A243" s="423" t="inlineStr">
        <is>
          <t>Available margin ($)</t>
        </is>
      </c>
      <c r="C243" s="521" t="n">
        <v>-40.51</v>
      </c>
      <c r="D243" s="538" t="n"/>
      <c r="E243" s="426" t="n"/>
    </row>
    <row r="244" ht="15" customHeight="1" s="278">
      <c r="A244" s="423" t="inlineStr">
        <is>
          <t>Health level</t>
        </is>
      </c>
      <c r="C244" s="539" t="inlineStr">
        <is>
          <t>CAUTION</t>
        </is>
      </c>
      <c r="D244" s="538" t="n"/>
      <c r="E244" s="426" t="n"/>
    </row>
    <row r="245" ht="15" customHeight="1" s="278">
      <c r="A245" s="423" t="inlineStr">
        <is>
          <t>Portfolio P&amp;L ($)</t>
        </is>
      </c>
      <c r="C245" s="521" t="n">
        <v>-80.68000000000001</v>
      </c>
      <c r="D245" s="538" t="n"/>
      <c r="E245" s="426" t="n"/>
    </row>
    <row r="247" ht="59.7" customHeight="1" s="278">
      <c r="A247" s="428" t="inlineStr">
        <is>
          <t>Available margin is negative and Health Level reads Caution — a real leverage warning, not a rounding artifact. There's no further buffer against adverse price moves without adding funds or closing positions.</t>
        </is>
      </c>
      <c r="B247" s="540" t="n"/>
    </row>
    <row r="248" ht="15" customHeight="1" s="278">
      <c r="A248" s="454" t="n"/>
      <c r="B248" s="540" t="n"/>
    </row>
    <row r="249" ht="15" customHeight="1" s="278">
      <c r="A249" s="541" t="inlineStr">
        <is>
          <t>AMANA — CURRENT TOTAL (AED, at 3.6725)</t>
        </is>
      </c>
      <c r="B249" s="542">
        <f>914.4*3.6725</f>
        <v>3358.134</v>
      </c>
    </row>
  </sheetData>
  <mergeCells count="34">
    <mergeCell ref="D21:L21"/>
    <mergeCell ref="D49:L49"/>
    <mergeCell ref="D57:L57"/>
    <mergeCell ref="A35:L36"/>
    <mergeCell ref="D41:L41"/>
    <mergeCell ref="D48:L48"/>
    <mergeCell ref="D17:L17"/>
    <mergeCell ref="A62:L63"/>
    <mergeCell ref="C32:L32"/>
    <mergeCell ref="D47:L47"/>
    <mergeCell ref="C28:L28"/>
    <mergeCell ref="D43:L43"/>
    <mergeCell ref="D18:L18"/>
    <mergeCell ref="C30:L30"/>
    <mergeCell ref="D56:L56"/>
    <mergeCell ref="D58:L58"/>
    <mergeCell ref="C33:L33"/>
    <mergeCell ref="D24:L24"/>
    <mergeCell ref="D42:L42"/>
    <mergeCell ref="D23:L23"/>
    <mergeCell ref="D38:L38"/>
    <mergeCell ref="D51:L51"/>
    <mergeCell ref="C29:L29"/>
    <mergeCell ref="D50:L50"/>
    <mergeCell ref="D44:L44"/>
    <mergeCell ref="D59:L59"/>
    <mergeCell ref="D20:L20"/>
    <mergeCell ref="D19:L19"/>
    <mergeCell ref="A15:L15"/>
    <mergeCell ref="C31:L31"/>
    <mergeCell ref="D46:L46"/>
    <mergeCell ref="D22:L22"/>
    <mergeCell ref="D45:L45"/>
    <mergeCell ref="D52:L52"/>
  </mergeCells>
  <conditionalFormatting sqref="G6">
    <cfRule type="cellIs" rank="0" priority="2" equalAverage="0" operator="lessThan" aboveAverage="0" dxfId="4" text="" percent="0" bottom="0">
      <formula>0</formula>
    </cfRule>
    <cfRule type="cellIs" rank="0" priority="3" equalAverage="0" operator="greaterThanOrEqual" aboveAverage="0" dxfId="20" text="" percent="0" bottom="0">
      <formula>0</formula>
    </cfRule>
    <cfRule type="cellIs" rank="0" priority="4" equalAverage="0" operator="lessThan" aboveAverage="0" dxfId="4" text="" percent="0" bottom="0">
      <formula>0</formula>
    </cfRule>
    <cfRule type="cellIs" rank="0" priority="5" equalAverage="0" operator="greaterThanOrEqual" aboveAverage="0" dxfId="20" text="" percent="0" bottom="0">
      <formula>0</formula>
    </cfRule>
  </conditionalFormatting>
  <conditionalFormatting sqref="G7">
    <cfRule type="cellIs" rank="0" priority="6" equalAverage="0" operator="lessThan" aboveAverage="0" dxfId="4" text="" percent="0" bottom="0">
      <formula>0</formula>
    </cfRule>
    <cfRule type="cellIs" rank="0" priority="7" equalAverage="0" operator="greaterThanOrEqual" aboveAverage="0" dxfId="20" text="" percent="0" bottom="0">
      <formula>0</formula>
    </cfRule>
    <cfRule type="cellIs" rank="0" priority="8" equalAverage="0" operator="lessThan" aboveAverage="0" dxfId="4" text="" percent="0" bottom="0">
      <formula>0</formula>
    </cfRule>
    <cfRule type="cellIs" rank="0" priority="9" equalAverage="0" operator="greaterThanOrEqual" aboveAverage="0" dxfId="20" text="" percent="0" bottom="0">
      <formula>0</formula>
    </cfRule>
  </conditionalFormatting>
  <conditionalFormatting sqref="G8">
    <cfRule type="cellIs" rank="0" priority="10" equalAverage="0" operator="lessThan" aboveAverage="0" dxfId="4" text="" percent="0" bottom="0">
      <formula>0</formula>
    </cfRule>
    <cfRule type="cellIs" rank="0" priority="11" equalAverage="0" operator="greaterThanOrEqual" aboveAverage="0" dxfId="20" text="" percent="0" bottom="0">
      <formula>0</formula>
    </cfRule>
    <cfRule type="cellIs" rank="0" priority="12" equalAverage="0" operator="lessThan" aboveAverage="0" dxfId="4" text="" percent="0" bottom="0">
      <formula>0</formula>
    </cfRule>
    <cfRule type="cellIs" rank="0" priority="13" equalAverage="0" operator="greaterThanOrEqual" aboveAverage="0" dxfId="20" text="" percent="0" bottom="0">
      <formula>0</formula>
    </cfRule>
  </conditionalFormatting>
  <conditionalFormatting sqref="G9">
    <cfRule type="cellIs" rank="0" priority="14" equalAverage="0" operator="lessThan" aboveAverage="0" dxfId="4" text="" percent="0" bottom="0">
      <formula>0</formula>
    </cfRule>
    <cfRule type="cellIs" rank="0" priority="15" equalAverage="0" operator="greaterThanOrEqual" aboveAverage="0" dxfId="20" text="" percent="0" bottom="0">
      <formula>0</formula>
    </cfRule>
    <cfRule type="cellIs" rank="0" priority="16" equalAverage="0" operator="lessThan" aboveAverage="0" dxfId="4" text="" percent="0" bottom="0">
      <formula>0</formula>
    </cfRule>
    <cfRule type="cellIs" rank="0" priority="17" equalAverage="0" operator="greaterThanOrEqual" aboveAverage="0" dxfId="20" text="" percent="0" bottom="0">
      <formula>0</formula>
    </cfRule>
  </conditionalFormatting>
  <conditionalFormatting sqref="G10">
    <cfRule type="cellIs" rank="0" priority="18" equalAverage="0" operator="lessThan" aboveAverage="0" dxfId="4" text="" percent="0" bottom="0">
      <formula>0</formula>
    </cfRule>
    <cfRule type="cellIs" rank="0" priority="19" equalAverage="0" operator="greaterThanOrEqual" aboveAverage="0" dxfId="20" text="" percent="0" bottom="0">
      <formula>0</formula>
    </cfRule>
    <cfRule type="cellIs" rank="0" priority="20" equalAverage="0" operator="lessThan" aboveAverage="0" dxfId="4" text="" percent="0" bottom="0">
      <formula>0</formula>
    </cfRule>
    <cfRule type="cellIs" rank="0" priority="21" equalAverage="0" operator="greaterThanOrEqual" aboveAverage="0" dxfId="20" text="" percent="0" bottom="0">
      <formula>0</formula>
    </cfRule>
  </conditionalFormatting>
  <conditionalFormatting sqref="G11">
    <cfRule type="cellIs" rank="0" priority="22" equalAverage="0" operator="lessThan" aboveAverage="0" dxfId="4" text="" percent="0" bottom="0">
      <formula>0</formula>
    </cfRule>
    <cfRule type="cellIs" rank="0" priority="23" equalAverage="0" operator="greaterThanOrEqual" aboveAverage="0" dxfId="20" text="" percent="0" bottom="0">
      <formula>0</formula>
    </cfRule>
    <cfRule type="cellIs" rank="0" priority="24" equalAverage="0" operator="lessThan" aboveAverage="0" dxfId="4" text="" percent="0" bottom="0">
      <formula>0</formula>
    </cfRule>
    <cfRule type="cellIs" rank="0" priority="25" equalAverage="0" operator="greaterThanOrEqual" aboveAverage="0" dxfId="20" text="" percent="0" bottom="0">
      <formula>0</formula>
    </cfRule>
  </conditionalFormatting>
  <conditionalFormatting sqref="L6:L13">
    <cfRule type="cellIs" rank="0" priority="26" equalAverage="0" operator="equal" aboveAverage="0" dxfId="23" text="" percent="0" bottom="0">
      <formula>"Current"</formula>
    </cfRule>
  </conditionalFormatting>
  <conditionalFormatting sqref="F80">
    <cfRule type="cellIs" rank="0" priority="27" equalAverage="0" operator="lessThan" aboveAverage="0" dxfId="4" text="" percent="0" bottom="0">
      <formula>0</formula>
    </cfRule>
    <cfRule type="cellIs" rank="0" priority="28" equalAverage="0" operator="greaterThanOrEqual" aboveAverage="0" dxfId="20" text="" percent="0" bottom="0">
      <formula>0</formula>
    </cfRule>
  </conditionalFormatting>
  <conditionalFormatting sqref="F81">
    <cfRule type="cellIs" rank="0" priority="29" equalAverage="0" operator="lessThan" aboveAverage="0" dxfId="4" text="" percent="0" bottom="0">
      <formula>0</formula>
    </cfRule>
    <cfRule type="cellIs" rank="0" priority="30" equalAverage="0" operator="greaterThanOrEqual" aboveAverage="0" dxfId="20" text="" percent="0" bottom="0">
      <formula>0</formula>
    </cfRule>
  </conditionalFormatting>
  <conditionalFormatting sqref="F82">
    <cfRule type="cellIs" rank="0" priority="31" equalAverage="0" operator="lessThan" aboveAverage="0" dxfId="4" text="" percent="0" bottom="0">
      <formula>0</formula>
    </cfRule>
    <cfRule type="cellIs" rank="0" priority="32" equalAverage="0" operator="greaterThanOrEqual" aboveAverage="0" dxfId="20" text="" percent="0" bottom="0">
      <formula>0</formula>
    </cfRule>
  </conditionalFormatting>
  <conditionalFormatting sqref="F83">
    <cfRule type="cellIs" rank="0" priority="33" equalAverage="0" operator="lessThan" aboveAverage="0" dxfId="4" text="" percent="0" bottom="0">
      <formula>0</formula>
    </cfRule>
    <cfRule type="cellIs" rank="0" priority="34" equalAverage="0" operator="greaterThanOrEqual" aboveAverage="0" dxfId="20" text="" percent="0" bottom="0">
      <formula>0</formula>
    </cfRule>
  </conditionalFormatting>
  <conditionalFormatting sqref="F84">
    <cfRule type="cellIs" rank="0" priority="35" equalAverage="0" operator="lessThan" aboveAverage="0" dxfId="4" text="" percent="0" bottom="0">
      <formula>0</formula>
    </cfRule>
    <cfRule type="cellIs" rank="0" priority="36" equalAverage="0" operator="greaterThanOrEqual" aboveAverage="0" dxfId="20" text="" percent="0" bottom="0">
      <formula>0</formula>
    </cfRule>
  </conditionalFormatting>
  <conditionalFormatting sqref="F85">
    <cfRule type="cellIs" rank="0" priority="37" equalAverage="0" operator="lessThan" aboveAverage="0" dxfId="4" text="" percent="0" bottom="0">
      <formula>0</formula>
    </cfRule>
    <cfRule type="cellIs" rank="0" priority="38" equalAverage="0" operator="greaterThanOrEqual" aboveAverage="0" dxfId="20" text="" percent="0" bottom="0">
      <formula>0</formula>
    </cfRule>
  </conditionalFormatting>
  <conditionalFormatting sqref="F86">
    <cfRule type="cellIs" rank="0" priority="39" equalAverage="0" operator="lessThan" aboveAverage="0" dxfId="4" text="" percent="0" bottom="0">
      <formula>0</formula>
    </cfRule>
    <cfRule type="cellIs" rank="0" priority="40" equalAverage="0" operator="greaterThanOrEqual" aboveAverage="0" dxfId="20" text="" percent="0" bottom="0">
      <formula>0</formula>
    </cfRule>
  </conditionalFormatting>
  <conditionalFormatting sqref="F87">
    <cfRule type="cellIs" rank="0" priority="41" equalAverage="0" operator="lessThan" aboveAverage="0" dxfId="4" text="" percent="0" bottom="0">
      <formula>0</formula>
    </cfRule>
    <cfRule type="cellIs" rank="0" priority="42" equalAverage="0" operator="greaterThanOrEqual" aboveAverage="0" dxfId="20" text="" percent="0" bottom="0">
      <formula>0</formula>
    </cfRule>
  </conditionalFormatting>
  <conditionalFormatting sqref="F88">
    <cfRule type="cellIs" rank="0" priority="43" equalAverage="0" operator="lessThan" aboveAverage="0" dxfId="4" text="" percent="0" bottom="0">
      <formula>0</formula>
    </cfRule>
    <cfRule type="cellIs" rank="0" priority="44" equalAverage="0" operator="greaterThanOrEqual" aboveAverage="0" dxfId="20" text="" percent="0" bottom="0">
      <formula>0</formula>
    </cfRule>
  </conditionalFormatting>
  <conditionalFormatting sqref="F89">
    <cfRule type="cellIs" rank="0" priority="45" equalAverage="0" operator="lessThan" aboveAverage="0" dxfId="4" text="" percent="0" bottom="0">
      <formula>0</formula>
    </cfRule>
    <cfRule type="cellIs" rank="0" priority="46" equalAverage="0" operator="greaterThanOrEqual" aboveAverage="0" dxfId="20" text="" percent="0" bottom="0">
      <formula>0</formula>
    </cfRule>
  </conditionalFormatting>
  <conditionalFormatting sqref="I80:I90">
    <cfRule type="cellIs" rank="0" priority="47" equalAverage="0" operator="equal" aboveAverage="0" dxfId="23" text="" percent="0" bottom="0">
      <formula>"Current"</formula>
    </cfRule>
  </conditionalFormatting>
  <conditionalFormatting sqref="D103:D107">
    <cfRule type="cellIs" rank="0" priority="48" equalAverage="0" operator="equal" aboveAverage="0" dxfId="4" text="" percent="0" bottom="0">
      <formula>"OVER LIMIT"</formula>
    </cfRule>
    <cfRule type="cellIs" rank="0" priority="49" equalAverage="0" operator="equal" aboveAverage="0" dxfId="5" text="" percent="0" bottom="0">
      <formula>"REVIEW"</formula>
    </cfRule>
    <cfRule type="cellIs" rank="0" priority="50" equalAverage="0" operator="equal" aboveAverage="0" dxfId="4" text="" percent="0" bottom="0">
      <formula>"STALE DATA"</formula>
    </cfRule>
    <cfRule type="cellIs" rank="0" priority="51" equalAverage="0" operator="equal" aboveAverage="0" dxfId="20" text="" percent="0" bottom="0">
      <formula>"Within limit"</formula>
    </cfRule>
  </conditionalFormatting>
  <conditionalFormatting sqref="F6:F11">
    <cfRule type="colorScale" priority="52">
      <colorScale>
        <cfvo type="min" val="0"/>
        <cfvo type="percentile" val="50"/>
        <cfvo type="max" val="0"/>
        <color rgb="FFF8696B"/>
        <color rgb="FFFFEB84"/>
        <color rgb="FF63BE7B"/>
      </colorScale>
    </cfRule>
  </conditionalFormatting>
  <conditionalFormatting sqref="C67:C69">
    <cfRule type="dataBar" priority="53">
      <dataBar minLength="10" maxLength="90" showValue="1">
        <cfvo type="num" val="0"/>
        <cfvo type="num" val="1"/>
        <color rgb="FFC6A15B"/>
      </dataBar>
    </cfRule>
  </conditionalFormatting>
  <conditionalFormatting sqref="L6:L12">
    <cfRule type="cellIs" rank="0" priority="54" equalAverage="0" operator="equal" aboveAverage="0" dxfId="23" text="" percent="0" bottom="0">
      <formula>"Current"</formula>
    </cfRule>
  </conditionalFormatting>
  <conditionalFormatting sqref="C18">
    <cfRule type="cellIs" rank="0" priority="55" equalAverage="0" operator="equal" aboveAverage="0" dxfId="4" text="" percent="0" bottom="0">
      <formula>"HIGH"</formula>
    </cfRule>
    <cfRule type="cellIs" rank="0" priority="56" equalAverage="0" operator="equal" aboveAverage="0" dxfId="20" text="" percent="0" bottom="0">
      <formula>"OK"</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0.xml><?xml version="1.0" encoding="utf-8"?>
<worksheet xmlns="http://schemas.openxmlformats.org/spreadsheetml/2006/main">
  <sheetPr filterMode="0">
    <tabColor rgb="FF1B7F5A"/>
    <outlinePr summaryBelow="1" summaryRight="1"/>
    <pageSetUpPr fitToPage="1"/>
  </sheetPr>
  <dimension ref="A1:F3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277" min="1" max="1"/>
    <col width="15" customWidth="1" style="277" min="2" max="5"/>
    <col width="48" customWidth="1" style="277" min="6" max="6"/>
  </cols>
  <sheetData>
    <row r="1" ht="30" customHeight="1" s="278">
      <c r="A1" s="345" t="inlineStr">
        <is>
          <t>Budget &amp; Forecast</t>
        </is>
      </c>
    </row>
    <row r="2" ht="13.5" customHeight="1" s="278">
      <c r="A2" s="565" t="inlineStr">
        <is>
          <t>Conservative by design. Confirmed, expected and possible income are never blended into one number.</t>
        </is>
      </c>
    </row>
    <row r="3" ht="6" customHeight="1" s="278"/>
    <row r="5" ht="19.5" customHeight="1" s="278">
      <c r="A5" s="382" t="inlineStr">
        <is>
          <t>CASH FLOW TO THE RENT CHEQUE  ·  the 26 Oct salary is deliberately excluded</t>
        </is>
      </c>
      <c r="B5" s="287" t="n"/>
      <c r="C5" s="287" t="n"/>
      <c r="D5" s="287" t="n"/>
      <c r="E5" s="287" t="n"/>
      <c r="F5" s="287" t="n"/>
    </row>
    <row r="6" ht="27.75" customHeight="1" s="278">
      <c r="A6" s="383" t="inlineStr">
        <is>
          <t>Line</t>
        </is>
      </c>
      <c r="B6" s="383" t="inlineStr">
        <is>
          <t>Aug (from today)</t>
        </is>
      </c>
      <c r="C6" s="383" t="inlineStr">
        <is>
          <t>Sep 2026</t>
        </is>
      </c>
      <c r="D6" s="383" t="inlineStr">
        <is>
          <t>Oct 1 – 21</t>
        </is>
      </c>
      <c r="E6" s="383" t="inlineStr">
        <is>
          <t>Total</t>
        </is>
      </c>
      <c r="F6" s="383" t="inlineStr">
        <is>
          <t>Note</t>
        </is>
      </c>
    </row>
    <row r="7" ht="15" customHeight="1" s="278">
      <c r="A7" s="381" t="inlineStr">
        <is>
          <t>Period starts</t>
        </is>
      </c>
      <c r="B7" s="463">
        <f>Settings!$B$9</f>
        <v>46260.0</v>
      </c>
      <c r="C7" s="463">
        <f>DATE(2026,9,1)</f>
        <v>46266.0</v>
      </c>
      <c r="D7" s="463">
        <f>DATE(2026,10,1)</f>
        <v>46296.0</v>
      </c>
      <c r="E7" s="366" t="n"/>
      <c r="F7" s="381" t="inlineStr">
        <is>
          <t>Period boundaries drive every SUMIFS below</t>
        </is>
      </c>
    </row>
    <row r="8" ht="15" customHeight="1" s="278">
      <c r="A8" s="381" t="inlineStr">
        <is>
          <t>Period ends</t>
        </is>
      </c>
      <c r="B8" s="463">
        <f>DATE(2026,8,31)</f>
        <v>46265.0</v>
      </c>
      <c r="C8" s="463">
        <f>DATE(2026,9,30)</f>
        <v>46295.0</v>
      </c>
      <c r="D8" s="463">
        <f>Settings!$B$21</f>
        <v>46316.0</v>
      </c>
      <c r="E8" s="366" t="n"/>
      <c r="F8" s="366" t="n"/>
    </row>
    <row r="9" ht="15" customHeight="1" s="278">
      <c r="A9" s="381" t="inlineStr">
        <is>
          <t>Days in period</t>
        </is>
      </c>
      <c r="B9" s="543">
        <f>$B$8-$B$7</f>
        <v>5.0</v>
      </c>
      <c r="C9" s="543">
        <f>$C$8-$C$7+1</f>
        <v>30.0</v>
      </c>
      <c r="D9" s="543">
        <f>$D$8-$D$7+1</f>
        <v>21.0</v>
      </c>
      <c r="E9" s="543">
        <f>SUM(B9:D9)</f>
        <v>56.0</v>
      </c>
      <c r="F9" s="366" t="n"/>
    </row>
    <row r="10" ht="15" customHeight="1" s="278">
      <c r="A10" s="366" t="inlineStr">
        <is>
          <t>Opening cash (spendable)</t>
        </is>
      </c>
      <c r="B10" s="385">
        <f>Settings!$B$62</f>
        <v>156.8</v>
      </c>
      <c r="C10" s="385">
        <f>$B$16</f>
        <v>81.8</v>
      </c>
      <c r="D10" s="385">
        <f>$C$16</f>
        <v>5375.93</v>
      </c>
      <c r="E10" s="293">
        <f>B10</f>
        <v>156.8</v>
      </c>
      <c r="F10" s="368" t="inlineStr">
        <is>
          <t>Excludes rent vault and emergency fund</t>
        </is>
      </c>
    </row>
    <row r="11" ht="15" customHeight="1" s="278">
      <c r="A11" s="366" t="inlineStr">
        <is>
          <t>Expected inflows</t>
        </is>
      </c>
      <c r="B11" s="385">
        <f>SUMIFS('Bills &amp; Commitments'!$G$7:$G$80,'Bills &amp; Commitments'!$D$7:$D$80,"Inflow",'Bills &amp; Commitments'!$I$7:$I$80,"No",'Bills &amp; Commitments'!$H$7:$H$80,"AED",'Bills &amp; Commitments'!$A$7:$A$80,"&gt;="&amp;B$7,'Bills &amp; Commitments'!$A$7:$A$80,"&lt;="&amp;B$8)</f>
        <v>0.0</v>
      </c>
      <c r="C11" s="385">
        <f>SUMIFS('Bills &amp; Commitments'!$G$7:$G$80,'Bills &amp; Commitments'!$D$7:$D$80,"Inflow",'Bills &amp; Commitments'!$I$7:$I$80,"No",'Bills &amp; Commitments'!$H$7:$H$80,"AED",'Bills &amp; Commitments'!$A$7:$A$80,"&gt;="&amp;C$7,'Bills &amp; Commitments'!$A$7:$A$80,"&lt;="&amp;C$8)</f>
        <v>7914.88</v>
      </c>
      <c r="D11" s="385">
        <f>SUMIFS('Bills &amp; Commitments'!$G$7:$G$80,'Bills &amp; Commitments'!$D$7:$D$80,"Inflow",'Bills &amp; Commitments'!$I$7:$I$80,"No",'Bills &amp; Commitments'!$H$7:$H$80,"AED",'Bills &amp; Commitments'!$A$7:$A$80,"&gt;="&amp;D$7,'Bills &amp; Commitments'!$A$7:$A$80,"&lt;="&amp;D$8)</f>
        <v>0.0</v>
      </c>
      <c r="E11" s="293">
        <f>SUM(B11:D11)</f>
        <v>7914.88</v>
      </c>
      <c r="F11" s="368" t="inlineStr">
        <is>
          <t>Unsettled inflows only — nothing banked twice</t>
        </is>
      </c>
    </row>
    <row r="12" ht="15" customHeight="1" s="278">
      <c r="A12" s="296" t="inlineStr">
        <is>
          <t>Total available</t>
        </is>
      </c>
      <c r="B12" s="385">
        <f>B10+B11</f>
        <v>156.8</v>
      </c>
      <c r="C12" s="385">
        <f>C10+C11</f>
        <v>7996.68</v>
      </c>
      <c r="D12" s="385">
        <f>D10+D11</f>
        <v>5375.93</v>
      </c>
      <c r="E12" s="293">
        <f>D12</f>
        <v>5375.93</v>
      </c>
      <c r="F12" s="368" t="n"/>
    </row>
    <row r="13" ht="15" customHeight="1" s="278">
      <c r="A13" s="366" t="inlineStr">
        <is>
          <t>Committed bills</t>
        </is>
      </c>
      <c r="B13" s="385">
        <f>SUMIFS('Bills &amp; Commitments'!$G$7:$G$80,'Bills &amp; Commitments'!$D$7:$D$80,"Outflow",'Bills &amp; Commitments'!$I$7:$I$80,"No",'Bills &amp; Commitments'!$H$7:$H$80,"AED",'Bills &amp; Commitments'!$C$7:$C$80,"&lt;&gt;Rent",'Bills &amp; Commitments'!$A$7:$A$80,"&gt;="&amp;B$7,'Bills &amp; Commitments'!$A$7:$A$80,"&lt;="&amp;B$8)</f>
        <v>0.0</v>
      </c>
      <c r="C13" s="385">
        <f>SUMIFS('Bills &amp; Commitments'!$G$7:$G$80,'Bills &amp; Commitments'!$D$7:$D$80,"Outflow",'Bills &amp; Commitments'!$I$7:$I$80,"No",'Bills &amp; Commitments'!$H$7:$H$80,"AED",'Bills &amp; Commitments'!$C$7:$C$80,"&lt;&gt;Rent",'Bills &amp; Commitments'!$A$7:$A$80,"&gt;="&amp;C$7,'Bills &amp; Commitments'!$A$7:$A$80,"&lt;="&amp;C$8)</f>
        <v>2170.75</v>
      </c>
      <c r="D13" s="385">
        <f>SUMIFS('Bills &amp; Commitments'!$G$7:$G$80,'Bills &amp; Commitments'!$D$7:$D$80,"Outflow",'Bills &amp; Commitments'!$I$7:$I$80,"No",'Bills &amp; Commitments'!$H$7:$H$80,"AED",'Bills &amp; Commitments'!$C$7:$C$80,"&lt;&gt;Rent",'Bills &amp; Commitments'!$A$7:$A$80,"&gt;="&amp;D$7,'Bills &amp; Commitments'!$A$7:$A$80,"&lt;="&amp;D$8)</f>
        <v>2092.66</v>
      </c>
      <c r="E13" s="293">
        <f>SUM(B13:D13)</f>
        <v>4263.41</v>
      </c>
      <c r="F13" s="368" t="inlineStr">
        <is>
          <t>Utilities, telecom, Tabby minimum, SIP</t>
        </is>
      </c>
    </row>
    <row r="14" ht="15" customHeight="1" s="278">
      <c r="A14" s="366" t="inlineStr">
        <is>
          <t>Living at the minimum daily need</t>
        </is>
      </c>
      <c r="B14" s="385">
        <f>B9*Settings!$B$15</f>
        <v>75.0</v>
      </c>
      <c r="C14" s="385">
        <f>C9*Settings!$B$15</f>
        <v>450.0</v>
      </c>
      <c r="D14" s="385">
        <f>D9*Settings!$B$15</f>
        <v>315.0</v>
      </c>
      <c r="E14" s="293">
        <f>SUM(B14:D14)</f>
        <v>840.0</v>
      </c>
      <c r="F14" s="368" t="inlineStr">
        <is>
          <t>Floor, not a target</t>
        </is>
      </c>
    </row>
    <row r="15" ht="15" customHeight="1" s="278">
      <c r="A15" s="366" t="inlineStr">
        <is>
          <t>Rent cheque</t>
        </is>
      </c>
      <c r="B15" s="385">
        <f>SUMIFS('Bills &amp; Commitments'!$G$7:$G$80,'Bills &amp; Commitments'!$D$7:$D$80,"Outflow",'Bills &amp; Commitments'!$I$7:$I$80,"No",'Bills &amp; Commitments'!$H$7:$H$80,"AED",'Bills &amp; Commitments'!$C$7:$C$80,"Rent",'Bills &amp; Commitments'!$A$7:$A$80,"&gt;="&amp;B$7,'Bills &amp; Commitments'!$A$7:$A$80,"&lt;="&amp;B$8)</f>
        <v>0.0</v>
      </c>
      <c r="C15" s="385">
        <f>SUMIFS('Bills &amp; Commitments'!$G$7:$G$80,'Bills &amp; Commitments'!$D$7:$D$80,"Outflow",'Bills &amp; Commitments'!$I$7:$I$80,"No",'Bills &amp; Commitments'!$H$7:$H$80,"AED",'Bills &amp; Commitments'!$C$7:$C$80,"Rent",'Bills &amp; Commitments'!$A$7:$A$80,"&gt;="&amp;C$7,'Bills &amp; Commitments'!$A$7:$A$80,"&lt;="&amp;C$8)</f>
        <v>0.0</v>
      </c>
      <c r="D15" s="385">
        <f>SUMIFS('Bills &amp; Commitments'!$G$7:$G$80,'Bills &amp; Commitments'!$D$7:$D$80,"Outflow",'Bills &amp; Commitments'!$I$7:$I$80,"No",'Bills &amp; Commitments'!$H$7:$H$80,"AED",'Bills &amp; Commitments'!$C$7:$C$80,"Rent",'Bills &amp; Commitments'!$A$7:$A$80,"&gt;="&amp;D$7,'Bills &amp; Commitments'!$A$7:$A$80,"&lt;="&amp;D$8)</f>
        <v>0.0</v>
      </c>
      <c r="E15" s="293">
        <f>SUM(B15:D15)</f>
        <v>0.0</v>
      </c>
      <c r="F15" s="368" t="inlineStr">
        <is>
          <t>Clears 22 Oct — must already be funded</t>
        </is>
      </c>
    </row>
    <row r="16" ht="15" customHeight="1" s="278">
      <c r="A16" s="296" t="inlineStr">
        <is>
          <t>Closing cash</t>
        </is>
      </c>
      <c r="B16" s="385">
        <f>B12-B13-B14-B15</f>
        <v>81.8</v>
      </c>
      <c r="C16" s="385">
        <f>C12-C13-C14-C15</f>
        <v>5375.93</v>
      </c>
      <c r="D16" s="385">
        <f>D12-D13-D14-D15</f>
        <v>2968.27</v>
      </c>
      <c r="E16" s="293">
        <f>D16</f>
        <v>2968.27</v>
      </c>
      <c r="F16" s="368" t="inlineStr">
        <is>
          <t>Rolls into the next period</t>
        </is>
      </c>
    </row>
    <row r="17" ht="15" customHeight="1" s="278">
      <c r="A17" s="366" t="inlineStr">
        <is>
          <t>Cash available for the cheque before it clears</t>
        </is>
      </c>
      <c r="B17" s="385">
        <f>0</f>
        <v>0.0</v>
      </c>
      <c r="C17" s="385">
        <f>0</f>
        <v>0.0</v>
      </c>
      <c r="D17" s="385">
        <f>D12-D13-D14+SUMIFS(Accounts!$E$7:$E$14,Accounts!$H$7:$H$14,"Rent vault")</f>
        <v>8908.97</v>
      </c>
      <c r="E17" s="293">
        <f>SUM(B17:D17)</f>
        <v>8908.97</v>
      </c>
      <c r="F17" s="368" t="inlineStr">
        <is>
          <t>Includes the rent vault</t>
        </is>
      </c>
    </row>
    <row r="18" ht="15" customHeight="1" s="278">
      <c r="A18" s="296" t="inlineStr">
        <is>
          <t>RENT SHORTFALL</t>
        </is>
      </c>
      <c r="B18" s="293">
        <f>0</f>
        <v>0.0</v>
      </c>
      <c r="C18" s="293">
        <f>0</f>
        <v>0.0</v>
      </c>
      <c r="D18" s="293">
        <f>MAX(Settings!$B$19-D17,0)</f>
        <v>2841.03</v>
      </c>
      <c r="E18" s="293">
        <f>SUM(B18:D18)</f>
        <v>2841.03</v>
      </c>
      <c r="F18" s="368" t="inlineStr">
        <is>
          <t>Must be driven to zero</t>
        </is>
      </c>
    </row>
    <row r="20" ht="19.5" customHeight="1" s="278">
      <c r="A20" s="382" t="inlineStr">
        <is>
          <t>BUDGET vs ACTUAL  ·  current month</t>
        </is>
      </c>
      <c r="B20" s="287" t="n"/>
      <c r="C20" s="287" t="n"/>
      <c r="D20" s="287" t="n"/>
      <c r="E20" s="287" t="n"/>
      <c r="F20" s="287" t="n"/>
    </row>
    <row r="21" ht="27.75" customHeight="1" s="278">
      <c r="A21" s="383" t="inlineStr">
        <is>
          <t>Category</t>
        </is>
      </c>
      <c r="B21" s="383" t="inlineStr">
        <is>
          <t>Monthly budget</t>
        </is>
      </c>
      <c r="C21" s="383" t="inlineStr">
        <is>
          <t>Actual this month</t>
        </is>
      </c>
      <c r="D21" s="383" t="inlineStr">
        <is>
          <t>Variance</t>
        </is>
      </c>
      <c r="E21" s="383" t="inlineStr">
        <is>
          <t>Previous month</t>
        </is>
      </c>
      <c r="F21" s="383" t="inlineStr">
        <is>
          <t>3-month average</t>
        </is>
      </c>
    </row>
    <row r="22" ht="15" customHeight="1" s="278">
      <c r="A22" s="366" t="inlineStr">
        <is>
          <t>Groceries</t>
        </is>
      </c>
      <c r="B22" s="392" t="n">
        <v>400</v>
      </c>
      <c r="C22" s="385">
        <f>SUMIFS(Transactions!$O$7:$O$520,Transactions!$F$7:$F$520,"Expense",Transactions!$P$7:$P$520,"AED",Transactions!$C$7:$C$520,Settings!$B$84,Transactions!$G$7:$G$520,$A22)</f>
        <v>134.23</v>
      </c>
      <c r="D22" s="293">
        <f>$B22-$C22</f>
        <v>265.77</v>
      </c>
      <c r="E22" s="385">
        <f>SUMIFS(Transactions!$O$7:$O$520,Transactions!$F$7:$F$520,"Expense",Transactions!$P$7:$P$520,"AED",Transactions!$C$7:$C$520,TEXT(EDATE(Settings!$B$9,-1),"YYYY-MM"),Transactions!$G$7:$G$520,$A22)</f>
        <v>0.0</v>
      </c>
      <c r="F22" s="385">
        <f>($C22+$E22+SUMIFS(Transactions!$O$7:$O$520,Transactions!$F$7:$F$520,"Expense",Transactions!$P$7:$P$520,"AED",Transactions!$C$7:$C$520,TEXT(EDATE(Settings!$B$9,-2),"YYYY-MM"),Transactions!$G$7:$G$520,$A22))/3</f>
        <v>44.7433333333</v>
      </c>
    </row>
    <row r="23" ht="15" customHeight="1" s="278">
      <c r="A23" s="366" t="inlineStr">
        <is>
          <t>Food &amp; Dining</t>
        </is>
      </c>
      <c r="B23" s="392" t="n">
        <v>500</v>
      </c>
      <c r="C23" s="385">
        <f>SUMIFS(Transactions!$O$7:$O$520,Transactions!$F$7:$F$520,"Expense",Transactions!$P$7:$P$520,"AED",Transactions!$C$7:$C$520,Settings!$B$84,Transactions!$G$7:$G$520,$A23)</f>
        <v>867.27</v>
      </c>
      <c r="D23" s="293">
        <f>$B23-$C23</f>
        <v>-367.27</v>
      </c>
      <c r="E23" s="385">
        <f>SUMIFS(Transactions!$O$7:$O$520,Transactions!$F$7:$F$520,"Expense",Transactions!$P$7:$P$520,"AED",Transactions!$C$7:$C$520,TEXT(EDATE(Settings!$B$9,-1),"YYYY-MM"),Transactions!$G$7:$G$520,$A23)</f>
        <v>0.0</v>
      </c>
      <c r="F23" s="385">
        <f>($C23+$E23+SUMIFS(Transactions!$O$7:$O$520,Transactions!$F$7:$F$520,"Expense",Transactions!$P$7:$P$520,"AED",Transactions!$C$7:$C$520,TEXT(EDATE(Settings!$B$9,-2),"YYYY-MM"),Transactions!$G$7:$G$520,$A23))/3</f>
        <v>289.09</v>
      </c>
    </row>
    <row r="24" ht="15" customHeight="1" s="278">
      <c r="A24" s="366" t="inlineStr">
        <is>
          <t>Utilities</t>
        </is>
      </c>
      <c r="B24" s="392" t="n">
        <v>800</v>
      </c>
      <c r="C24" s="385">
        <f>SUMIFS(Transactions!$O$7:$O$520,Transactions!$F$7:$F$520,"Expense",Transactions!$P$7:$P$520,"AED",Transactions!$C$7:$C$520,Settings!$B$84,Transactions!$G$7:$G$520,$A24)</f>
        <v>1728.21</v>
      </c>
      <c r="D24" s="293">
        <f>$B24-$C24</f>
        <v>-928.21</v>
      </c>
      <c r="E24" s="385">
        <f>SUMIFS(Transactions!$O$7:$O$520,Transactions!$F$7:$F$520,"Expense",Transactions!$P$7:$P$520,"AED",Transactions!$C$7:$C$520,TEXT(EDATE(Settings!$B$9,-1),"YYYY-MM"),Transactions!$G$7:$G$520,$A24)</f>
        <v>0.0</v>
      </c>
      <c r="F24" s="385">
        <f>($C24+$E24+SUMIFS(Transactions!$O$7:$O$520,Transactions!$F$7:$F$520,"Expense",Transactions!$P$7:$P$520,"AED",Transactions!$C$7:$C$520,TEXT(EDATE(Settings!$B$9,-2),"YYYY-MM"),Transactions!$G$7:$G$520,$A24))/3</f>
        <v>576.07</v>
      </c>
    </row>
    <row r="25" ht="15" customHeight="1" s="278">
      <c r="A25" s="366" t="inlineStr">
        <is>
          <t>Telecom</t>
        </is>
      </c>
      <c r="B25" s="392" t="n">
        <v>920</v>
      </c>
      <c r="C25" s="385">
        <f>SUMIFS(Transactions!$O$7:$O$520,Transactions!$F$7:$F$520,"Expense",Transactions!$P$7:$P$520,"AED",Transactions!$C$7:$C$520,Settings!$B$84,Transactions!$G$7:$G$520,$A25)</f>
        <v>0.0</v>
      </c>
      <c r="D25" s="293">
        <f>$B25-$C25</f>
        <v>920.0</v>
      </c>
      <c r="E25" s="385">
        <f>SUMIFS(Transactions!$O$7:$O$520,Transactions!$F$7:$F$520,"Expense",Transactions!$P$7:$P$520,"AED",Transactions!$C$7:$C$520,TEXT(EDATE(Settings!$B$9,-1),"YYYY-MM"),Transactions!$G$7:$G$520,$A25)</f>
        <v>0.0</v>
      </c>
      <c r="F25" s="385">
        <f>($C25+$E25+SUMIFS(Transactions!$O$7:$O$520,Transactions!$F$7:$F$520,"Expense",Transactions!$P$7:$P$520,"AED",Transactions!$C$7:$C$520,TEXT(EDATE(Settings!$B$9,-2),"YYYY-MM"),Transactions!$G$7:$G$520,$A25))/3</f>
        <v>0.0</v>
      </c>
    </row>
    <row r="26" ht="15" customHeight="1" s="278">
      <c r="A26" s="366" t="inlineStr">
        <is>
          <t>Transport</t>
        </is>
      </c>
      <c r="B26" s="392" t="n">
        <v>150</v>
      </c>
      <c r="C26" s="385">
        <f>SUMIFS(Transactions!$O$7:$O$520,Transactions!$F$7:$F$520,"Expense",Transactions!$P$7:$P$520,"AED",Transactions!$C$7:$C$520,Settings!$B$84,Transactions!$G$7:$G$520,$A26)</f>
        <v>389.07</v>
      </c>
      <c r="D26" s="293">
        <f>$B26-$C26</f>
        <v>-239.07</v>
      </c>
      <c r="E26" s="385">
        <f>SUMIFS(Transactions!$O$7:$O$520,Transactions!$F$7:$F$520,"Expense",Transactions!$P$7:$P$520,"AED",Transactions!$C$7:$C$520,TEXT(EDATE(Settings!$B$9,-1),"YYYY-MM"),Transactions!$G$7:$G$520,$A26)</f>
        <v>0.0</v>
      </c>
      <c r="F26" s="385">
        <f>($C26+$E26+SUMIFS(Transactions!$O$7:$O$520,Transactions!$F$7:$F$520,"Expense",Transactions!$P$7:$P$520,"AED",Transactions!$C$7:$C$520,TEXT(EDATE(Settings!$B$9,-2),"YYYY-MM"),Transactions!$G$7:$G$520,$A26))/3</f>
        <v>129.69</v>
      </c>
    </row>
    <row r="27" ht="15" customHeight="1" s="278">
      <c r="A27" s="366" t="inlineStr">
        <is>
          <t>Travel &amp; Airfare</t>
        </is>
      </c>
      <c r="B27" s="392" t="n">
        <v>0</v>
      </c>
      <c r="C27" s="385">
        <f>SUMIFS(Transactions!$O$7:$O$520,Transactions!$F$7:$F$520,"Expense",Transactions!$P$7:$P$520,"AED",Transactions!$C$7:$C$520,Settings!$B$84,Transactions!$G$7:$G$520,$A27)</f>
        <v>1430.0</v>
      </c>
      <c r="D27" s="293">
        <f>$B27-$C27</f>
        <v>-1430.0</v>
      </c>
      <c r="E27" s="385">
        <f>SUMIFS(Transactions!$O$7:$O$520,Transactions!$F$7:$F$520,"Expense",Transactions!$P$7:$P$520,"AED",Transactions!$C$7:$C$520,TEXT(EDATE(Settings!$B$9,-1),"YYYY-MM"),Transactions!$G$7:$G$520,$A27)</f>
        <v>0.0</v>
      </c>
      <c r="F27" s="385">
        <f>($C27+$E27+SUMIFS(Transactions!$O$7:$O$520,Transactions!$F$7:$F$520,"Expense",Transactions!$P$7:$P$520,"AED",Transactions!$C$7:$C$520,TEXT(EDATE(Settings!$B$9,-2),"YYYY-MM"),Transactions!$G$7:$G$520,$A27))/3</f>
        <v>476.6666666667</v>
      </c>
    </row>
    <row r="28" ht="15" customHeight="1" s="278">
      <c r="A28" s="366" t="inlineStr">
        <is>
          <t>Household Other</t>
        </is>
      </c>
      <c r="B28" s="392" t="n">
        <v>150</v>
      </c>
      <c r="C28" s="385">
        <f>SUMIFS(Transactions!$O$7:$O$520,Transactions!$F$7:$F$520,"Expense",Transactions!$P$7:$P$520,"AED",Transactions!$C$7:$C$520,Settings!$B$84,Transactions!$G$7:$G$520,$A28)</f>
        <v>22.97</v>
      </c>
      <c r="D28" s="293">
        <f>$B28-$C28</f>
        <v>127.03</v>
      </c>
      <c r="E28" s="385">
        <f>SUMIFS(Transactions!$O$7:$O$520,Transactions!$F$7:$F$520,"Expense",Transactions!$P$7:$P$520,"AED",Transactions!$C$7:$C$520,TEXT(EDATE(Settings!$B$9,-1),"YYYY-MM"),Transactions!$G$7:$G$520,$A28)</f>
        <v>0.0</v>
      </c>
      <c r="F28" s="385">
        <f>($C28+$E28+SUMIFS(Transactions!$O$7:$O$520,Transactions!$F$7:$F$520,"Expense",Transactions!$P$7:$P$520,"AED",Transactions!$C$7:$C$520,TEXT(EDATE(Settings!$B$9,-2),"YYYY-MM"),Transactions!$G$7:$G$520,$A28))/3</f>
        <v>7.6566666667</v>
      </c>
    </row>
    <row r="29" ht="15" customHeight="1" s="278">
      <c r="A29" s="366" t="inlineStr">
        <is>
          <t>Family Support</t>
        </is>
      </c>
      <c r="B29" s="392" t="n">
        <v>150</v>
      </c>
      <c r="C29" s="385">
        <f>SUMIFS(Transactions!$O$7:$O$520,Transactions!$F$7:$F$520,"Expense",Transactions!$P$7:$P$520,"AED",Transactions!$C$7:$C$520,Settings!$B$84,Transactions!$G$7:$G$520,$A29)</f>
        <v>100.0</v>
      </c>
      <c r="D29" s="293">
        <f>$B29-$C29</f>
        <v>50.0</v>
      </c>
      <c r="E29" s="385">
        <f>SUMIFS(Transactions!$O$7:$O$520,Transactions!$F$7:$F$520,"Expense",Transactions!$P$7:$P$520,"AED",Transactions!$C$7:$C$520,TEXT(EDATE(Settings!$B$9,-1),"YYYY-MM"),Transactions!$G$7:$G$520,$A29)</f>
        <v>0.0</v>
      </c>
      <c r="F29" s="385">
        <f>($C29+$E29+SUMIFS(Transactions!$O$7:$O$520,Transactions!$F$7:$F$520,"Expense",Transactions!$P$7:$P$520,"AED",Transactions!$C$7:$C$520,TEXT(EDATE(Settings!$B$9,-2),"YYYY-MM"),Transactions!$G$7:$G$520,$A29))/3</f>
        <v>33.3333333333</v>
      </c>
    </row>
    <row r="30" ht="15" customHeight="1" s="278">
      <c r="A30" s="366" t="inlineStr">
        <is>
          <t>Lifestyle</t>
        </is>
      </c>
      <c r="B30" s="392" t="n">
        <v>300</v>
      </c>
      <c r="C30" s="385">
        <f>SUMIFS(Transactions!$O$7:$O$520,Transactions!$F$7:$F$520,"Expense",Transactions!$P$7:$P$520,"AED",Transactions!$C$7:$C$520,Settings!$B$84,Transactions!$G$7:$G$520,$A30)</f>
        <v>787.56</v>
      </c>
      <c r="D30" s="293">
        <f>$B30-$C30</f>
        <v>-487.56</v>
      </c>
      <c r="E30" s="385">
        <f>SUMIFS(Transactions!$O$7:$O$520,Transactions!$F$7:$F$520,"Expense",Transactions!$P$7:$P$520,"AED",Transactions!$C$7:$C$520,TEXT(EDATE(Settings!$B$9,-1),"YYYY-MM"),Transactions!$G$7:$G$520,$A30)</f>
        <v>0.0</v>
      </c>
      <c r="F30" s="385">
        <f>($C30+$E30+SUMIFS(Transactions!$O$7:$O$520,Transactions!$F$7:$F$520,"Expense",Transactions!$P$7:$P$520,"AED",Transactions!$C$7:$C$520,TEXT(EDATE(Settings!$B$9,-2),"YYYY-MM"),Transactions!$G$7:$G$520,$A30))/3</f>
        <v>262.52</v>
      </c>
    </row>
    <row r="31" ht="15" customHeight="1" s="278">
      <c r="A31" s="366" t="inlineStr">
        <is>
          <t>Entertainment</t>
        </is>
      </c>
      <c r="B31" s="392" t="n">
        <v>50</v>
      </c>
      <c r="C31" s="385">
        <f>SUMIFS(Transactions!$O$7:$O$520,Transactions!$F$7:$F$520,"Expense",Transactions!$P$7:$P$520,"AED",Transactions!$C$7:$C$520,Settings!$B$84,Transactions!$G$7:$G$520,$A31)</f>
        <v>20.0</v>
      </c>
      <c r="D31" s="293">
        <f>$B31-$C31</f>
        <v>30.0</v>
      </c>
      <c r="E31" s="385">
        <f>SUMIFS(Transactions!$O$7:$O$520,Transactions!$F$7:$F$520,"Expense",Transactions!$P$7:$P$520,"AED",Transactions!$C$7:$C$520,TEXT(EDATE(Settings!$B$9,-1),"YYYY-MM"),Transactions!$G$7:$G$520,$A31)</f>
        <v>0.0</v>
      </c>
      <c r="F31" s="385">
        <f>($C31+$E31+SUMIFS(Transactions!$O$7:$O$520,Transactions!$F$7:$F$520,"Expense",Transactions!$P$7:$P$520,"AED",Transactions!$C$7:$C$520,TEXT(EDATE(Settings!$B$9,-2),"YYYY-MM"),Transactions!$G$7:$G$520,$A31))/3</f>
        <v>6.6666666667</v>
      </c>
    </row>
    <row r="32" ht="15" customHeight="1" s="278">
      <c r="A32" s="366" t="inlineStr">
        <is>
          <t>Shopping</t>
        </is>
      </c>
      <c r="B32" s="392" t="n">
        <v>0</v>
      </c>
      <c r="C32" s="385">
        <f>SUMIFS(Transactions!$O$7:$O$520,Transactions!$F$7:$F$520,"Expense",Transactions!$P$7:$P$520,"AED",Transactions!$C$7:$C$520,Settings!$B$84,Transactions!$G$7:$G$520,$A32)</f>
        <v>0.0</v>
      </c>
      <c r="D32" s="293">
        <f>$B32-$C32</f>
        <v>0.0</v>
      </c>
      <c r="E32" s="385">
        <f>SUMIFS(Transactions!$O$7:$O$520,Transactions!$F$7:$F$520,"Expense",Transactions!$P$7:$P$520,"AED",Transactions!$C$7:$C$520,TEXT(EDATE(Settings!$B$9,-1),"YYYY-MM"),Transactions!$G$7:$G$520,$A32)</f>
        <v>0.0</v>
      </c>
      <c r="F32" s="385">
        <f>($C32+$E32+SUMIFS(Transactions!$O$7:$O$520,Transactions!$F$7:$F$520,"Expense",Transactions!$P$7:$P$520,"AED",Transactions!$C$7:$C$520,TEXT(EDATE(Settings!$B$9,-2),"YYYY-MM"),Transactions!$G$7:$G$520,$A32))/3</f>
        <v>0.0</v>
      </c>
    </row>
    <row r="33" ht="15" customHeight="1" s="278">
      <c r="A33" s="366" t="inlineStr">
        <is>
          <t>Health</t>
        </is>
      </c>
      <c r="B33" s="392" t="n">
        <v>50</v>
      </c>
      <c r="C33" s="385">
        <f>SUMIFS(Transactions!$O$7:$O$520,Transactions!$F$7:$F$520,"Expense",Transactions!$P$7:$P$520,"AED",Transactions!$C$7:$C$520,Settings!$B$84,Transactions!$G$7:$G$520,$A33)</f>
        <v>65.0</v>
      </c>
      <c r="D33" s="293">
        <f>$B33-$C33</f>
        <v>-15.0</v>
      </c>
      <c r="E33" s="385">
        <f>SUMIFS(Transactions!$O$7:$O$520,Transactions!$F$7:$F$520,"Expense",Transactions!$P$7:$P$520,"AED",Transactions!$C$7:$C$520,TEXT(EDATE(Settings!$B$9,-1),"YYYY-MM"),Transactions!$G$7:$G$520,$A33)</f>
        <v>0.0</v>
      </c>
      <c r="F33" s="385">
        <f>($C33+$E33+SUMIFS(Transactions!$O$7:$O$520,Transactions!$F$7:$F$520,"Expense",Transactions!$P$7:$P$520,"AED",Transactions!$C$7:$C$520,TEXT(EDATE(Settings!$B$9,-2),"YYYY-MM"),Transactions!$G$7:$G$520,$A33))/3</f>
        <v>21.6666666667</v>
      </c>
    </row>
    <row r="34" ht="15" customHeight="1" s="278">
      <c r="A34" s="366" t="inlineStr">
        <is>
          <t>BNPL</t>
        </is>
      </c>
      <c r="B34" s="392" t="n">
        <v>1315</v>
      </c>
      <c r="C34" s="385">
        <f>SUMIFS(Transactions!$O$7:$O$520,Transactions!$F$7:$F$520,"Expense",Transactions!$P$7:$P$520,"AED",Transactions!$C$7:$C$520,Settings!$B$84,Transactions!$G$7:$G$520,$A34)</f>
        <v>1358.65</v>
      </c>
      <c r="D34" s="293">
        <f>$B34-$C34</f>
        <v>-43.65</v>
      </c>
      <c r="E34" s="385">
        <f>SUMIFS(Transactions!$O$7:$O$520,Transactions!$F$7:$F$520,"Expense",Transactions!$P$7:$P$520,"AED",Transactions!$C$7:$C$520,TEXT(EDATE(Settings!$B$9,-1),"YYYY-MM"),Transactions!$G$7:$G$520,$A34)</f>
        <v>0.0</v>
      </c>
      <c r="F34" s="385">
        <f>($C34+$E34+SUMIFS(Transactions!$O$7:$O$520,Transactions!$F$7:$F$520,"Expense",Transactions!$P$7:$P$520,"AED",Transactions!$C$7:$C$520,TEXT(EDATE(Settings!$B$9,-2),"YYYY-MM"),Transactions!$G$7:$G$520,$A34))/3</f>
        <v>452.8833333333</v>
      </c>
    </row>
    <row r="35" ht="15" customHeight="1" s="278">
      <c r="A35" s="366" t="inlineStr">
        <is>
          <t>Investments</t>
        </is>
      </c>
      <c r="B35" s="392" t="n">
        <v>462</v>
      </c>
      <c r="C35" s="385">
        <f>SUMIFS(Transactions!$O$7:$O$520,Transactions!$F$7:$F$520,"Expense",Transactions!$P$7:$P$520,"AED",Transactions!$C$7:$C$520,Settings!$B$84,Transactions!$G$7:$G$520,$A35)</f>
        <v>465.6</v>
      </c>
      <c r="D35" s="293">
        <f>$B35-$C35</f>
        <v>-3.6</v>
      </c>
      <c r="E35" s="385">
        <f>SUMIFS(Transactions!$O$7:$O$520,Transactions!$F$7:$F$520,"Expense",Transactions!$P$7:$P$520,"AED",Transactions!$C$7:$C$520,TEXT(EDATE(Settings!$B$9,-1),"YYYY-MM"),Transactions!$G$7:$G$520,$A35)</f>
        <v>0.0</v>
      </c>
      <c r="F35" s="385">
        <f>($C35+$E35+SUMIFS(Transactions!$O$7:$O$520,Transactions!$F$7:$F$520,"Expense",Transactions!$P$7:$P$520,"AED",Transactions!$C$7:$C$520,TEXT(EDATE(Settings!$B$9,-2),"YYYY-MM"),Transactions!$G$7:$G$520,$A35))/3</f>
        <v>155.2</v>
      </c>
    </row>
    <row r="36" ht="15" customHeight="1" s="278">
      <c r="A36" s="366" t="inlineStr">
        <is>
          <t>Other</t>
        </is>
      </c>
      <c r="B36" s="392" t="n">
        <v>0</v>
      </c>
      <c r="C36" s="385">
        <f>SUMIFS(Transactions!$O$7:$O$520,Transactions!$F$7:$F$520,"Expense",Transactions!$P$7:$P$520,"AED",Transactions!$C$7:$C$520,Settings!$B$84,Transactions!$G$7:$G$520,$A36)</f>
        <v>183.0</v>
      </c>
      <c r="D36" s="293">
        <f>$B36-$C36</f>
        <v>-183.0</v>
      </c>
      <c r="E36" s="385">
        <f>SUMIFS(Transactions!$O$7:$O$520,Transactions!$F$7:$F$520,"Expense",Transactions!$P$7:$P$520,"AED",Transactions!$C$7:$C$520,TEXT(EDATE(Settings!$B$9,-1),"YYYY-MM"),Transactions!$G$7:$G$520,$A36)</f>
        <v>0.0</v>
      </c>
      <c r="F36" s="385">
        <f>($C36+$E36+SUMIFS(Transactions!$O$7:$O$520,Transactions!$F$7:$F$520,"Expense",Transactions!$P$7:$P$520,"AED",Transactions!$C$7:$C$520,TEXT(EDATE(Settings!$B$9,-2),"YYYY-MM"),Transactions!$G$7:$G$520,$A36))/3</f>
        <v>61.0</v>
      </c>
    </row>
    <row r="37" ht="15" customHeight="1" s="278">
      <c r="A37" s="376" t="inlineStr">
        <is>
          <t>TOTAL</t>
        </is>
      </c>
      <c r="B37" s="378">
        <f>SUM(B22:B36)</f>
        <v>5247.0</v>
      </c>
      <c r="C37" s="378">
        <f>SUM(C22:C36)</f>
        <v>7551.56</v>
      </c>
      <c r="D37" s="378">
        <f>SUM(D22:D36)</f>
        <v>-2304.56</v>
      </c>
      <c r="E37" s="378">
        <f>SUM(E22:E36)</f>
        <v>0.0</v>
      </c>
      <c r="F37" s="378">
        <f>SUM(F22:F36)</f>
        <v>2517.1866666667</v>
      </c>
    </row>
  </sheetData>
  <conditionalFormatting sqref="B18:E18">
    <cfRule type="cellIs" rank="0" priority="2" equalAverage="0" operator="greaterThan" aboveAverage="0" dxfId="4" text="" percent="0" bottom="0">
      <formula>0.009</formula>
    </cfRule>
  </conditionalFormatting>
  <conditionalFormatting sqref="D22:D37">
    <cfRule type="cellIs" rank="0" priority="3" equalAverage="0" operator="lessThan" aboveAverage="0" dxfId="4" text="" percent="0" bottom="0">
      <formula>0</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1.xml><?xml version="1.0" encoding="utf-8"?>
<worksheet xmlns="http://schemas.openxmlformats.org/spreadsheetml/2006/main">
  <sheetPr filterMode="0">
    <tabColor rgb="FF1B7F5A"/>
    <outlinePr summaryBelow="1" summaryRight="1"/>
    <pageSetUpPr fitToPage="1"/>
  </sheetPr>
  <dimension ref="A1:H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277" min="1" max="1"/>
    <col width="17" customWidth="1" style="277" min="2" max="4"/>
    <col width="2" customWidth="1" style="277" min="5" max="5"/>
    <col width="36" customWidth="1" style="277" min="6" max="6"/>
    <col width="18" customWidth="1" style="277" min="7" max="7"/>
    <col width="52" customWidth="1" style="277" min="8" max="8"/>
  </cols>
  <sheetData>
    <row r="1" ht="30" customHeight="1" s="278">
      <c r="A1" s="345" t="inlineStr">
        <is>
          <t>Scenarios, Weekend Control &amp; What-If</t>
        </is>
      </c>
    </row>
    <row r="2" ht="13.5" customHeight="1" s="278">
      <c r="A2" s="565" t="inlineStr">
        <is>
          <t>Change one blue cell and watch the consequence. This sheet is designed to make an unaffordable decision obvious before you make it.</t>
        </is>
      </c>
    </row>
    <row r="3" ht="6" customHeight="1" s="278"/>
    <row r="5" ht="19.5" customHeight="1" s="278">
      <c r="A5" s="382" t="inlineStr">
        <is>
          <t>MONTH-END SURVIVAL FORECAST</t>
        </is>
      </c>
      <c r="B5" s="287" t="n"/>
      <c r="C5" s="287" t="n"/>
      <c r="D5" s="287" t="n"/>
    </row>
    <row r="6" ht="27.75" customHeight="1" s="278">
      <c r="A6" s="383" t="inlineStr">
        <is>
          <t>Measure</t>
        </is>
      </c>
      <c r="B6" s="383" t="inlineStr">
        <is>
          <t>Controlled case</t>
        </is>
      </c>
      <c r="C6" s="383" t="inlineStr">
        <is>
          <t>Base case</t>
        </is>
      </c>
      <c r="D6" s="383" t="inlineStr">
        <is>
          <t>High-spend case</t>
        </is>
      </c>
    </row>
    <row r="7" ht="15" customHeight="1" s="278">
      <c r="A7" s="296" t="inlineStr">
        <is>
          <t>Assumed daily spend</t>
        </is>
      </c>
      <c r="B7" s="385">
        <f>MAX(Settings!$B$75,Settings!$B$76)</f>
        <v>0.0</v>
      </c>
      <c r="C7" s="385">
        <f>Settings!$B$90</f>
        <v>119.9919230769</v>
      </c>
      <c r="D7" s="385">
        <f>Settings!$B$90*1.25</f>
        <v>149.9899038462</v>
      </c>
    </row>
    <row r="8" ht="15" customHeight="1" s="278">
      <c r="A8" s="366" t="inlineStr">
        <is>
          <t>Days remaining in the month</t>
        </is>
      </c>
      <c r="B8" s="464">
        <f>Settings!$B$91</f>
        <v>5.0</v>
      </c>
      <c r="C8" s="464">
        <f>Settings!$B$91</f>
        <v>5.0</v>
      </c>
      <c r="D8" s="464">
        <f>Settings!$B$91</f>
        <v>5.0</v>
      </c>
    </row>
    <row r="9" ht="15" customHeight="1" s="278">
      <c r="A9" s="366" t="inlineStr">
        <is>
          <t>Projected further spending</t>
        </is>
      </c>
      <c r="B9" s="385">
        <f>B7*B8</f>
        <v>0.0</v>
      </c>
      <c r="C9" s="385">
        <f>C7*C8</f>
        <v>599.9596153846</v>
      </c>
      <c r="D9" s="385">
        <f>D7*D8</f>
        <v>749.9495192308</v>
      </c>
    </row>
    <row r="10" ht="15" customHeight="1" s="278">
      <c r="A10" s="366" t="inlineStr">
        <is>
          <t>Remaining bills this month</t>
        </is>
      </c>
      <c r="B10" s="385">
        <f>Settings!$B$92</f>
        <v>0.0</v>
      </c>
      <c r="C10" s="385">
        <f>Settings!$B$92</f>
        <v>0.0</v>
      </c>
      <c r="D10" s="385">
        <f>Settings!$B$92</f>
        <v>0.0</v>
      </c>
    </row>
    <row r="11" ht="15" customHeight="1" s="278">
      <c r="A11" s="366" t="inlineStr">
        <is>
          <t>Expected inflows this month</t>
        </is>
      </c>
      <c r="B11" s="385">
        <f>Settings!$B$93</f>
        <v>0.0</v>
      </c>
      <c r="C11" s="385">
        <f>Settings!$B$93</f>
        <v>0.0</v>
      </c>
      <c r="D11" s="385">
        <f>Settings!$B$93</f>
        <v>0.0</v>
      </c>
    </row>
    <row r="12" ht="15" customHeight="1" s="278">
      <c r="A12" s="296" t="inlineStr">
        <is>
          <t>Projected month-end cash</t>
        </is>
      </c>
      <c r="B12" s="293">
        <f>Settings!$B$62+B11-B10-B9</f>
        <v>156.8</v>
      </c>
      <c r="C12" s="293">
        <f>Settings!$B$62+C11-C10-C9</f>
        <v>-443.1596153846</v>
      </c>
      <c r="D12" s="293">
        <f>Settings!$B$62+D11-D10-D9</f>
        <v>-593.1495192308</v>
      </c>
    </row>
    <row r="13" ht="15" customHeight="1" s="278">
      <c r="A13" s="366" t="inlineStr">
        <is>
          <t>Cash carried into September</t>
        </is>
      </c>
      <c r="B13" s="385">
        <f>B12</f>
        <v>156.8</v>
      </c>
      <c r="C13" s="385">
        <f>C12</f>
        <v>-443.1596153846</v>
      </c>
      <c r="D13" s="385">
        <f>D12</f>
        <v>-593.1495192308</v>
      </c>
    </row>
    <row r="14" ht="15" customHeight="1" s="278">
      <c r="A14" s="366" t="inlineStr">
        <is>
          <t>Potential shortfall vs the rent plan</t>
        </is>
      </c>
      <c r="B14" s="385">
        <f>MAX(Settings!$B$81-(B12-C12),0)</f>
        <v>2491.0703846154</v>
      </c>
      <c r="C14" s="385">
        <f>Settings!$B$81</f>
        <v>3091.03</v>
      </c>
      <c r="D14" s="385">
        <f>Settings!$B$81+(D9-C9)</f>
        <v>3241.0199038462</v>
      </c>
    </row>
    <row r="15" ht="15" customHeight="1" s="278">
      <c r="A15" s="296" t="inlineStr">
        <is>
          <t>Status</t>
        </is>
      </c>
      <c r="B15" s="416" t="str">
        <f>IF(B14&gt;0.009,"RENT AT RISK",IF(B12&lt;0,"CRITICAL",IF(B12&lt;Settings!$B$14,"TIGHT","WORKABLE")))</f>
        <v>RENT AT RISK</v>
      </c>
      <c r="C15" s="416" t="str">
        <f>IF(C14&gt;0.009,"RENT AT RISK",IF(C12&lt;0,"CRITICAL",IF(C12&lt;Settings!$B$14,"TIGHT","WORKABLE")))</f>
        <v>RENT AT RISK</v>
      </c>
      <c r="D15" s="416" t="str">
        <f>IF(D14&gt;0.009,"RENT AT RISK",IF(D12&lt;0,"CRITICAL",IF(D12&lt;Settings!$B$14,"TIGHT","WORKABLE")))</f>
        <v>RENT AT RISK</v>
      </c>
    </row>
    <row r="16" ht="15" customHeight="1" s="278">
      <c r="A16" s="342" t="inlineStr">
        <is>
          <t>Note: the controlled case assumes you live at the survival floor. It is the only case that keeps the rent cheque fundable.</t>
        </is>
      </c>
    </row>
    <row r="17" ht="19.5" customHeight="1" s="278">
      <c r="A17" s="382" t="inlineStr">
        <is>
          <t>WEEKEND CONTROL</t>
        </is>
      </c>
      <c r="B17" s="287" t="n"/>
      <c r="C17" s="287" t="n"/>
      <c r="D17" s="287" t="n"/>
    </row>
    <row r="18" ht="27.75" customHeight="1" s="278">
      <c r="A18" s="383" t="inlineStr">
        <is>
          <t>Measure</t>
        </is>
      </c>
      <c r="B18" s="383" t="inlineStr">
        <is>
          <t>Value</t>
        </is>
      </c>
      <c r="C18" s="383" t="n"/>
      <c r="D18" s="383" t="inlineStr">
        <is>
          <t>Effect table  ·  if you spend this amount today</t>
        </is>
      </c>
    </row>
    <row r="19" ht="15" customHeight="1" s="278">
      <c r="A19" s="296" t="inlineStr">
        <is>
          <t>Weekend allowance (safe)</t>
        </is>
      </c>
      <c r="B19" s="367">
        <f>Settings!$B$78</f>
        <v>0.0</v>
      </c>
    </row>
    <row r="20" ht="15" customHeight="1" s="278">
      <c r="A20" s="296" t="inlineStr">
        <is>
          <t>Already spent this weekend</t>
        </is>
      </c>
      <c r="B20" s="392" t="n">
        <v>0</v>
      </c>
    </row>
    <row r="21" ht="15" customHeight="1" s="278">
      <c r="A21" s="296" t="inlineStr">
        <is>
          <t>Remaining weekend allowance</t>
        </is>
      </c>
      <c r="B21" s="367">
        <f>MAX($B$19-$B$20,0)</f>
        <v>0.0</v>
      </c>
    </row>
    <row r="22" ht="15" customHeight="1" s="278">
      <c r="A22" s="296" t="inlineStr">
        <is>
          <t>Days until next income</t>
        </is>
      </c>
      <c r="B22" s="362">
        <f>Settings!$B$66</f>
        <v>31.0</v>
      </c>
    </row>
    <row r="24" ht="27.75" customHeight="1" s="278">
      <c r="A24" s="383" t="inlineStr">
        <is>
          <t>Spend today</t>
        </is>
      </c>
      <c r="B24" s="383" t="inlineStr">
        <is>
          <t>New spendable cash</t>
        </is>
      </c>
      <c r="C24" s="383" t="inlineStr">
        <is>
          <t>New safe daily limit</t>
        </is>
      </c>
      <c r="D24" s="383" t="inlineStr">
        <is>
          <t>Projected month-end cash</t>
        </is>
      </c>
      <c r="E24" s="383" t="inlineStr">
        <is>
          <t>Risk status</t>
        </is>
      </c>
    </row>
    <row r="25" ht="15" customHeight="1" s="278">
      <c r="A25" s="544" t="n">
        <v>0</v>
      </c>
      <c r="B25" s="385">
        <f>Settings!$B$62-$A25</f>
        <v>156.8</v>
      </c>
      <c r="C25" s="385">
        <f>MAX(MIN(IF(Settings!$B$66&lt;=0,0,($B25-Settings!$B$63-Settings!$B$64)/Settings!$B$66),IF(Settings!$B$73&lt;=0,0,(Settings!$B$72-$A25)/Settings!$B$73)),0)</f>
        <v>0.0</v>
      </c>
      <c r="D25" s="385">
        <f>Settings!$B$94-$A25</f>
        <v>-443.1596153846</v>
      </c>
      <c r="E25" s="416" t="str">
        <f>IF(Settings!$B$72-$A25&lt;0,"CRITICAL",IF($C25&lt;Settings!$B$15,"TIGHT",IF($C25&lt;Settings!$B$15*1.5,"CAUTION","SAFE")))</f>
        <v>CRITICAL</v>
      </c>
    </row>
    <row r="26" ht="15" customHeight="1" s="278">
      <c r="A26" s="544" t="n">
        <v>100</v>
      </c>
      <c r="B26" s="385">
        <f>Settings!$B$62-$A26</f>
        <v>56.8</v>
      </c>
      <c r="C26" s="385">
        <f>MAX(MIN(IF(Settings!$B$66&lt;=0,0,($B26-Settings!$B$63-Settings!$B$64)/Settings!$B$66),IF(Settings!$B$73&lt;=0,0,(Settings!$B$72-$A26)/Settings!$B$73)),0)</f>
        <v>0.0</v>
      </c>
      <c r="D26" s="385">
        <f>Settings!$B$94-$A26</f>
        <v>-543.1596153846</v>
      </c>
      <c r="E26" s="416" t="str">
        <f>IF(Settings!$B$72-$A26&lt;0,"CRITICAL",IF($C26&lt;Settings!$B$15,"TIGHT",IF($C26&lt;Settings!$B$15*1.5,"CAUTION","SAFE")))</f>
        <v>CRITICAL</v>
      </c>
    </row>
    <row r="27" ht="15" customHeight="1" s="278">
      <c r="A27" s="544" t="n">
        <v>200</v>
      </c>
      <c r="B27" s="385">
        <f>Settings!$B$62-$A27</f>
        <v>-43.2</v>
      </c>
      <c r="C27" s="385">
        <f>MAX(MIN(IF(Settings!$B$66&lt;=0,0,($B27-Settings!$B$63-Settings!$B$64)/Settings!$B$66),IF(Settings!$B$73&lt;=0,0,(Settings!$B$72-$A27)/Settings!$B$73)),0)</f>
        <v>0.0</v>
      </c>
      <c r="D27" s="385">
        <f>Settings!$B$94-$A27</f>
        <v>-643.1596153846</v>
      </c>
      <c r="E27" s="416" t="str">
        <f>IF(Settings!$B$72-$A27&lt;0,"CRITICAL",IF($C27&lt;Settings!$B$15,"TIGHT",IF($C27&lt;Settings!$B$15*1.5,"CAUTION","SAFE")))</f>
        <v>CRITICAL</v>
      </c>
    </row>
    <row r="28" ht="15" customHeight="1" s="278">
      <c r="A28" s="544" t="n">
        <v>300</v>
      </c>
      <c r="B28" s="385">
        <f>Settings!$B$62-$A28</f>
        <v>-143.2</v>
      </c>
      <c r="C28" s="385">
        <f>MAX(MIN(IF(Settings!$B$66&lt;=0,0,($B28-Settings!$B$63-Settings!$B$64)/Settings!$B$66),IF(Settings!$B$73&lt;=0,0,(Settings!$B$72-$A28)/Settings!$B$73)),0)</f>
        <v>0.0</v>
      </c>
      <c r="D28" s="385">
        <f>Settings!$B$94-$A28</f>
        <v>-743.1596153846</v>
      </c>
      <c r="E28" s="416" t="str">
        <f>IF(Settings!$B$72-$A28&lt;0,"CRITICAL",IF($C28&lt;Settings!$B$15,"TIGHT",IF($C28&lt;Settings!$B$15*1.5,"CAUTION","SAFE")))</f>
        <v>CRITICAL</v>
      </c>
    </row>
    <row r="29" ht="15" customHeight="1" s="278">
      <c r="A29" s="544" t="n">
        <v>500</v>
      </c>
      <c r="B29" s="385">
        <f>Settings!$B$62-$A29</f>
        <v>-343.2</v>
      </c>
      <c r="C29" s="385">
        <f>MAX(MIN(IF(Settings!$B$66&lt;=0,0,($B29-Settings!$B$63-Settings!$B$64)/Settings!$B$66),IF(Settings!$B$73&lt;=0,0,(Settings!$B$72-$A29)/Settings!$B$73)),0)</f>
        <v>0.0</v>
      </c>
      <c r="D29" s="385">
        <f>Settings!$B$94-$A29</f>
        <v>-943.1596153846</v>
      </c>
      <c r="E29" s="416" t="str">
        <f>IF(Settings!$B$72-$A29&lt;0,"CRITICAL",IF($C29&lt;Settings!$B$15,"TIGHT",IF($C29&lt;Settings!$B$15*1.5,"CAUTION","SAFE")))</f>
        <v>CRITICAL</v>
      </c>
    </row>
    <row r="31" ht="19.5" customHeight="1" s="278">
      <c r="A31" s="382" t="inlineStr">
        <is>
          <t>WHAT-IF SIMULATOR  ·  type any amount in the blue cell</t>
        </is>
      </c>
      <c r="B31" s="287" t="n"/>
      <c r="C31" s="287" t="n"/>
      <c r="D31" s="287" t="n"/>
    </row>
    <row r="32" ht="27.75" customHeight="1" s="278">
      <c r="A32" s="383" t="inlineStr">
        <is>
          <t>Question</t>
        </is>
      </c>
      <c r="B32" s="383" t="inlineStr">
        <is>
          <t>Answer</t>
        </is>
      </c>
    </row>
    <row r="33" ht="15" customHeight="1" s="278">
      <c r="A33" s="296" t="inlineStr">
        <is>
          <t>If I spend this amount today…</t>
        </is>
      </c>
      <c r="B33" s="392" t="n">
        <v>250</v>
      </c>
    </row>
    <row r="34" ht="15" customHeight="1" s="278">
      <c r="A34" s="296" t="inlineStr">
        <is>
          <t>…my spendable cash becomes</t>
        </is>
      </c>
      <c r="B34" s="367">
        <f>Settings!$B$62-$B$33</f>
        <v>-93.2</v>
      </c>
    </row>
    <row r="35" ht="15" customHeight="1" s="278">
      <c r="A35" s="296" t="inlineStr">
        <is>
          <t>…my safe daily limit becomes</t>
        </is>
      </c>
      <c r="B35" s="367">
        <f>MAX(MIN(IF(Settings!$B$66&lt;=0,0,($B$34-Settings!$B$63-Settings!$B$64)/Settings!$B$66),IF(Settings!$B$73&lt;=0,0,(Settings!$B$72-$B$33)/Settings!$B$73)),0)</f>
        <v>0.0</v>
      </c>
    </row>
    <row r="36" ht="15" customHeight="1" s="278">
      <c r="A36" s="296" t="inlineStr">
        <is>
          <t>…projected month-end cash becomes</t>
        </is>
      </c>
      <c r="B36" s="367">
        <f>Settings!$B$94-$B$33</f>
        <v>-693.1596153846</v>
      </c>
    </row>
    <row r="37" ht="15" customHeight="1" s="278">
      <c r="A37" s="296" t="inlineStr">
        <is>
          <t>…the rent gap becomes</t>
        </is>
      </c>
      <c r="B37" s="367">
        <f>MAX(Settings!$B$81+$B$33,0)</f>
        <v>3341.03</v>
      </c>
    </row>
    <row r="38" ht="15" customHeight="1" s="278">
      <c r="A38" s="296" t="inlineStr">
        <is>
          <t>…and the honest verdict is</t>
        </is>
      </c>
      <c r="B38" s="545" t="str">
        <f>IF(Settings!$B$72-$B$33&lt;0,"This money is not yours to spend — it is already committed to rent.",IF($B$35&lt;Settings!$B$15,"Affordable only by cutting daily living below the survival floor.","Affordable."))</f>
        <v>This money is not yours to spend — it is already committed to rent.</v>
      </c>
      <c r="C38" s="318" t="n"/>
      <c r="D38" s="318" t="n"/>
      <c r="E38" s="318" t="n"/>
      <c r="F38" s="318" t="n"/>
      <c r="G38" s="318" t="n"/>
      <c r="H38" s="319" t="n"/>
    </row>
  </sheetData>
  <mergeCells count="2">
    <mergeCell ref="B38:H38"/>
    <mergeCell ref="A16:D16"/>
  </mergeCells>
  <conditionalFormatting sqref="B15">
    <cfRule type="cellIs" rank="0" priority="2" equalAverage="0" operator="equal" aboveAverage="0" dxfId="4" text="" percent="0" bottom="0">
      <formula>"CRITICAL"</formula>
    </cfRule>
    <cfRule type="cellIs" rank="0" priority="3" equalAverage="0" operator="equal" aboveAverage="0" dxfId="5" text="" percent="0" bottom="0">
      <formula>"TIGHT"</formula>
    </cfRule>
    <cfRule type="cellIs" rank="0" priority="4" equalAverage="0" operator="equal" aboveAverage="0" dxfId="20" text="" percent="0" bottom="0">
      <formula>"WORKABLE"</formula>
    </cfRule>
    <cfRule type="cellIs" rank="0" priority="5" equalAverage="0" operator="equal" aboveAverage="0" dxfId="4" text="" percent="0" bottom="0">
      <formula>"RENT AT RISK"</formula>
    </cfRule>
    <cfRule type="cellIs" rank="0" priority="6" equalAverage="0" operator="equal" aboveAverage="0" dxfId="4" text="" percent="0" bottom="0">
      <formula>"CRITICAL"</formula>
    </cfRule>
    <cfRule type="cellIs" rank="0" priority="7" equalAverage="0" operator="equal" aboveAverage="0" dxfId="5" text="" percent="0" bottom="0">
      <formula>"TIGHT"</formula>
    </cfRule>
    <cfRule type="cellIs" rank="0" priority="8" equalAverage="0" operator="equal" aboveAverage="0" dxfId="20" text="" percent="0" bottom="0">
      <formula>"WORKABLE"</formula>
    </cfRule>
  </conditionalFormatting>
  <conditionalFormatting sqref="C15">
    <cfRule type="cellIs" rank="0" priority="9" equalAverage="0" operator="equal" aboveAverage="0" dxfId="4" text="" percent="0" bottom="0">
      <formula>"CRITICAL"</formula>
    </cfRule>
    <cfRule type="cellIs" rank="0" priority="10" equalAverage="0" operator="equal" aboveAverage="0" dxfId="5" text="" percent="0" bottom="0">
      <formula>"TIGHT"</formula>
    </cfRule>
    <cfRule type="cellIs" rank="0" priority="11" equalAverage="0" operator="equal" aboveAverage="0" dxfId="20" text="" percent="0" bottom="0">
      <formula>"WORKABLE"</formula>
    </cfRule>
    <cfRule type="cellIs" rank="0" priority="12" equalAverage="0" operator="equal" aboveAverage="0" dxfId="4" text="" percent="0" bottom="0">
      <formula>"RENT AT RISK"</formula>
    </cfRule>
    <cfRule type="cellIs" rank="0" priority="13" equalAverage="0" operator="equal" aboveAverage="0" dxfId="4" text="" percent="0" bottom="0">
      <formula>"CRITICAL"</formula>
    </cfRule>
    <cfRule type="cellIs" rank="0" priority="14" equalAverage="0" operator="equal" aboveAverage="0" dxfId="5" text="" percent="0" bottom="0">
      <formula>"TIGHT"</formula>
    </cfRule>
    <cfRule type="cellIs" rank="0" priority="15" equalAverage="0" operator="equal" aboveAverage="0" dxfId="20" text="" percent="0" bottom="0">
      <formula>"WORKABLE"</formula>
    </cfRule>
  </conditionalFormatting>
  <conditionalFormatting sqref="D15">
    <cfRule type="cellIs" rank="0" priority="16" equalAverage="0" operator="equal" aboveAverage="0" dxfId="4" text="" percent="0" bottom="0">
      <formula>"CRITICAL"</formula>
    </cfRule>
    <cfRule type="cellIs" rank="0" priority="17" equalAverage="0" operator="equal" aboveAverage="0" dxfId="5" text="" percent="0" bottom="0">
      <formula>"TIGHT"</formula>
    </cfRule>
    <cfRule type="cellIs" rank="0" priority="18" equalAverage="0" operator="equal" aboveAverage="0" dxfId="20" text="" percent="0" bottom="0">
      <formula>"WORKABLE"</formula>
    </cfRule>
    <cfRule type="cellIs" rank="0" priority="19" equalAverage="0" operator="equal" aboveAverage="0" dxfId="4" text="" percent="0" bottom="0">
      <formula>"RENT AT RISK"</formula>
    </cfRule>
    <cfRule type="cellIs" rank="0" priority="20" equalAverage="0" operator="equal" aboveAverage="0" dxfId="4" text="" percent="0" bottom="0">
      <formula>"CRITICAL"</formula>
    </cfRule>
    <cfRule type="cellIs" rank="0" priority="21" equalAverage="0" operator="equal" aboveAverage="0" dxfId="5" text="" percent="0" bottom="0">
      <formula>"TIGHT"</formula>
    </cfRule>
    <cfRule type="cellIs" rank="0" priority="22" equalAverage="0" operator="equal" aboveAverage="0" dxfId="20" text="" percent="0" bottom="0">
      <formula>"WORKABLE"</formula>
    </cfRule>
  </conditionalFormatting>
  <conditionalFormatting sqref="E25:E29">
    <cfRule type="cellIs" rank="0" priority="23" equalAverage="0" operator="equal" aboveAverage="0" dxfId="4" text="" percent="0" bottom="0">
      <formula>"CRITICAL"</formula>
    </cfRule>
    <cfRule type="cellIs" rank="0" priority="24" equalAverage="0" operator="equal" aboveAverage="0" dxfId="5" text="" percent="0" bottom="0">
      <formula>"TIGHT"</formula>
    </cfRule>
    <cfRule type="cellIs" rank="0" priority="25" equalAverage="0" operator="equal" aboveAverage="0" dxfId="6" text="" percent="0" bottom="0">
      <formula>"CAUTION"</formula>
    </cfRule>
    <cfRule type="cellIs" rank="0" priority="26" equalAverage="0" operator="equal" aboveAverage="0" dxfId="20" text="" percent="0" bottom="0">
      <formula>"SAFE"</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2.xml><?xml version="1.0" encoding="utf-8"?>
<worksheet xmlns="http://schemas.openxmlformats.org/spreadsheetml/2006/main">
  <sheetPr filterMode="0">
    <tabColor rgb="FF5B6B80"/>
    <outlinePr summaryBelow="1" summaryRight="1"/>
    <pageSetUpPr fitToPage="1"/>
  </sheetPr>
  <dimension ref="A1:AB19"/>
  <sheetViews>
    <sheetView showFormulas="0" showGridLines="1" showRowColHeaders="1" showZeros="1" rightToLeft="0" tabSelected="0" showOutlineSymbols="1" defaultGridColor="1"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baseColWidth="8" defaultColWidth="8.6796875" defaultRowHeight="15" zeroHeight="0" outlineLevelRow="0"/>
  <cols>
    <col width="12" customWidth="1" style="277" min="1" max="1"/>
    <col width="14" customWidth="1" style="277" min="2" max="8"/>
    <col width="11" customWidth="1" style="277" min="9" max="9"/>
    <col width="20" customWidth="1" style="277" min="10" max="10"/>
    <col width="14" customWidth="1" style="277" min="11" max="11"/>
    <col width="15" customWidth="1" style="277" min="12" max="12"/>
    <col width="12" customWidth="1" style="277" min="14" max="28"/>
  </cols>
  <sheetData>
    <row r="1" ht="30" customHeight="1" s="278">
      <c r="A1" s="345" t="inlineStr">
        <is>
          <t>Monthly History</t>
        </is>
      </c>
    </row>
    <row r="2" ht="13.5" customHeight="1" s="278">
      <c r="A2" s="565" t="inlineStr">
        <is>
          <t>Nothing is ever overwritten. Each month fills itself from the transaction database as the data arrives.</t>
        </is>
      </c>
    </row>
    <row r="3" ht="6" customHeight="1" s="278"/>
    <row r="4" ht="15" customHeight="1" s="278">
      <c r="N4" s="546" t="inlineStr">
        <is>
          <t>CATEGORY MATRIX  ·  feeds the largest-category column and the analytics charts</t>
        </is>
      </c>
    </row>
    <row r="5" ht="19.5" customHeight="1" s="278">
      <c r="A5" s="382" t="inlineStr">
        <is>
          <t>MONTH-BY-MONTH</t>
        </is>
      </c>
      <c r="B5" s="287" t="n"/>
      <c r="C5" s="287" t="n"/>
      <c r="D5" s="287" t="n"/>
      <c r="E5" s="287" t="n"/>
      <c r="F5" s="287" t="n"/>
      <c r="G5" s="287" t="n"/>
      <c r="H5" s="287" t="n"/>
      <c r="I5" s="287" t="n"/>
      <c r="J5" s="287" t="n"/>
      <c r="K5" s="287" t="n"/>
      <c r="L5" s="287" t="n"/>
    </row>
    <row r="6" ht="27.75" customHeight="1" s="278">
      <c r="A6" s="383" t="inlineStr">
        <is>
          <t>Month</t>
        </is>
      </c>
      <c r="B6" s="383" t="inlineStr">
        <is>
          <t>Income</t>
        </is>
      </c>
      <c r="C6" s="383" t="inlineStr">
        <is>
          <t>Expenses</t>
        </is>
      </c>
      <c r="D6" s="383" t="inlineStr">
        <is>
          <t>Household</t>
        </is>
      </c>
      <c r="E6" s="383" t="inlineStr">
        <is>
          <t>Personal</t>
        </is>
      </c>
      <c r="F6" s="383" t="inlineStr">
        <is>
          <t>Financial / debt</t>
        </is>
      </c>
      <c r="G6" s="383" t="inlineStr">
        <is>
          <t>Savings &amp; investments</t>
        </is>
      </c>
      <c r="H6" s="383" t="inlineStr">
        <is>
          <t>Net cash flow</t>
        </is>
      </c>
      <c r="I6" s="383" t="inlineStr">
        <is>
          <t>Savings rate</t>
        </is>
      </c>
      <c r="J6" s="383" t="inlineStr">
        <is>
          <t>Largest category</t>
        </is>
      </c>
      <c r="K6" s="383" t="inlineStr">
        <is>
          <t>Avg daily spend</t>
        </is>
      </c>
      <c r="L6" s="383" t="inlineStr">
        <is>
          <t>Month-end balance</t>
        </is>
      </c>
      <c r="N6" s="431" t="inlineStr">
        <is>
          <t>Groceries</t>
        </is>
      </c>
      <c r="O6" s="431" t="inlineStr">
        <is>
          <t>Food &amp; Dining</t>
        </is>
      </c>
      <c r="P6" s="431" t="inlineStr">
        <is>
          <t>Utilities</t>
        </is>
      </c>
      <c r="Q6" s="431" t="inlineStr">
        <is>
          <t>Telecom</t>
        </is>
      </c>
      <c r="R6" s="431" t="inlineStr">
        <is>
          <t>Transport</t>
        </is>
      </c>
      <c r="S6" s="431" t="inlineStr">
        <is>
          <t>Travel &amp; Airfare</t>
        </is>
      </c>
      <c r="T6" s="431" t="inlineStr">
        <is>
          <t>Household Other</t>
        </is>
      </c>
      <c r="U6" s="431" t="inlineStr">
        <is>
          <t>Family Support</t>
        </is>
      </c>
      <c r="V6" s="431" t="inlineStr">
        <is>
          <t>Lifestyle</t>
        </is>
      </c>
      <c r="W6" s="431" t="inlineStr">
        <is>
          <t>Entertainment</t>
        </is>
      </c>
      <c r="X6" s="431" t="inlineStr">
        <is>
          <t>Shopping</t>
        </is>
      </c>
      <c r="Y6" s="431" t="inlineStr">
        <is>
          <t>Health</t>
        </is>
      </c>
      <c r="Z6" s="431" t="inlineStr">
        <is>
          <t>BNPL</t>
        </is>
      </c>
      <c r="AA6" s="431" t="inlineStr">
        <is>
          <t>Investments</t>
        </is>
      </c>
      <c r="AB6" s="431" t="inlineStr">
        <is>
          <t>Other</t>
        </is>
      </c>
    </row>
    <row r="7" ht="15" customHeight="1" s="278">
      <c r="A7" s="474" t="inlineStr">
        <is>
          <t>2026-07</t>
        </is>
      </c>
      <c r="B7" s="385">
        <f>SUMIFS(Transactions!$O$7:$O$520,Transactions!$F$7:$F$520,"Income",Transactions!$P$7:$P$520,"AED",Transactions!$C$7:$C$520,$A7)</f>
        <v>0.0</v>
      </c>
      <c r="C7" s="385">
        <f>SUMIFS(Transactions!$O$7:$O$520,Transactions!$F$7:$F$520,"Expense",Transactions!$P$7:$P$520,"AED",Transactions!$C$7:$C$520,$A7)</f>
        <v>0.0</v>
      </c>
      <c r="D7" s="385">
        <f>SUMIFS(Transactions!$O$7:$O$520,Transactions!$F$7:$F$520,"Expense",Transactions!$P$7:$P$520,"AED",Transactions!$C$7:$C$520,$A7,Transactions!$J$7:$J$520,"Household")</f>
        <v>0.0</v>
      </c>
      <c r="E7" s="385">
        <f>SUMIFS(Transactions!$O$7:$O$520,Transactions!$F$7:$F$520,"Expense",Transactions!$P$7:$P$520,"AED",Transactions!$C$7:$C$520,$A7,Transactions!$J$7:$J$520,"Personal")</f>
        <v>0.0</v>
      </c>
      <c r="F7" s="385">
        <f>SUMIFS(Transactions!$O$7:$O$520,Transactions!$F$7:$F$520,"Expense",Transactions!$P$7:$P$520,"AED",Transactions!$C$7:$C$520,$A7,Transactions!$G$7:$G$520,"BNPL")</f>
        <v>0.0</v>
      </c>
      <c r="G7" s="385">
        <f>SUMIFS(Transactions!$O$7:$O$520,Transactions!$F$7:$F$520,"Expense",Transactions!$P$7:$P$520,"AED",Transactions!$C$7:$C$520,$A7,Transactions!$G$7:$G$520,"Investments")+SUMIFS(Transactions!$O$7:$O$520,Transactions!$F$7:$F$520,"Expense",Transactions!$P$7:$P$520,"AED",Transactions!$C$7:$C$520,$A7,Transactions!$G$7:$G$520,"Savings")</f>
        <v>0.0</v>
      </c>
      <c r="H7" s="293">
        <f>$B7-$C7</f>
        <v>0.0</v>
      </c>
      <c r="I7" s="410">
        <f>IF($B7=0,0,$H7/$B7)</f>
        <v>0.0</v>
      </c>
      <c r="J7" s="547" t="str">
        <f>IF($C7=0,"–",INDEX($N$6:$AB$6,MATCH(MAX($N7:$AB7),$N7:$AB7,0)))</f>
        <v>–</v>
      </c>
      <c r="K7" s="385">
        <f>IF($C7=0,0,$C7/IF($A7=Settings!$B$84,Settings!$B$89,DAY(EOMONTH(DATEVALUE($A7&amp;"-01"),0))))</f>
        <v>0.0</v>
      </c>
      <c r="L7" s="392" t="n"/>
      <c r="N7" s="548">
        <f>SUMIFS(Transactions!$O$7:$O$520,Transactions!$F$7:$F$520,"Expense",Transactions!$P$7:$P$520,"AED",Transactions!$C$7:$C$520,$A7,Transactions!$G$7:$G$520,N$6)</f>
        <v>0.0</v>
      </c>
      <c r="O7" s="548">
        <f>SUMIFS(Transactions!$O$7:$O$520,Transactions!$F$7:$F$520,"Expense",Transactions!$P$7:$P$520,"AED",Transactions!$C$7:$C$520,$A7,Transactions!$G$7:$G$520,O$6)</f>
        <v>0.0</v>
      </c>
      <c r="P7" s="548">
        <f>SUMIFS(Transactions!$O$7:$O$520,Transactions!$F$7:$F$520,"Expense",Transactions!$P$7:$P$520,"AED",Transactions!$C$7:$C$520,$A7,Transactions!$G$7:$G$520,P$6)</f>
        <v>0.0</v>
      </c>
      <c r="Q7" s="548">
        <f>SUMIFS(Transactions!$O$7:$O$520,Transactions!$F$7:$F$520,"Expense",Transactions!$P$7:$P$520,"AED",Transactions!$C$7:$C$520,$A7,Transactions!$G$7:$G$520,Q$6)</f>
        <v>0.0</v>
      </c>
      <c r="R7" s="548">
        <f>SUMIFS(Transactions!$O$7:$O$520,Transactions!$F$7:$F$520,"Expense",Transactions!$P$7:$P$520,"AED",Transactions!$C$7:$C$520,$A7,Transactions!$G$7:$G$520,R$6)</f>
        <v>0.0</v>
      </c>
      <c r="S7" s="548">
        <f>SUMIFS(Transactions!$O$7:$O$520,Transactions!$F$7:$F$520,"Expense",Transactions!$P$7:$P$520,"AED",Transactions!$C$7:$C$520,$A7,Transactions!$G$7:$G$520,S$6)</f>
        <v>0.0</v>
      </c>
      <c r="T7" s="548">
        <f>SUMIFS(Transactions!$O$7:$O$520,Transactions!$F$7:$F$520,"Expense",Transactions!$P$7:$P$520,"AED",Transactions!$C$7:$C$520,$A7,Transactions!$G$7:$G$520,T$6)</f>
        <v>0.0</v>
      </c>
      <c r="U7" s="548">
        <f>SUMIFS(Transactions!$O$7:$O$520,Transactions!$F$7:$F$520,"Expense",Transactions!$P$7:$P$520,"AED",Transactions!$C$7:$C$520,$A7,Transactions!$G$7:$G$520,U$6)</f>
        <v>0.0</v>
      </c>
      <c r="V7" s="548">
        <f>SUMIFS(Transactions!$O$7:$O$520,Transactions!$F$7:$F$520,"Expense",Transactions!$P$7:$P$520,"AED",Transactions!$C$7:$C$520,$A7,Transactions!$G$7:$G$520,V$6)</f>
        <v>0.0</v>
      </c>
      <c r="W7" s="548">
        <f>SUMIFS(Transactions!$O$7:$O$520,Transactions!$F$7:$F$520,"Expense",Transactions!$P$7:$P$520,"AED",Transactions!$C$7:$C$520,$A7,Transactions!$G$7:$G$520,W$6)</f>
        <v>0.0</v>
      </c>
      <c r="X7" s="548">
        <f>SUMIFS(Transactions!$O$7:$O$520,Transactions!$F$7:$F$520,"Expense",Transactions!$P$7:$P$520,"AED",Transactions!$C$7:$C$520,$A7,Transactions!$G$7:$G$520,X$6)</f>
        <v>0.0</v>
      </c>
      <c r="Y7" s="548">
        <f>SUMIFS(Transactions!$O$7:$O$520,Transactions!$F$7:$F$520,"Expense",Transactions!$P$7:$P$520,"AED",Transactions!$C$7:$C$520,$A7,Transactions!$G$7:$G$520,Y$6)</f>
        <v>0.0</v>
      </c>
      <c r="Z7" s="548">
        <f>SUMIFS(Transactions!$O$7:$O$520,Transactions!$F$7:$F$520,"Expense",Transactions!$P$7:$P$520,"AED",Transactions!$C$7:$C$520,$A7,Transactions!$G$7:$G$520,Z$6)</f>
        <v>0.0</v>
      </c>
      <c r="AA7" s="548">
        <f>SUMIFS(Transactions!$O$7:$O$520,Transactions!$F$7:$F$520,"Expense",Transactions!$P$7:$P$520,"AED",Transactions!$C$7:$C$520,$A7,Transactions!$G$7:$G$520,AA$6)</f>
        <v>0.0</v>
      </c>
      <c r="AB7" s="548">
        <f>SUMIFS(Transactions!$O$7:$O$520,Transactions!$F$7:$F$520,"Expense",Transactions!$P$7:$P$520,"AED",Transactions!$C$7:$C$520,$A7,Transactions!$G$7:$G$520,AB$6)</f>
        <v>0.0</v>
      </c>
    </row>
    <row r="8" ht="15" customHeight="1" s="278">
      <c r="A8" s="474" t="inlineStr">
        <is>
          <t>2026-08</t>
        </is>
      </c>
      <c r="B8" s="385">
        <f>SUMIFS(Transactions!$O$7:$O$520,Transactions!$F$7:$F$520,"Income",Transactions!$P$7:$P$520,"AED",Transactions!$C$7:$C$520,$A8)</f>
        <v>11466.7</v>
      </c>
      <c r="C8" s="385">
        <f>SUMIFS(Transactions!$O$7:$O$520,Transactions!$F$7:$F$520,"Expense",Transactions!$P$7:$P$520,"AED",Transactions!$C$7:$C$520,$A8)</f>
        <v>7587.65</v>
      </c>
      <c r="D8" s="385">
        <f>SUMIFS(Transactions!$O$7:$O$520,Transactions!$F$7:$F$520,"Expense",Transactions!$P$7:$P$520,"AED",Transactions!$C$7:$C$520,$A8,Transactions!$J$7:$J$520,"Household")</f>
        <v>6028.4</v>
      </c>
      <c r="E8" s="385">
        <f>SUMIFS(Transactions!$O$7:$O$520,Transactions!$F$7:$F$520,"Expense",Transactions!$P$7:$P$520,"AED",Transactions!$C$7:$C$520,$A8,Transactions!$J$7:$J$520,"Personal")</f>
        <v>1559.25</v>
      </c>
      <c r="F8" s="385">
        <f>SUMIFS(Transactions!$O$7:$O$520,Transactions!$F$7:$F$520,"Expense",Transactions!$P$7:$P$520,"AED",Transactions!$C$7:$C$520,$A8,Transactions!$G$7:$G$520,"BNPL")</f>
        <v>1358.65</v>
      </c>
      <c r="G8" s="385">
        <f>SUMIFS(Transactions!$O$7:$O$520,Transactions!$F$7:$F$520,"Expense",Transactions!$P$7:$P$520,"AED",Transactions!$C$7:$C$520,$A8,Transactions!$G$7:$G$520,"Investments")+SUMIFS(Transactions!$O$7:$O$520,Transactions!$F$7:$F$520,"Expense",Transactions!$P$7:$P$520,"AED",Transactions!$C$7:$C$520,$A8,Transactions!$G$7:$G$520,"Savings")</f>
        <v>465.6</v>
      </c>
      <c r="H8" s="293">
        <f>$B8-$C8</f>
        <v>3879.05</v>
      </c>
      <c r="I8" s="410">
        <f>IF($B8=0,0,$H8/$B8)</f>
        <v>0.3382882608</v>
      </c>
      <c r="J8" s="547" t="str">
        <f>IF($C8=0,"–",INDEX($N$6:$AB$6,MATCH(MAX($N8:$AB8),$N8:$AB8,0)))</f>
        <v>Utilities</v>
      </c>
      <c r="K8" s="385">
        <f>IF($C8=0,0,$C8/IF($A8=Settings!$B$84,Settings!$B$89,DAY(EOMONTH(DATEVALUE($A8&amp;"-01"),0))))</f>
        <v>291.8326923077</v>
      </c>
      <c r="L8" s="392" t="n"/>
      <c r="N8" s="548">
        <f>SUMIFS(Transactions!$O$7:$O$520,Transactions!$F$7:$F$520,"Expense",Transactions!$P$7:$P$520,"AED",Transactions!$C$7:$C$520,$A8,Transactions!$G$7:$G$520,N$6)</f>
        <v>134.23</v>
      </c>
      <c r="O8" s="548">
        <f>SUMIFS(Transactions!$O$7:$O$520,Transactions!$F$7:$F$520,"Expense",Transactions!$P$7:$P$520,"AED",Transactions!$C$7:$C$520,$A8,Transactions!$G$7:$G$520,O$6)</f>
        <v>867.27</v>
      </c>
      <c r="P8" s="548">
        <f>SUMIFS(Transactions!$O$7:$O$520,Transactions!$F$7:$F$520,"Expense",Transactions!$P$7:$P$520,"AED",Transactions!$C$7:$C$520,$A8,Transactions!$G$7:$G$520,P$6)</f>
        <v>1728.21</v>
      </c>
      <c r="Q8" s="548">
        <f>SUMIFS(Transactions!$O$7:$O$520,Transactions!$F$7:$F$520,"Expense",Transactions!$P$7:$P$520,"AED",Transactions!$C$7:$C$520,$A8,Transactions!$G$7:$G$520,Q$6)</f>
        <v>0.0</v>
      </c>
      <c r="R8" s="548">
        <f>SUMIFS(Transactions!$O$7:$O$520,Transactions!$F$7:$F$520,"Expense",Transactions!$P$7:$P$520,"AED",Transactions!$C$7:$C$520,$A8,Transactions!$G$7:$G$520,R$6)</f>
        <v>389.07</v>
      </c>
      <c r="S8" s="548">
        <f>SUMIFS(Transactions!$O$7:$O$520,Transactions!$F$7:$F$520,"Expense",Transactions!$P$7:$P$520,"AED",Transactions!$C$7:$C$520,$A8,Transactions!$G$7:$G$520,S$6)</f>
        <v>1430.0</v>
      </c>
      <c r="T8" s="548">
        <f>SUMIFS(Transactions!$O$7:$O$520,Transactions!$F$7:$F$520,"Expense",Transactions!$P$7:$P$520,"AED",Transactions!$C$7:$C$520,$A8,Transactions!$G$7:$G$520,T$6)</f>
        <v>22.97</v>
      </c>
      <c r="U8" s="548">
        <f>SUMIFS(Transactions!$O$7:$O$520,Transactions!$F$7:$F$520,"Expense",Transactions!$P$7:$P$520,"AED",Transactions!$C$7:$C$520,$A8,Transactions!$G$7:$G$520,U$6)</f>
        <v>100.0</v>
      </c>
      <c r="V8" s="548">
        <f>SUMIFS(Transactions!$O$7:$O$520,Transactions!$F$7:$F$520,"Expense",Transactions!$P$7:$P$520,"AED",Transactions!$C$7:$C$520,$A8,Transactions!$G$7:$G$520,V$6)</f>
        <v>787.56</v>
      </c>
      <c r="W8" s="548">
        <f>SUMIFS(Transactions!$O$7:$O$520,Transactions!$F$7:$F$520,"Expense",Transactions!$P$7:$P$520,"AED",Transactions!$C$7:$C$520,$A8,Transactions!$G$7:$G$520,W$6)</f>
        <v>20.0</v>
      </c>
      <c r="X8" s="548">
        <f>SUMIFS(Transactions!$O$7:$O$520,Transactions!$F$7:$F$520,"Expense",Transactions!$P$7:$P$520,"AED",Transactions!$C$7:$C$520,$A8,Transactions!$G$7:$G$520,X$6)</f>
        <v>0.0</v>
      </c>
      <c r="Y8" s="548">
        <f>SUMIFS(Transactions!$O$7:$O$520,Transactions!$F$7:$F$520,"Expense",Transactions!$P$7:$P$520,"AED",Transactions!$C$7:$C$520,$A8,Transactions!$G$7:$G$520,Y$6)</f>
        <v>65.0</v>
      </c>
      <c r="Z8" s="548">
        <f>SUMIFS(Transactions!$O$7:$O$520,Transactions!$F$7:$F$520,"Expense",Transactions!$P$7:$P$520,"AED",Transactions!$C$7:$C$520,$A8,Transactions!$G$7:$G$520,Z$6)</f>
        <v>1358.65</v>
      </c>
      <c r="AA8" s="548">
        <f>SUMIFS(Transactions!$O$7:$O$520,Transactions!$F$7:$F$520,"Expense",Transactions!$P$7:$P$520,"AED",Transactions!$C$7:$C$520,$A8,Transactions!$G$7:$G$520,AA$6)</f>
        <v>465.6</v>
      </c>
      <c r="AB8" s="548">
        <f>SUMIFS(Transactions!$O$7:$O$520,Transactions!$F$7:$F$520,"Expense",Transactions!$P$7:$P$520,"AED",Transactions!$C$7:$C$520,$A8,Transactions!$G$7:$G$520,AB$6)</f>
        <v>183.0</v>
      </c>
    </row>
    <row r="9" ht="15" customHeight="1" s="278">
      <c r="A9" s="474" t="inlineStr">
        <is>
          <t>2026-09</t>
        </is>
      </c>
      <c r="B9" s="385">
        <f>SUMIFS(Transactions!$O$7:$O$520,Transactions!$F$7:$F$520,"Income",Transactions!$P$7:$P$520,"AED",Transactions!$C$7:$C$520,$A9)</f>
        <v>0.0</v>
      </c>
      <c r="C9" s="385">
        <f>SUMIFS(Transactions!$O$7:$O$520,Transactions!$F$7:$F$520,"Expense",Transactions!$P$7:$P$520,"AED",Transactions!$C$7:$C$520,$A9)</f>
        <v>0.0</v>
      </c>
      <c r="D9" s="385">
        <f>SUMIFS(Transactions!$O$7:$O$520,Transactions!$F$7:$F$520,"Expense",Transactions!$P$7:$P$520,"AED",Transactions!$C$7:$C$520,$A9,Transactions!$J$7:$J$520,"Household")</f>
        <v>0.0</v>
      </c>
      <c r="E9" s="385">
        <f>SUMIFS(Transactions!$O$7:$O$520,Transactions!$F$7:$F$520,"Expense",Transactions!$P$7:$P$520,"AED",Transactions!$C$7:$C$520,$A9,Transactions!$J$7:$J$520,"Personal")</f>
        <v>0.0</v>
      </c>
      <c r="F9" s="385">
        <f>SUMIFS(Transactions!$O$7:$O$520,Transactions!$F$7:$F$520,"Expense",Transactions!$P$7:$P$520,"AED",Transactions!$C$7:$C$520,$A9,Transactions!$G$7:$G$520,"BNPL")</f>
        <v>0.0</v>
      </c>
      <c r="G9" s="385">
        <f>SUMIFS(Transactions!$O$7:$O$520,Transactions!$F$7:$F$520,"Expense",Transactions!$P$7:$P$520,"AED",Transactions!$C$7:$C$520,$A9,Transactions!$G$7:$G$520,"Investments")+SUMIFS(Transactions!$O$7:$O$520,Transactions!$F$7:$F$520,"Expense",Transactions!$P$7:$P$520,"AED",Transactions!$C$7:$C$520,$A9,Transactions!$G$7:$G$520,"Savings")</f>
        <v>0.0</v>
      </c>
      <c r="H9" s="293">
        <f>$B9-$C9</f>
        <v>0.0</v>
      </c>
      <c r="I9" s="410">
        <f>IF($B9=0,0,$H9/$B9)</f>
        <v>0.0</v>
      </c>
      <c r="J9" s="547" t="str">
        <f>IF($C9=0,"–",INDEX($N$6:$AB$6,MATCH(MAX($N9:$AB9),$N9:$AB9,0)))</f>
        <v>–</v>
      </c>
      <c r="K9" s="385">
        <f>IF($C9=0,0,$C9/IF($A9=Settings!$B$84,Settings!$B$89,DAY(EOMONTH(DATEVALUE($A9&amp;"-01"),0))))</f>
        <v>0.0</v>
      </c>
      <c r="L9" s="392" t="n"/>
      <c r="N9" s="548">
        <f>SUMIFS(Transactions!$O$7:$O$520,Transactions!$F$7:$F$520,"Expense",Transactions!$P$7:$P$520,"AED",Transactions!$C$7:$C$520,$A9,Transactions!$G$7:$G$520,N$6)</f>
        <v>0.0</v>
      </c>
      <c r="O9" s="548">
        <f>SUMIFS(Transactions!$O$7:$O$520,Transactions!$F$7:$F$520,"Expense",Transactions!$P$7:$P$520,"AED",Transactions!$C$7:$C$520,$A9,Transactions!$G$7:$G$520,O$6)</f>
        <v>0.0</v>
      </c>
      <c r="P9" s="548">
        <f>SUMIFS(Transactions!$O$7:$O$520,Transactions!$F$7:$F$520,"Expense",Transactions!$P$7:$P$520,"AED",Transactions!$C$7:$C$520,$A9,Transactions!$G$7:$G$520,P$6)</f>
        <v>0.0</v>
      </c>
      <c r="Q9" s="548">
        <f>SUMIFS(Transactions!$O$7:$O$520,Transactions!$F$7:$F$520,"Expense",Transactions!$P$7:$P$520,"AED",Transactions!$C$7:$C$520,$A9,Transactions!$G$7:$G$520,Q$6)</f>
        <v>0.0</v>
      </c>
      <c r="R9" s="548">
        <f>SUMIFS(Transactions!$O$7:$O$520,Transactions!$F$7:$F$520,"Expense",Transactions!$P$7:$P$520,"AED",Transactions!$C$7:$C$520,$A9,Transactions!$G$7:$G$520,R$6)</f>
        <v>0.0</v>
      </c>
      <c r="S9" s="548">
        <f>SUMIFS(Transactions!$O$7:$O$520,Transactions!$F$7:$F$520,"Expense",Transactions!$P$7:$P$520,"AED",Transactions!$C$7:$C$520,$A9,Transactions!$G$7:$G$520,S$6)</f>
        <v>0.0</v>
      </c>
      <c r="T9" s="548">
        <f>SUMIFS(Transactions!$O$7:$O$520,Transactions!$F$7:$F$520,"Expense",Transactions!$P$7:$P$520,"AED",Transactions!$C$7:$C$520,$A9,Transactions!$G$7:$G$520,T$6)</f>
        <v>0.0</v>
      </c>
      <c r="U9" s="548">
        <f>SUMIFS(Transactions!$O$7:$O$520,Transactions!$F$7:$F$520,"Expense",Transactions!$P$7:$P$520,"AED",Transactions!$C$7:$C$520,$A9,Transactions!$G$7:$G$520,U$6)</f>
        <v>0.0</v>
      </c>
      <c r="V9" s="548">
        <f>SUMIFS(Transactions!$O$7:$O$520,Transactions!$F$7:$F$520,"Expense",Transactions!$P$7:$P$520,"AED",Transactions!$C$7:$C$520,$A9,Transactions!$G$7:$G$520,V$6)</f>
        <v>0.0</v>
      </c>
      <c r="W9" s="548">
        <f>SUMIFS(Transactions!$O$7:$O$520,Transactions!$F$7:$F$520,"Expense",Transactions!$P$7:$P$520,"AED",Transactions!$C$7:$C$520,$A9,Transactions!$G$7:$G$520,W$6)</f>
        <v>0.0</v>
      </c>
      <c r="X9" s="548">
        <f>SUMIFS(Transactions!$O$7:$O$520,Transactions!$F$7:$F$520,"Expense",Transactions!$P$7:$P$520,"AED",Transactions!$C$7:$C$520,$A9,Transactions!$G$7:$G$520,X$6)</f>
        <v>0.0</v>
      </c>
      <c r="Y9" s="548">
        <f>SUMIFS(Transactions!$O$7:$O$520,Transactions!$F$7:$F$520,"Expense",Transactions!$P$7:$P$520,"AED",Transactions!$C$7:$C$520,$A9,Transactions!$G$7:$G$520,Y$6)</f>
        <v>0.0</v>
      </c>
      <c r="Z9" s="548">
        <f>SUMIFS(Transactions!$O$7:$O$520,Transactions!$F$7:$F$520,"Expense",Transactions!$P$7:$P$520,"AED",Transactions!$C$7:$C$520,$A9,Transactions!$G$7:$G$520,Z$6)</f>
        <v>0.0</v>
      </c>
      <c r="AA9" s="548">
        <f>SUMIFS(Transactions!$O$7:$O$520,Transactions!$F$7:$F$520,"Expense",Transactions!$P$7:$P$520,"AED",Transactions!$C$7:$C$520,$A9,Transactions!$G$7:$G$520,AA$6)</f>
        <v>0.0</v>
      </c>
      <c r="AB9" s="548">
        <f>SUMIFS(Transactions!$O$7:$O$520,Transactions!$F$7:$F$520,"Expense",Transactions!$P$7:$P$520,"AED",Transactions!$C$7:$C$520,$A9,Transactions!$G$7:$G$520,AB$6)</f>
        <v>0.0</v>
      </c>
    </row>
    <row r="10" ht="15" customHeight="1" s="278">
      <c r="A10" s="474" t="inlineStr">
        <is>
          <t>2026-10</t>
        </is>
      </c>
      <c r="B10" s="385">
        <f>SUMIFS(Transactions!$O$7:$O$520,Transactions!$F$7:$F$520,"Income",Transactions!$P$7:$P$520,"AED",Transactions!$C$7:$C$520,$A10)</f>
        <v>0.0</v>
      </c>
      <c r="C10" s="385">
        <f>SUMIFS(Transactions!$O$7:$O$520,Transactions!$F$7:$F$520,"Expense",Transactions!$P$7:$P$520,"AED",Transactions!$C$7:$C$520,$A10)</f>
        <v>0.0</v>
      </c>
      <c r="D10" s="385">
        <f>SUMIFS(Transactions!$O$7:$O$520,Transactions!$F$7:$F$520,"Expense",Transactions!$P$7:$P$520,"AED",Transactions!$C$7:$C$520,$A10,Transactions!$J$7:$J$520,"Household")</f>
        <v>0.0</v>
      </c>
      <c r="E10" s="385">
        <f>SUMIFS(Transactions!$O$7:$O$520,Transactions!$F$7:$F$520,"Expense",Transactions!$P$7:$P$520,"AED",Transactions!$C$7:$C$520,$A10,Transactions!$J$7:$J$520,"Personal")</f>
        <v>0.0</v>
      </c>
      <c r="F10" s="385">
        <f>SUMIFS(Transactions!$O$7:$O$520,Transactions!$F$7:$F$520,"Expense",Transactions!$P$7:$P$520,"AED",Transactions!$C$7:$C$520,$A10,Transactions!$G$7:$G$520,"BNPL")</f>
        <v>0.0</v>
      </c>
      <c r="G10" s="385">
        <f>SUMIFS(Transactions!$O$7:$O$520,Transactions!$F$7:$F$520,"Expense",Transactions!$P$7:$P$520,"AED",Transactions!$C$7:$C$520,$A10,Transactions!$G$7:$G$520,"Investments")+SUMIFS(Transactions!$O$7:$O$520,Transactions!$F$7:$F$520,"Expense",Transactions!$P$7:$P$520,"AED",Transactions!$C$7:$C$520,$A10,Transactions!$G$7:$G$520,"Savings")</f>
        <v>0.0</v>
      </c>
      <c r="H10" s="293">
        <f>$B10-$C10</f>
        <v>0.0</v>
      </c>
      <c r="I10" s="410">
        <f>IF($B10=0,0,$H10/$B10)</f>
        <v>0.0</v>
      </c>
      <c r="J10" s="547" t="str">
        <f>IF($C10=0,"–",INDEX($N$6:$AB$6,MATCH(MAX($N10:$AB10),$N10:$AB10,0)))</f>
        <v>–</v>
      </c>
      <c r="K10" s="385">
        <f>IF($C10=0,0,$C10/IF($A10=Settings!$B$84,Settings!$B$89,DAY(EOMONTH(DATEVALUE($A10&amp;"-01"),0))))</f>
        <v>0.0</v>
      </c>
      <c r="L10" s="392" t="n"/>
      <c r="N10" s="548">
        <f>SUMIFS(Transactions!$O$7:$O$520,Transactions!$F$7:$F$520,"Expense",Transactions!$P$7:$P$520,"AED",Transactions!$C$7:$C$520,$A10,Transactions!$G$7:$G$520,N$6)</f>
        <v>0.0</v>
      </c>
      <c r="O10" s="548">
        <f>SUMIFS(Transactions!$O$7:$O$520,Transactions!$F$7:$F$520,"Expense",Transactions!$P$7:$P$520,"AED",Transactions!$C$7:$C$520,$A10,Transactions!$G$7:$G$520,O$6)</f>
        <v>0.0</v>
      </c>
      <c r="P10" s="548">
        <f>SUMIFS(Transactions!$O$7:$O$520,Transactions!$F$7:$F$520,"Expense",Transactions!$P$7:$P$520,"AED",Transactions!$C$7:$C$520,$A10,Transactions!$G$7:$G$520,P$6)</f>
        <v>0.0</v>
      </c>
      <c r="Q10" s="548">
        <f>SUMIFS(Transactions!$O$7:$O$520,Transactions!$F$7:$F$520,"Expense",Transactions!$P$7:$P$520,"AED",Transactions!$C$7:$C$520,$A10,Transactions!$G$7:$G$520,Q$6)</f>
        <v>0.0</v>
      </c>
      <c r="R10" s="548">
        <f>SUMIFS(Transactions!$O$7:$O$520,Transactions!$F$7:$F$520,"Expense",Transactions!$P$7:$P$520,"AED",Transactions!$C$7:$C$520,$A10,Transactions!$G$7:$G$520,R$6)</f>
        <v>0.0</v>
      </c>
      <c r="S10" s="548">
        <f>SUMIFS(Transactions!$O$7:$O$520,Transactions!$F$7:$F$520,"Expense",Transactions!$P$7:$P$520,"AED",Transactions!$C$7:$C$520,$A10,Transactions!$G$7:$G$520,S$6)</f>
        <v>0.0</v>
      </c>
      <c r="T10" s="548">
        <f>SUMIFS(Transactions!$O$7:$O$520,Transactions!$F$7:$F$520,"Expense",Transactions!$P$7:$P$520,"AED",Transactions!$C$7:$C$520,$A10,Transactions!$G$7:$G$520,T$6)</f>
        <v>0.0</v>
      </c>
      <c r="U10" s="548">
        <f>SUMIFS(Transactions!$O$7:$O$520,Transactions!$F$7:$F$520,"Expense",Transactions!$P$7:$P$520,"AED",Transactions!$C$7:$C$520,$A10,Transactions!$G$7:$G$520,U$6)</f>
        <v>0.0</v>
      </c>
      <c r="V10" s="548">
        <f>SUMIFS(Transactions!$O$7:$O$520,Transactions!$F$7:$F$520,"Expense",Transactions!$P$7:$P$520,"AED",Transactions!$C$7:$C$520,$A10,Transactions!$G$7:$G$520,V$6)</f>
        <v>0.0</v>
      </c>
      <c r="W10" s="548">
        <f>SUMIFS(Transactions!$O$7:$O$520,Transactions!$F$7:$F$520,"Expense",Transactions!$P$7:$P$520,"AED",Transactions!$C$7:$C$520,$A10,Transactions!$G$7:$G$520,W$6)</f>
        <v>0.0</v>
      </c>
      <c r="X10" s="548">
        <f>SUMIFS(Transactions!$O$7:$O$520,Transactions!$F$7:$F$520,"Expense",Transactions!$P$7:$P$520,"AED",Transactions!$C$7:$C$520,$A10,Transactions!$G$7:$G$520,X$6)</f>
        <v>0.0</v>
      </c>
      <c r="Y10" s="548">
        <f>SUMIFS(Transactions!$O$7:$O$520,Transactions!$F$7:$F$520,"Expense",Transactions!$P$7:$P$520,"AED",Transactions!$C$7:$C$520,$A10,Transactions!$G$7:$G$520,Y$6)</f>
        <v>0.0</v>
      </c>
      <c r="Z10" s="548">
        <f>SUMIFS(Transactions!$O$7:$O$520,Transactions!$F$7:$F$520,"Expense",Transactions!$P$7:$P$520,"AED",Transactions!$C$7:$C$520,$A10,Transactions!$G$7:$G$520,Z$6)</f>
        <v>0.0</v>
      </c>
      <c r="AA10" s="548">
        <f>SUMIFS(Transactions!$O$7:$O$520,Transactions!$F$7:$F$520,"Expense",Transactions!$P$7:$P$520,"AED",Transactions!$C$7:$C$520,$A10,Transactions!$G$7:$G$520,AA$6)</f>
        <v>0.0</v>
      </c>
      <c r="AB10" s="548">
        <f>SUMIFS(Transactions!$O$7:$O$520,Transactions!$F$7:$F$520,"Expense",Transactions!$P$7:$P$520,"AED",Transactions!$C$7:$C$520,$A10,Transactions!$G$7:$G$520,AB$6)</f>
        <v>0.0</v>
      </c>
    </row>
    <row r="11" ht="15" customHeight="1" s="278">
      <c r="A11" s="474" t="inlineStr">
        <is>
          <t>2026-11</t>
        </is>
      </c>
      <c r="B11" s="385">
        <f>SUMIFS(Transactions!$O$7:$O$520,Transactions!$F$7:$F$520,"Income",Transactions!$P$7:$P$520,"AED",Transactions!$C$7:$C$520,$A11)</f>
        <v>0.0</v>
      </c>
      <c r="C11" s="385">
        <f>SUMIFS(Transactions!$O$7:$O$520,Transactions!$F$7:$F$520,"Expense",Transactions!$P$7:$P$520,"AED",Transactions!$C$7:$C$520,$A11)</f>
        <v>0.0</v>
      </c>
      <c r="D11" s="385">
        <f>SUMIFS(Transactions!$O$7:$O$520,Transactions!$F$7:$F$520,"Expense",Transactions!$P$7:$P$520,"AED",Transactions!$C$7:$C$520,$A11,Transactions!$J$7:$J$520,"Household")</f>
        <v>0.0</v>
      </c>
      <c r="E11" s="385">
        <f>SUMIFS(Transactions!$O$7:$O$520,Transactions!$F$7:$F$520,"Expense",Transactions!$P$7:$P$520,"AED",Transactions!$C$7:$C$520,$A11,Transactions!$J$7:$J$520,"Personal")</f>
        <v>0.0</v>
      </c>
      <c r="F11" s="385">
        <f>SUMIFS(Transactions!$O$7:$O$520,Transactions!$F$7:$F$520,"Expense",Transactions!$P$7:$P$520,"AED",Transactions!$C$7:$C$520,$A11,Transactions!$G$7:$G$520,"BNPL")</f>
        <v>0.0</v>
      </c>
      <c r="G11" s="385">
        <f>SUMIFS(Transactions!$O$7:$O$520,Transactions!$F$7:$F$520,"Expense",Transactions!$P$7:$P$520,"AED",Transactions!$C$7:$C$520,$A11,Transactions!$G$7:$G$520,"Investments")+SUMIFS(Transactions!$O$7:$O$520,Transactions!$F$7:$F$520,"Expense",Transactions!$P$7:$P$520,"AED",Transactions!$C$7:$C$520,$A11,Transactions!$G$7:$G$520,"Savings")</f>
        <v>0.0</v>
      </c>
      <c r="H11" s="293">
        <f>$B11-$C11</f>
        <v>0.0</v>
      </c>
      <c r="I11" s="410">
        <f>IF($B11=0,0,$H11/$B11)</f>
        <v>0.0</v>
      </c>
      <c r="J11" s="547" t="str">
        <f>IF($C11=0,"–",INDEX($N$6:$AB$6,MATCH(MAX($N11:$AB11),$N11:$AB11,0)))</f>
        <v>–</v>
      </c>
      <c r="K11" s="385">
        <f>IF($C11=0,0,$C11/IF($A11=Settings!$B$84,Settings!$B$89,DAY(EOMONTH(DATEVALUE($A11&amp;"-01"),0))))</f>
        <v>0.0</v>
      </c>
      <c r="L11" s="392" t="n"/>
      <c r="N11" s="548">
        <f>SUMIFS(Transactions!$O$7:$O$520,Transactions!$F$7:$F$520,"Expense",Transactions!$P$7:$P$520,"AED",Transactions!$C$7:$C$520,$A11,Transactions!$G$7:$G$520,N$6)</f>
        <v>0.0</v>
      </c>
      <c r="O11" s="548">
        <f>SUMIFS(Transactions!$O$7:$O$520,Transactions!$F$7:$F$520,"Expense",Transactions!$P$7:$P$520,"AED",Transactions!$C$7:$C$520,$A11,Transactions!$G$7:$G$520,O$6)</f>
        <v>0.0</v>
      </c>
      <c r="P11" s="548">
        <f>SUMIFS(Transactions!$O$7:$O$520,Transactions!$F$7:$F$520,"Expense",Transactions!$P$7:$P$520,"AED",Transactions!$C$7:$C$520,$A11,Transactions!$G$7:$G$520,P$6)</f>
        <v>0.0</v>
      </c>
      <c r="Q11" s="548">
        <f>SUMIFS(Transactions!$O$7:$O$520,Transactions!$F$7:$F$520,"Expense",Transactions!$P$7:$P$520,"AED",Transactions!$C$7:$C$520,$A11,Transactions!$G$7:$G$520,Q$6)</f>
        <v>0.0</v>
      </c>
      <c r="R11" s="548">
        <f>SUMIFS(Transactions!$O$7:$O$520,Transactions!$F$7:$F$520,"Expense",Transactions!$P$7:$P$520,"AED",Transactions!$C$7:$C$520,$A11,Transactions!$G$7:$G$520,R$6)</f>
        <v>0.0</v>
      </c>
      <c r="S11" s="548">
        <f>SUMIFS(Transactions!$O$7:$O$520,Transactions!$F$7:$F$520,"Expense",Transactions!$P$7:$P$520,"AED",Transactions!$C$7:$C$520,$A11,Transactions!$G$7:$G$520,S$6)</f>
        <v>0.0</v>
      </c>
      <c r="T11" s="548">
        <f>SUMIFS(Transactions!$O$7:$O$520,Transactions!$F$7:$F$520,"Expense",Transactions!$P$7:$P$520,"AED",Transactions!$C$7:$C$520,$A11,Transactions!$G$7:$G$520,T$6)</f>
        <v>0.0</v>
      </c>
      <c r="U11" s="548">
        <f>SUMIFS(Transactions!$O$7:$O$520,Transactions!$F$7:$F$520,"Expense",Transactions!$P$7:$P$520,"AED",Transactions!$C$7:$C$520,$A11,Transactions!$G$7:$G$520,U$6)</f>
        <v>0.0</v>
      </c>
      <c r="V11" s="548">
        <f>SUMIFS(Transactions!$O$7:$O$520,Transactions!$F$7:$F$520,"Expense",Transactions!$P$7:$P$520,"AED",Transactions!$C$7:$C$520,$A11,Transactions!$G$7:$G$520,V$6)</f>
        <v>0.0</v>
      </c>
      <c r="W11" s="548">
        <f>SUMIFS(Transactions!$O$7:$O$520,Transactions!$F$7:$F$520,"Expense",Transactions!$P$7:$P$520,"AED",Transactions!$C$7:$C$520,$A11,Transactions!$G$7:$G$520,W$6)</f>
        <v>0.0</v>
      </c>
      <c r="X11" s="548">
        <f>SUMIFS(Transactions!$O$7:$O$520,Transactions!$F$7:$F$520,"Expense",Transactions!$P$7:$P$520,"AED",Transactions!$C$7:$C$520,$A11,Transactions!$G$7:$G$520,X$6)</f>
        <v>0.0</v>
      </c>
      <c r="Y11" s="548">
        <f>SUMIFS(Transactions!$O$7:$O$520,Transactions!$F$7:$F$520,"Expense",Transactions!$P$7:$P$520,"AED",Transactions!$C$7:$C$520,$A11,Transactions!$G$7:$G$520,Y$6)</f>
        <v>0.0</v>
      </c>
      <c r="Z11" s="548">
        <f>SUMIFS(Transactions!$O$7:$O$520,Transactions!$F$7:$F$520,"Expense",Transactions!$P$7:$P$520,"AED",Transactions!$C$7:$C$520,$A11,Transactions!$G$7:$G$520,Z$6)</f>
        <v>0.0</v>
      </c>
      <c r="AA11" s="548">
        <f>SUMIFS(Transactions!$O$7:$O$520,Transactions!$F$7:$F$520,"Expense",Transactions!$P$7:$P$520,"AED",Transactions!$C$7:$C$520,$A11,Transactions!$G$7:$G$520,AA$6)</f>
        <v>0.0</v>
      </c>
      <c r="AB11" s="548">
        <f>SUMIFS(Transactions!$O$7:$O$520,Transactions!$F$7:$F$520,"Expense",Transactions!$P$7:$P$520,"AED",Transactions!$C$7:$C$520,$A11,Transactions!$G$7:$G$520,AB$6)</f>
        <v>0.0</v>
      </c>
    </row>
    <row r="12" ht="15" customHeight="1" s="278">
      <c r="A12" s="474" t="inlineStr">
        <is>
          <t>2026-12</t>
        </is>
      </c>
      <c r="B12" s="385">
        <f>SUMIFS(Transactions!$O$7:$O$520,Transactions!$F$7:$F$520,"Income",Transactions!$P$7:$P$520,"AED",Transactions!$C$7:$C$520,$A12)</f>
        <v>0.0</v>
      </c>
      <c r="C12" s="385">
        <f>SUMIFS(Transactions!$O$7:$O$520,Transactions!$F$7:$F$520,"Expense",Transactions!$P$7:$P$520,"AED",Transactions!$C$7:$C$520,$A12)</f>
        <v>0.0</v>
      </c>
      <c r="D12" s="385">
        <f>SUMIFS(Transactions!$O$7:$O$520,Transactions!$F$7:$F$520,"Expense",Transactions!$P$7:$P$520,"AED",Transactions!$C$7:$C$520,$A12,Transactions!$J$7:$J$520,"Household")</f>
        <v>0.0</v>
      </c>
      <c r="E12" s="385">
        <f>SUMIFS(Transactions!$O$7:$O$520,Transactions!$F$7:$F$520,"Expense",Transactions!$P$7:$P$520,"AED",Transactions!$C$7:$C$520,$A12,Transactions!$J$7:$J$520,"Personal")</f>
        <v>0.0</v>
      </c>
      <c r="F12" s="385">
        <f>SUMIFS(Transactions!$O$7:$O$520,Transactions!$F$7:$F$520,"Expense",Transactions!$P$7:$P$520,"AED",Transactions!$C$7:$C$520,$A12,Transactions!$G$7:$G$520,"BNPL")</f>
        <v>0.0</v>
      </c>
      <c r="G12" s="385">
        <f>SUMIFS(Transactions!$O$7:$O$520,Transactions!$F$7:$F$520,"Expense",Transactions!$P$7:$P$520,"AED",Transactions!$C$7:$C$520,$A12,Transactions!$G$7:$G$520,"Investments")+SUMIFS(Transactions!$O$7:$O$520,Transactions!$F$7:$F$520,"Expense",Transactions!$P$7:$P$520,"AED",Transactions!$C$7:$C$520,$A12,Transactions!$G$7:$G$520,"Savings")</f>
        <v>0.0</v>
      </c>
      <c r="H12" s="293">
        <f>$B12-$C12</f>
        <v>0.0</v>
      </c>
      <c r="I12" s="410">
        <f>IF($B12=0,0,$H12/$B12)</f>
        <v>0.0</v>
      </c>
      <c r="J12" s="547" t="str">
        <f>IF($C12=0,"–",INDEX($N$6:$AB$6,MATCH(MAX($N12:$AB12),$N12:$AB12,0)))</f>
        <v>–</v>
      </c>
      <c r="K12" s="385">
        <f>IF($C12=0,0,$C12/IF($A12=Settings!$B$84,Settings!$B$89,DAY(EOMONTH(DATEVALUE($A12&amp;"-01"),0))))</f>
        <v>0.0</v>
      </c>
      <c r="L12" s="392" t="n"/>
      <c r="N12" s="548">
        <f>SUMIFS(Transactions!$O$7:$O$520,Transactions!$F$7:$F$520,"Expense",Transactions!$P$7:$P$520,"AED",Transactions!$C$7:$C$520,$A12,Transactions!$G$7:$G$520,N$6)</f>
        <v>0.0</v>
      </c>
      <c r="O12" s="548">
        <f>SUMIFS(Transactions!$O$7:$O$520,Transactions!$F$7:$F$520,"Expense",Transactions!$P$7:$P$520,"AED",Transactions!$C$7:$C$520,$A12,Transactions!$G$7:$G$520,O$6)</f>
        <v>0.0</v>
      </c>
      <c r="P12" s="548">
        <f>SUMIFS(Transactions!$O$7:$O$520,Transactions!$F$7:$F$520,"Expense",Transactions!$P$7:$P$520,"AED",Transactions!$C$7:$C$520,$A12,Transactions!$G$7:$G$520,P$6)</f>
        <v>0.0</v>
      </c>
      <c r="Q12" s="548">
        <f>SUMIFS(Transactions!$O$7:$O$520,Transactions!$F$7:$F$520,"Expense",Transactions!$P$7:$P$520,"AED",Transactions!$C$7:$C$520,$A12,Transactions!$G$7:$G$520,Q$6)</f>
        <v>0.0</v>
      </c>
      <c r="R12" s="548">
        <f>SUMIFS(Transactions!$O$7:$O$520,Transactions!$F$7:$F$520,"Expense",Transactions!$P$7:$P$520,"AED",Transactions!$C$7:$C$520,$A12,Transactions!$G$7:$G$520,R$6)</f>
        <v>0.0</v>
      </c>
      <c r="S12" s="548">
        <f>SUMIFS(Transactions!$O$7:$O$520,Transactions!$F$7:$F$520,"Expense",Transactions!$P$7:$P$520,"AED",Transactions!$C$7:$C$520,$A12,Transactions!$G$7:$G$520,S$6)</f>
        <v>0.0</v>
      </c>
      <c r="T12" s="548">
        <f>SUMIFS(Transactions!$O$7:$O$520,Transactions!$F$7:$F$520,"Expense",Transactions!$P$7:$P$520,"AED",Transactions!$C$7:$C$520,$A12,Transactions!$G$7:$G$520,T$6)</f>
        <v>0.0</v>
      </c>
      <c r="U12" s="548">
        <f>SUMIFS(Transactions!$O$7:$O$520,Transactions!$F$7:$F$520,"Expense",Transactions!$P$7:$P$520,"AED",Transactions!$C$7:$C$520,$A12,Transactions!$G$7:$G$520,U$6)</f>
        <v>0.0</v>
      </c>
      <c r="V12" s="548">
        <f>SUMIFS(Transactions!$O$7:$O$520,Transactions!$F$7:$F$520,"Expense",Transactions!$P$7:$P$520,"AED",Transactions!$C$7:$C$520,$A12,Transactions!$G$7:$G$520,V$6)</f>
        <v>0.0</v>
      </c>
      <c r="W12" s="548">
        <f>SUMIFS(Transactions!$O$7:$O$520,Transactions!$F$7:$F$520,"Expense",Transactions!$P$7:$P$520,"AED",Transactions!$C$7:$C$520,$A12,Transactions!$G$7:$G$520,W$6)</f>
        <v>0.0</v>
      </c>
      <c r="X12" s="548">
        <f>SUMIFS(Transactions!$O$7:$O$520,Transactions!$F$7:$F$520,"Expense",Transactions!$P$7:$P$520,"AED",Transactions!$C$7:$C$520,$A12,Transactions!$G$7:$G$520,X$6)</f>
        <v>0.0</v>
      </c>
      <c r="Y12" s="548">
        <f>SUMIFS(Transactions!$O$7:$O$520,Transactions!$F$7:$F$520,"Expense",Transactions!$P$7:$P$520,"AED",Transactions!$C$7:$C$520,$A12,Transactions!$G$7:$G$520,Y$6)</f>
        <v>0.0</v>
      </c>
      <c r="Z12" s="548">
        <f>SUMIFS(Transactions!$O$7:$O$520,Transactions!$F$7:$F$520,"Expense",Transactions!$P$7:$P$520,"AED",Transactions!$C$7:$C$520,$A12,Transactions!$G$7:$G$520,Z$6)</f>
        <v>0.0</v>
      </c>
      <c r="AA12" s="548">
        <f>SUMIFS(Transactions!$O$7:$O$520,Transactions!$F$7:$F$520,"Expense",Transactions!$P$7:$P$520,"AED",Transactions!$C$7:$C$520,$A12,Transactions!$G$7:$G$520,AA$6)</f>
        <v>0.0</v>
      </c>
      <c r="AB12" s="548">
        <f>SUMIFS(Transactions!$O$7:$O$520,Transactions!$F$7:$F$520,"Expense",Transactions!$P$7:$P$520,"AED",Transactions!$C$7:$C$520,$A12,Transactions!$G$7:$G$520,AB$6)</f>
        <v>0.0</v>
      </c>
    </row>
    <row r="13" ht="15" customHeight="1" s="278">
      <c r="A13" s="474" t="inlineStr">
        <is>
          <t>2027-01</t>
        </is>
      </c>
      <c r="B13" s="385">
        <f>SUMIFS(Transactions!$O$7:$O$520,Transactions!$F$7:$F$520,"Income",Transactions!$P$7:$P$520,"AED",Transactions!$C$7:$C$520,$A13)</f>
        <v>0.0</v>
      </c>
      <c r="C13" s="385">
        <f>SUMIFS(Transactions!$O$7:$O$520,Transactions!$F$7:$F$520,"Expense",Transactions!$P$7:$P$520,"AED",Transactions!$C$7:$C$520,$A13)</f>
        <v>0.0</v>
      </c>
      <c r="D13" s="385">
        <f>SUMIFS(Transactions!$O$7:$O$520,Transactions!$F$7:$F$520,"Expense",Transactions!$P$7:$P$520,"AED",Transactions!$C$7:$C$520,$A13,Transactions!$J$7:$J$520,"Household")</f>
        <v>0.0</v>
      </c>
      <c r="E13" s="385">
        <f>SUMIFS(Transactions!$O$7:$O$520,Transactions!$F$7:$F$520,"Expense",Transactions!$P$7:$P$520,"AED",Transactions!$C$7:$C$520,$A13,Transactions!$J$7:$J$520,"Personal")</f>
        <v>0.0</v>
      </c>
      <c r="F13" s="385">
        <f>SUMIFS(Transactions!$O$7:$O$520,Transactions!$F$7:$F$520,"Expense",Transactions!$P$7:$P$520,"AED",Transactions!$C$7:$C$520,$A13,Transactions!$G$7:$G$520,"BNPL")</f>
        <v>0.0</v>
      </c>
      <c r="G13" s="385">
        <f>SUMIFS(Transactions!$O$7:$O$520,Transactions!$F$7:$F$520,"Expense",Transactions!$P$7:$P$520,"AED",Transactions!$C$7:$C$520,$A13,Transactions!$G$7:$G$520,"Investments")+SUMIFS(Transactions!$O$7:$O$520,Transactions!$F$7:$F$520,"Expense",Transactions!$P$7:$P$520,"AED",Transactions!$C$7:$C$520,$A13,Transactions!$G$7:$G$520,"Savings")</f>
        <v>0.0</v>
      </c>
      <c r="H13" s="293">
        <f>$B13-$C13</f>
        <v>0.0</v>
      </c>
      <c r="I13" s="410">
        <f>IF($B13=0,0,$H13/$B13)</f>
        <v>0.0</v>
      </c>
      <c r="J13" s="547" t="str">
        <f>IF($C13=0,"–",INDEX($N$6:$AB$6,MATCH(MAX($N13:$AB13),$N13:$AB13,0)))</f>
        <v>–</v>
      </c>
      <c r="K13" s="385">
        <f>IF($C13=0,0,$C13/IF($A13=Settings!$B$84,Settings!$B$89,DAY(EOMONTH(DATEVALUE($A13&amp;"-01"),0))))</f>
        <v>0.0</v>
      </c>
      <c r="L13" s="392" t="n"/>
      <c r="N13" s="548">
        <f>SUMIFS(Transactions!$O$7:$O$520,Transactions!$F$7:$F$520,"Expense",Transactions!$P$7:$P$520,"AED",Transactions!$C$7:$C$520,$A13,Transactions!$G$7:$G$520,N$6)</f>
        <v>0.0</v>
      </c>
      <c r="O13" s="548">
        <f>SUMIFS(Transactions!$O$7:$O$520,Transactions!$F$7:$F$520,"Expense",Transactions!$P$7:$P$520,"AED",Transactions!$C$7:$C$520,$A13,Transactions!$G$7:$G$520,O$6)</f>
        <v>0.0</v>
      </c>
      <c r="P13" s="548">
        <f>SUMIFS(Transactions!$O$7:$O$520,Transactions!$F$7:$F$520,"Expense",Transactions!$P$7:$P$520,"AED",Transactions!$C$7:$C$520,$A13,Transactions!$G$7:$G$520,P$6)</f>
        <v>0.0</v>
      </c>
      <c r="Q13" s="548">
        <f>SUMIFS(Transactions!$O$7:$O$520,Transactions!$F$7:$F$520,"Expense",Transactions!$P$7:$P$520,"AED",Transactions!$C$7:$C$520,$A13,Transactions!$G$7:$G$520,Q$6)</f>
        <v>0.0</v>
      </c>
      <c r="R13" s="548">
        <f>SUMIFS(Transactions!$O$7:$O$520,Transactions!$F$7:$F$520,"Expense",Transactions!$P$7:$P$520,"AED",Transactions!$C$7:$C$520,$A13,Transactions!$G$7:$G$520,R$6)</f>
        <v>0.0</v>
      </c>
      <c r="S13" s="548">
        <f>SUMIFS(Transactions!$O$7:$O$520,Transactions!$F$7:$F$520,"Expense",Transactions!$P$7:$P$520,"AED",Transactions!$C$7:$C$520,$A13,Transactions!$G$7:$G$520,S$6)</f>
        <v>0.0</v>
      </c>
      <c r="T13" s="548">
        <f>SUMIFS(Transactions!$O$7:$O$520,Transactions!$F$7:$F$520,"Expense",Transactions!$P$7:$P$520,"AED",Transactions!$C$7:$C$520,$A13,Transactions!$G$7:$G$520,T$6)</f>
        <v>0.0</v>
      </c>
      <c r="U13" s="548">
        <f>SUMIFS(Transactions!$O$7:$O$520,Transactions!$F$7:$F$520,"Expense",Transactions!$P$7:$P$520,"AED",Transactions!$C$7:$C$520,$A13,Transactions!$G$7:$G$520,U$6)</f>
        <v>0.0</v>
      </c>
      <c r="V13" s="548">
        <f>SUMIFS(Transactions!$O$7:$O$520,Transactions!$F$7:$F$520,"Expense",Transactions!$P$7:$P$520,"AED",Transactions!$C$7:$C$520,$A13,Transactions!$G$7:$G$520,V$6)</f>
        <v>0.0</v>
      </c>
      <c r="W13" s="548">
        <f>SUMIFS(Transactions!$O$7:$O$520,Transactions!$F$7:$F$520,"Expense",Transactions!$P$7:$P$520,"AED",Transactions!$C$7:$C$520,$A13,Transactions!$G$7:$G$520,W$6)</f>
        <v>0.0</v>
      </c>
      <c r="X13" s="548">
        <f>SUMIFS(Transactions!$O$7:$O$520,Transactions!$F$7:$F$520,"Expense",Transactions!$P$7:$P$520,"AED",Transactions!$C$7:$C$520,$A13,Transactions!$G$7:$G$520,X$6)</f>
        <v>0.0</v>
      </c>
      <c r="Y13" s="548">
        <f>SUMIFS(Transactions!$O$7:$O$520,Transactions!$F$7:$F$520,"Expense",Transactions!$P$7:$P$520,"AED",Transactions!$C$7:$C$520,$A13,Transactions!$G$7:$G$520,Y$6)</f>
        <v>0.0</v>
      </c>
      <c r="Z13" s="548">
        <f>SUMIFS(Transactions!$O$7:$O$520,Transactions!$F$7:$F$520,"Expense",Transactions!$P$7:$P$520,"AED",Transactions!$C$7:$C$520,$A13,Transactions!$G$7:$G$520,Z$6)</f>
        <v>0.0</v>
      </c>
      <c r="AA13" s="548">
        <f>SUMIFS(Transactions!$O$7:$O$520,Transactions!$F$7:$F$520,"Expense",Transactions!$P$7:$P$520,"AED",Transactions!$C$7:$C$520,$A13,Transactions!$G$7:$G$520,AA$6)</f>
        <v>0.0</v>
      </c>
      <c r="AB13" s="548">
        <f>SUMIFS(Transactions!$O$7:$O$520,Transactions!$F$7:$F$520,"Expense",Transactions!$P$7:$P$520,"AED",Transactions!$C$7:$C$520,$A13,Transactions!$G$7:$G$520,AB$6)</f>
        <v>0.0</v>
      </c>
    </row>
    <row r="14" ht="15" customHeight="1" s="278">
      <c r="A14" s="474" t="inlineStr">
        <is>
          <t>2027-02</t>
        </is>
      </c>
      <c r="B14" s="385">
        <f>SUMIFS(Transactions!$O$7:$O$520,Transactions!$F$7:$F$520,"Income",Transactions!$P$7:$P$520,"AED",Transactions!$C$7:$C$520,$A14)</f>
        <v>0.0</v>
      </c>
      <c r="C14" s="385">
        <f>SUMIFS(Transactions!$O$7:$O$520,Transactions!$F$7:$F$520,"Expense",Transactions!$P$7:$P$520,"AED",Transactions!$C$7:$C$520,$A14)</f>
        <v>0.0</v>
      </c>
      <c r="D14" s="385">
        <f>SUMIFS(Transactions!$O$7:$O$520,Transactions!$F$7:$F$520,"Expense",Transactions!$P$7:$P$520,"AED",Transactions!$C$7:$C$520,$A14,Transactions!$J$7:$J$520,"Household")</f>
        <v>0.0</v>
      </c>
      <c r="E14" s="385">
        <f>SUMIFS(Transactions!$O$7:$O$520,Transactions!$F$7:$F$520,"Expense",Transactions!$P$7:$P$520,"AED",Transactions!$C$7:$C$520,$A14,Transactions!$J$7:$J$520,"Personal")</f>
        <v>0.0</v>
      </c>
      <c r="F14" s="385">
        <f>SUMIFS(Transactions!$O$7:$O$520,Transactions!$F$7:$F$520,"Expense",Transactions!$P$7:$P$520,"AED",Transactions!$C$7:$C$520,$A14,Transactions!$G$7:$G$520,"BNPL")</f>
        <v>0.0</v>
      </c>
      <c r="G14" s="385">
        <f>SUMIFS(Transactions!$O$7:$O$520,Transactions!$F$7:$F$520,"Expense",Transactions!$P$7:$P$520,"AED",Transactions!$C$7:$C$520,$A14,Transactions!$G$7:$G$520,"Investments")+SUMIFS(Transactions!$O$7:$O$520,Transactions!$F$7:$F$520,"Expense",Transactions!$P$7:$P$520,"AED",Transactions!$C$7:$C$520,$A14,Transactions!$G$7:$G$520,"Savings")</f>
        <v>0.0</v>
      </c>
      <c r="H14" s="293">
        <f>$B14-$C14</f>
        <v>0.0</v>
      </c>
      <c r="I14" s="410">
        <f>IF($B14=0,0,$H14/$B14)</f>
        <v>0.0</v>
      </c>
      <c r="J14" s="547" t="str">
        <f>IF($C14=0,"–",INDEX($N$6:$AB$6,MATCH(MAX($N14:$AB14),$N14:$AB14,0)))</f>
        <v>–</v>
      </c>
      <c r="K14" s="385">
        <f>IF($C14=0,0,$C14/IF($A14=Settings!$B$84,Settings!$B$89,DAY(EOMONTH(DATEVALUE($A14&amp;"-01"),0))))</f>
        <v>0.0</v>
      </c>
      <c r="L14" s="392" t="n"/>
      <c r="N14" s="548">
        <f>SUMIFS(Transactions!$O$7:$O$520,Transactions!$F$7:$F$520,"Expense",Transactions!$P$7:$P$520,"AED",Transactions!$C$7:$C$520,$A14,Transactions!$G$7:$G$520,N$6)</f>
        <v>0.0</v>
      </c>
      <c r="O14" s="548">
        <f>SUMIFS(Transactions!$O$7:$O$520,Transactions!$F$7:$F$520,"Expense",Transactions!$P$7:$P$520,"AED",Transactions!$C$7:$C$520,$A14,Transactions!$G$7:$G$520,O$6)</f>
        <v>0.0</v>
      </c>
      <c r="P14" s="548">
        <f>SUMIFS(Transactions!$O$7:$O$520,Transactions!$F$7:$F$520,"Expense",Transactions!$P$7:$P$520,"AED",Transactions!$C$7:$C$520,$A14,Transactions!$G$7:$G$520,P$6)</f>
        <v>0.0</v>
      </c>
      <c r="Q14" s="548">
        <f>SUMIFS(Transactions!$O$7:$O$520,Transactions!$F$7:$F$520,"Expense",Transactions!$P$7:$P$520,"AED",Transactions!$C$7:$C$520,$A14,Transactions!$G$7:$G$520,Q$6)</f>
        <v>0.0</v>
      </c>
      <c r="R14" s="548">
        <f>SUMIFS(Transactions!$O$7:$O$520,Transactions!$F$7:$F$520,"Expense",Transactions!$P$7:$P$520,"AED",Transactions!$C$7:$C$520,$A14,Transactions!$G$7:$G$520,R$6)</f>
        <v>0.0</v>
      </c>
      <c r="S14" s="548">
        <f>SUMIFS(Transactions!$O$7:$O$520,Transactions!$F$7:$F$520,"Expense",Transactions!$P$7:$P$520,"AED",Transactions!$C$7:$C$520,$A14,Transactions!$G$7:$G$520,S$6)</f>
        <v>0.0</v>
      </c>
      <c r="T14" s="548">
        <f>SUMIFS(Transactions!$O$7:$O$520,Transactions!$F$7:$F$520,"Expense",Transactions!$P$7:$P$520,"AED",Transactions!$C$7:$C$520,$A14,Transactions!$G$7:$G$520,T$6)</f>
        <v>0.0</v>
      </c>
      <c r="U14" s="548">
        <f>SUMIFS(Transactions!$O$7:$O$520,Transactions!$F$7:$F$520,"Expense",Transactions!$P$7:$P$520,"AED",Transactions!$C$7:$C$520,$A14,Transactions!$G$7:$G$520,U$6)</f>
        <v>0.0</v>
      </c>
      <c r="V14" s="548">
        <f>SUMIFS(Transactions!$O$7:$O$520,Transactions!$F$7:$F$520,"Expense",Transactions!$P$7:$P$520,"AED",Transactions!$C$7:$C$520,$A14,Transactions!$G$7:$G$520,V$6)</f>
        <v>0.0</v>
      </c>
      <c r="W14" s="548">
        <f>SUMIFS(Transactions!$O$7:$O$520,Transactions!$F$7:$F$520,"Expense",Transactions!$P$7:$P$520,"AED",Transactions!$C$7:$C$520,$A14,Transactions!$G$7:$G$520,W$6)</f>
        <v>0.0</v>
      </c>
      <c r="X14" s="548">
        <f>SUMIFS(Transactions!$O$7:$O$520,Transactions!$F$7:$F$520,"Expense",Transactions!$P$7:$P$520,"AED",Transactions!$C$7:$C$520,$A14,Transactions!$G$7:$G$520,X$6)</f>
        <v>0.0</v>
      </c>
      <c r="Y14" s="548">
        <f>SUMIFS(Transactions!$O$7:$O$520,Transactions!$F$7:$F$520,"Expense",Transactions!$P$7:$P$520,"AED",Transactions!$C$7:$C$520,$A14,Transactions!$G$7:$G$520,Y$6)</f>
        <v>0.0</v>
      </c>
      <c r="Z14" s="548">
        <f>SUMIFS(Transactions!$O$7:$O$520,Transactions!$F$7:$F$520,"Expense",Transactions!$P$7:$P$520,"AED",Transactions!$C$7:$C$520,$A14,Transactions!$G$7:$G$520,Z$6)</f>
        <v>0.0</v>
      </c>
      <c r="AA14" s="548">
        <f>SUMIFS(Transactions!$O$7:$O$520,Transactions!$F$7:$F$520,"Expense",Transactions!$P$7:$P$520,"AED",Transactions!$C$7:$C$520,$A14,Transactions!$G$7:$G$520,AA$6)</f>
        <v>0.0</v>
      </c>
      <c r="AB14" s="548">
        <f>SUMIFS(Transactions!$O$7:$O$520,Transactions!$F$7:$F$520,"Expense",Transactions!$P$7:$P$520,"AED",Transactions!$C$7:$C$520,$A14,Transactions!$G$7:$G$520,AB$6)</f>
        <v>0.0</v>
      </c>
    </row>
    <row r="15" ht="15" customHeight="1" s="278">
      <c r="A15" s="474" t="inlineStr">
        <is>
          <t>2027-03</t>
        </is>
      </c>
      <c r="B15" s="385">
        <f>SUMIFS(Transactions!$O$7:$O$520,Transactions!$F$7:$F$520,"Income",Transactions!$P$7:$P$520,"AED",Transactions!$C$7:$C$520,$A15)</f>
        <v>0.0</v>
      </c>
      <c r="C15" s="385">
        <f>SUMIFS(Transactions!$O$7:$O$520,Transactions!$F$7:$F$520,"Expense",Transactions!$P$7:$P$520,"AED",Transactions!$C$7:$C$520,$A15)</f>
        <v>0.0</v>
      </c>
      <c r="D15" s="385">
        <f>SUMIFS(Transactions!$O$7:$O$520,Transactions!$F$7:$F$520,"Expense",Transactions!$P$7:$P$520,"AED",Transactions!$C$7:$C$520,$A15,Transactions!$J$7:$J$520,"Household")</f>
        <v>0.0</v>
      </c>
      <c r="E15" s="385">
        <f>SUMIFS(Transactions!$O$7:$O$520,Transactions!$F$7:$F$520,"Expense",Transactions!$P$7:$P$520,"AED",Transactions!$C$7:$C$520,$A15,Transactions!$J$7:$J$520,"Personal")</f>
        <v>0.0</v>
      </c>
      <c r="F15" s="385">
        <f>SUMIFS(Transactions!$O$7:$O$520,Transactions!$F$7:$F$520,"Expense",Transactions!$P$7:$P$520,"AED",Transactions!$C$7:$C$520,$A15,Transactions!$G$7:$G$520,"BNPL")</f>
        <v>0.0</v>
      </c>
      <c r="G15" s="385">
        <f>SUMIFS(Transactions!$O$7:$O$520,Transactions!$F$7:$F$520,"Expense",Transactions!$P$7:$P$520,"AED",Transactions!$C$7:$C$520,$A15,Transactions!$G$7:$G$520,"Investments")+SUMIFS(Transactions!$O$7:$O$520,Transactions!$F$7:$F$520,"Expense",Transactions!$P$7:$P$520,"AED",Transactions!$C$7:$C$520,$A15,Transactions!$G$7:$G$520,"Savings")</f>
        <v>0.0</v>
      </c>
      <c r="H15" s="293">
        <f>$B15-$C15</f>
        <v>0.0</v>
      </c>
      <c r="I15" s="410">
        <f>IF($B15=0,0,$H15/$B15)</f>
        <v>0.0</v>
      </c>
      <c r="J15" s="547" t="str">
        <f>IF($C15=0,"–",INDEX($N$6:$AB$6,MATCH(MAX($N15:$AB15),$N15:$AB15,0)))</f>
        <v>–</v>
      </c>
      <c r="K15" s="385">
        <f>IF($C15=0,0,$C15/IF($A15=Settings!$B$84,Settings!$B$89,DAY(EOMONTH(DATEVALUE($A15&amp;"-01"),0))))</f>
        <v>0.0</v>
      </c>
      <c r="L15" s="392" t="n"/>
      <c r="N15" s="548">
        <f>SUMIFS(Transactions!$O$7:$O$520,Transactions!$F$7:$F$520,"Expense",Transactions!$P$7:$P$520,"AED",Transactions!$C$7:$C$520,$A15,Transactions!$G$7:$G$520,N$6)</f>
        <v>0.0</v>
      </c>
      <c r="O15" s="548">
        <f>SUMIFS(Transactions!$O$7:$O$520,Transactions!$F$7:$F$520,"Expense",Transactions!$P$7:$P$520,"AED",Transactions!$C$7:$C$520,$A15,Transactions!$G$7:$G$520,O$6)</f>
        <v>0.0</v>
      </c>
      <c r="P15" s="548">
        <f>SUMIFS(Transactions!$O$7:$O$520,Transactions!$F$7:$F$520,"Expense",Transactions!$P$7:$P$520,"AED",Transactions!$C$7:$C$520,$A15,Transactions!$G$7:$G$520,P$6)</f>
        <v>0.0</v>
      </c>
      <c r="Q15" s="548">
        <f>SUMIFS(Transactions!$O$7:$O$520,Transactions!$F$7:$F$520,"Expense",Transactions!$P$7:$P$520,"AED",Transactions!$C$7:$C$520,$A15,Transactions!$G$7:$G$520,Q$6)</f>
        <v>0.0</v>
      </c>
      <c r="R15" s="548">
        <f>SUMIFS(Transactions!$O$7:$O$520,Transactions!$F$7:$F$520,"Expense",Transactions!$P$7:$P$520,"AED",Transactions!$C$7:$C$520,$A15,Transactions!$G$7:$G$520,R$6)</f>
        <v>0.0</v>
      </c>
      <c r="S15" s="548">
        <f>SUMIFS(Transactions!$O$7:$O$520,Transactions!$F$7:$F$520,"Expense",Transactions!$P$7:$P$520,"AED",Transactions!$C$7:$C$520,$A15,Transactions!$G$7:$G$520,S$6)</f>
        <v>0.0</v>
      </c>
      <c r="T15" s="548">
        <f>SUMIFS(Transactions!$O$7:$O$520,Transactions!$F$7:$F$520,"Expense",Transactions!$P$7:$P$520,"AED",Transactions!$C$7:$C$520,$A15,Transactions!$G$7:$G$520,T$6)</f>
        <v>0.0</v>
      </c>
      <c r="U15" s="548">
        <f>SUMIFS(Transactions!$O$7:$O$520,Transactions!$F$7:$F$520,"Expense",Transactions!$P$7:$P$520,"AED",Transactions!$C$7:$C$520,$A15,Transactions!$G$7:$G$520,U$6)</f>
        <v>0.0</v>
      </c>
      <c r="V15" s="548">
        <f>SUMIFS(Transactions!$O$7:$O$520,Transactions!$F$7:$F$520,"Expense",Transactions!$P$7:$P$520,"AED",Transactions!$C$7:$C$520,$A15,Transactions!$G$7:$G$520,V$6)</f>
        <v>0.0</v>
      </c>
      <c r="W15" s="548">
        <f>SUMIFS(Transactions!$O$7:$O$520,Transactions!$F$7:$F$520,"Expense",Transactions!$P$7:$P$520,"AED",Transactions!$C$7:$C$520,$A15,Transactions!$G$7:$G$520,W$6)</f>
        <v>0.0</v>
      </c>
      <c r="X15" s="548">
        <f>SUMIFS(Transactions!$O$7:$O$520,Transactions!$F$7:$F$520,"Expense",Transactions!$P$7:$P$520,"AED",Transactions!$C$7:$C$520,$A15,Transactions!$G$7:$G$520,X$6)</f>
        <v>0.0</v>
      </c>
      <c r="Y15" s="548">
        <f>SUMIFS(Transactions!$O$7:$O$520,Transactions!$F$7:$F$520,"Expense",Transactions!$P$7:$P$520,"AED",Transactions!$C$7:$C$520,$A15,Transactions!$G$7:$G$520,Y$6)</f>
        <v>0.0</v>
      </c>
      <c r="Z15" s="548">
        <f>SUMIFS(Transactions!$O$7:$O$520,Transactions!$F$7:$F$520,"Expense",Transactions!$P$7:$P$520,"AED",Transactions!$C$7:$C$520,$A15,Transactions!$G$7:$G$520,Z$6)</f>
        <v>0.0</v>
      </c>
      <c r="AA15" s="548">
        <f>SUMIFS(Transactions!$O$7:$O$520,Transactions!$F$7:$F$520,"Expense",Transactions!$P$7:$P$520,"AED",Transactions!$C$7:$C$520,$A15,Transactions!$G$7:$G$520,AA$6)</f>
        <v>0.0</v>
      </c>
      <c r="AB15" s="548">
        <f>SUMIFS(Transactions!$O$7:$O$520,Transactions!$F$7:$F$520,"Expense",Transactions!$P$7:$P$520,"AED",Transactions!$C$7:$C$520,$A15,Transactions!$G$7:$G$520,AB$6)</f>
        <v>0.0</v>
      </c>
    </row>
    <row r="16" ht="15" customHeight="1" s="278">
      <c r="A16" s="474" t="inlineStr">
        <is>
          <t>2027-04</t>
        </is>
      </c>
      <c r="B16" s="385">
        <f>SUMIFS(Transactions!$O$7:$O$520,Transactions!$F$7:$F$520,"Income",Transactions!$P$7:$P$520,"AED",Transactions!$C$7:$C$520,$A16)</f>
        <v>0.0</v>
      </c>
      <c r="C16" s="385">
        <f>SUMIFS(Transactions!$O$7:$O$520,Transactions!$F$7:$F$520,"Expense",Transactions!$P$7:$P$520,"AED",Transactions!$C$7:$C$520,$A16)</f>
        <v>0.0</v>
      </c>
      <c r="D16" s="385">
        <f>SUMIFS(Transactions!$O$7:$O$520,Transactions!$F$7:$F$520,"Expense",Transactions!$P$7:$P$520,"AED",Transactions!$C$7:$C$520,$A16,Transactions!$J$7:$J$520,"Household")</f>
        <v>0.0</v>
      </c>
      <c r="E16" s="385">
        <f>SUMIFS(Transactions!$O$7:$O$520,Transactions!$F$7:$F$520,"Expense",Transactions!$P$7:$P$520,"AED",Transactions!$C$7:$C$520,$A16,Transactions!$J$7:$J$520,"Personal")</f>
        <v>0.0</v>
      </c>
      <c r="F16" s="385">
        <f>SUMIFS(Transactions!$O$7:$O$520,Transactions!$F$7:$F$520,"Expense",Transactions!$P$7:$P$520,"AED",Transactions!$C$7:$C$520,$A16,Transactions!$G$7:$G$520,"BNPL")</f>
        <v>0.0</v>
      </c>
      <c r="G16" s="385">
        <f>SUMIFS(Transactions!$O$7:$O$520,Transactions!$F$7:$F$520,"Expense",Transactions!$P$7:$P$520,"AED",Transactions!$C$7:$C$520,$A16,Transactions!$G$7:$G$520,"Investments")+SUMIFS(Transactions!$O$7:$O$520,Transactions!$F$7:$F$520,"Expense",Transactions!$P$7:$P$520,"AED",Transactions!$C$7:$C$520,$A16,Transactions!$G$7:$G$520,"Savings")</f>
        <v>0.0</v>
      </c>
      <c r="H16" s="293">
        <f>$B16-$C16</f>
        <v>0.0</v>
      </c>
      <c r="I16" s="410">
        <f>IF($B16=0,0,$H16/$B16)</f>
        <v>0.0</v>
      </c>
      <c r="J16" s="547" t="str">
        <f>IF($C16=0,"–",INDEX($N$6:$AB$6,MATCH(MAX($N16:$AB16),$N16:$AB16,0)))</f>
        <v>–</v>
      </c>
      <c r="K16" s="385">
        <f>IF($C16=0,0,$C16/IF($A16=Settings!$B$84,Settings!$B$89,DAY(EOMONTH(DATEVALUE($A16&amp;"-01"),0))))</f>
        <v>0.0</v>
      </c>
      <c r="L16" s="392" t="n"/>
      <c r="N16" s="548">
        <f>SUMIFS(Transactions!$O$7:$O$520,Transactions!$F$7:$F$520,"Expense",Transactions!$P$7:$P$520,"AED",Transactions!$C$7:$C$520,$A16,Transactions!$G$7:$G$520,N$6)</f>
        <v>0.0</v>
      </c>
      <c r="O16" s="548">
        <f>SUMIFS(Transactions!$O$7:$O$520,Transactions!$F$7:$F$520,"Expense",Transactions!$P$7:$P$520,"AED",Transactions!$C$7:$C$520,$A16,Transactions!$G$7:$G$520,O$6)</f>
        <v>0.0</v>
      </c>
      <c r="P16" s="548">
        <f>SUMIFS(Transactions!$O$7:$O$520,Transactions!$F$7:$F$520,"Expense",Transactions!$P$7:$P$520,"AED",Transactions!$C$7:$C$520,$A16,Transactions!$G$7:$G$520,P$6)</f>
        <v>0.0</v>
      </c>
      <c r="Q16" s="548">
        <f>SUMIFS(Transactions!$O$7:$O$520,Transactions!$F$7:$F$520,"Expense",Transactions!$P$7:$P$520,"AED",Transactions!$C$7:$C$520,$A16,Transactions!$G$7:$G$520,Q$6)</f>
        <v>0.0</v>
      </c>
      <c r="R16" s="548">
        <f>SUMIFS(Transactions!$O$7:$O$520,Transactions!$F$7:$F$520,"Expense",Transactions!$P$7:$P$520,"AED",Transactions!$C$7:$C$520,$A16,Transactions!$G$7:$G$520,R$6)</f>
        <v>0.0</v>
      </c>
      <c r="S16" s="548">
        <f>SUMIFS(Transactions!$O$7:$O$520,Transactions!$F$7:$F$520,"Expense",Transactions!$P$7:$P$520,"AED",Transactions!$C$7:$C$520,$A16,Transactions!$G$7:$G$520,S$6)</f>
        <v>0.0</v>
      </c>
      <c r="T16" s="548">
        <f>SUMIFS(Transactions!$O$7:$O$520,Transactions!$F$7:$F$520,"Expense",Transactions!$P$7:$P$520,"AED",Transactions!$C$7:$C$520,$A16,Transactions!$G$7:$G$520,T$6)</f>
        <v>0.0</v>
      </c>
      <c r="U16" s="548">
        <f>SUMIFS(Transactions!$O$7:$O$520,Transactions!$F$7:$F$520,"Expense",Transactions!$P$7:$P$520,"AED",Transactions!$C$7:$C$520,$A16,Transactions!$G$7:$G$520,U$6)</f>
        <v>0.0</v>
      </c>
      <c r="V16" s="548">
        <f>SUMIFS(Transactions!$O$7:$O$520,Transactions!$F$7:$F$520,"Expense",Transactions!$P$7:$P$520,"AED",Transactions!$C$7:$C$520,$A16,Transactions!$G$7:$G$520,V$6)</f>
        <v>0.0</v>
      </c>
      <c r="W16" s="548">
        <f>SUMIFS(Transactions!$O$7:$O$520,Transactions!$F$7:$F$520,"Expense",Transactions!$P$7:$P$520,"AED",Transactions!$C$7:$C$520,$A16,Transactions!$G$7:$G$520,W$6)</f>
        <v>0.0</v>
      </c>
      <c r="X16" s="548">
        <f>SUMIFS(Transactions!$O$7:$O$520,Transactions!$F$7:$F$520,"Expense",Transactions!$P$7:$P$520,"AED",Transactions!$C$7:$C$520,$A16,Transactions!$G$7:$G$520,X$6)</f>
        <v>0.0</v>
      </c>
      <c r="Y16" s="548">
        <f>SUMIFS(Transactions!$O$7:$O$520,Transactions!$F$7:$F$520,"Expense",Transactions!$P$7:$P$520,"AED",Transactions!$C$7:$C$520,$A16,Transactions!$G$7:$G$520,Y$6)</f>
        <v>0.0</v>
      </c>
      <c r="Z16" s="548">
        <f>SUMIFS(Transactions!$O$7:$O$520,Transactions!$F$7:$F$520,"Expense",Transactions!$P$7:$P$520,"AED",Transactions!$C$7:$C$520,$A16,Transactions!$G$7:$G$520,Z$6)</f>
        <v>0.0</v>
      </c>
      <c r="AA16" s="548">
        <f>SUMIFS(Transactions!$O$7:$O$520,Transactions!$F$7:$F$520,"Expense",Transactions!$P$7:$P$520,"AED",Transactions!$C$7:$C$520,$A16,Transactions!$G$7:$G$520,AA$6)</f>
        <v>0.0</v>
      </c>
      <c r="AB16" s="548">
        <f>SUMIFS(Transactions!$O$7:$O$520,Transactions!$F$7:$F$520,"Expense",Transactions!$P$7:$P$520,"AED",Transactions!$C$7:$C$520,$A16,Transactions!$G$7:$G$520,AB$6)</f>
        <v>0.0</v>
      </c>
    </row>
    <row r="17" ht="15" customHeight="1" s="278">
      <c r="A17" s="474" t="inlineStr">
        <is>
          <t>2027-05</t>
        </is>
      </c>
      <c r="B17" s="385">
        <f>SUMIFS(Transactions!$O$7:$O$520,Transactions!$F$7:$F$520,"Income",Transactions!$P$7:$P$520,"AED",Transactions!$C$7:$C$520,$A17)</f>
        <v>0.0</v>
      </c>
      <c r="C17" s="385">
        <f>SUMIFS(Transactions!$O$7:$O$520,Transactions!$F$7:$F$520,"Expense",Transactions!$P$7:$P$520,"AED",Transactions!$C$7:$C$520,$A17)</f>
        <v>0.0</v>
      </c>
      <c r="D17" s="385">
        <f>SUMIFS(Transactions!$O$7:$O$520,Transactions!$F$7:$F$520,"Expense",Transactions!$P$7:$P$520,"AED",Transactions!$C$7:$C$520,$A17,Transactions!$J$7:$J$520,"Household")</f>
        <v>0.0</v>
      </c>
      <c r="E17" s="385">
        <f>SUMIFS(Transactions!$O$7:$O$520,Transactions!$F$7:$F$520,"Expense",Transactions!$P$7:$P$520,"AED",Transactions!$C$7:$C$520,$A17,Transactions!$J$7:$J$520,"Personal")</f>
        <v>0.0</v>
      </c>
      <c r="F17" s="385">
        <f>SUMIFS(Transactions!$O$7:$O$520,Transactions!$F$7:$F$520,"Expense",Transactions!$P$7:$P$520,"AED",Transactions!$C$7:$C$520,$A17,Transactions!$G$7:$G$520,"BNPL")</f>
        <v>0.0</v>
      </c>
      <c r="G17" s="385">
        <f>SUMIFS(Transactions!$O$7:$O$520,Transactions!$F$7:$F$520,"Expense",Transactions!$P$7:$P$520,"AED",Transactions!$C$7:$C$520,$A17,Transactions!$G$7:$G$520,"Investments")+SUMIFS(Transactions!$O$7:$O$520,Transactions!$F$7:$F$520,"Expense",Transactions!$P$7:$P$520,"AED",Transactions!$C$7:$C$520,$A17,Transactions!$G$7:$G$520,"Savings")</f>
        <v>0.0</v>
      </c>
      <c r="H17" s="293">
        <f>$B17-$C17</f>
        <v>0.0</v>
      </c>
      <c r="I17" s="410">
        <f>IF($B17=0,0,$H17/$B17)</f>
        <v>0.0</v>
      </c>
      <c r="J17" s="547" t="str">
        <f>IF($C17=0,"–",INDEX($N$6:$AB$6,MATCH(MAX($N17:$AB17),$N17:$AB17,0)))</f>
        <v>–</v>
      </c>
      <c r="K17" s="385">
        <f>IF($C17=0,0,$C17/IF($A17=Settings!$B$84,Settings!$B$89,DAY(EOMONTH(DATEVALUE($A17&amp;"-01"),0))))</f>
        <v>0.0</v>
      </c>
      <c r="L17" s="392" t="n"/>
      <c r="N17" s="548">
        <f>SUMIFS(Transactions!$O$7:$O$520,Transactions!$F$7:$F$520,"Expense",Transactions!$P$7:$P$520,"AED",Transactions!$C$7:$C$520,$A17,Transactions!$G$7:$G$520,N$6)</f>
        <v>0.0</v>
      </c>
      <c r="O17" s="548">
        <f>SUMIFS(Transactions!$O$7:$O$520,Transactions!$F$7:$F$520,"Expense",Transactions!$P$7:$P$520,"AED",Transactions!$C$7:$C$520,$A17,Transactions!$G$7:$G$520,O$6)</f>
        <v>0.0</v>
      </c>
      <c r="P17" s="548">
        <f>SUMIFS(Transactions!$O$7:$O$520,Transactions!$F$7:$F$520,"Expense",Transactions!$P$7:$P$520,"AED",Transactions!$C$7:$C$520,$A17,Transactions!$G$7:$G$520,P$6)</f>
        <v>0.0</v>
      </c>
      <c r="Q17" s="548">
        <f>SUMIFS(Transactions!$O$7:$O$520,Transactions!$F$7:$F$520,"Expense",Transactions!$P$7:$P$520,"AED",Transactions!$C$7:$C$520,$A17,Transactions!$G$7:$G$520,Q$6)</f>
        <v>0.0</v>
      </c>
      <c r="R17" s="548">
        <f>SUMIFS(Transactions!$O$7:$O$520,Transactions!$F$7:$F$520,"Expense",Transactions!$P$7:$P$520,"AED",Transactions!$C$7:$C$520,$A17,Transactions!$G$7:$G$520,R$6)</f>
        <v>0.0</v>
      </c>
      <c r="S17" s="548">
        <f>SUMIFS(Transactions!$O$7:$O$520,Transactions!$F$7:$F$520,"Expense",Transactions!$P$7:$P$520,"AED",Transactions!$C$7:$C$520,$A17,Transactions!$G$7:$G$520,S$6)</f>
        <v>0.0</v>
      </c>
      <c r="T17" s="548">
        <f>SUMIFS(Transactions!$O$7:$O$520,Transactions!$F$7:$F$520,"Expense",Transactions!$P$7:$P$520,"AED",Transactions!$C$7:$C$520,$A17,Transactions!$G$7:$G$520,T$6)</f>
        <v>0.0</v>
      </c>
      <c r="U17" s="548">
        <f>SUMIFS(Transactions!$O$7:$O$520,Transactions!$F$7:$F$520,"Expense",Transactions!$P$7:$P$520,"AED",Transactions!$C$7:$C$520,$A17,Transactions!$G$7:$G$520,U$6)</f>
        <v>0.0</v>
      </c>
      <c r="V17" s="548">
        <f>SUMIFS(Transactions!$O$7:$O$520,Transactions!$F$7:$F$520,"Expense",Transactions!$P$7:$P$520,"AED",Transactions!$C$7:$C$520,$A17,Transactions!$G$7:$G$520,V$6)</f>
        <v>0.0</v>
      </c>
      <c r="W17" s="548">
        <f>SUMIFS(Transactions!$O$7:$O$520,Transactions!$F$7:$F$520,"Expense",Transactions!$P$7:$P$520,"AED",Transactions!$C$7:$C$520,$A17,Transactions!$G$7:$G$520,W$6)</f>
        <v>0.0</v>
      </c>
      <c r="X17" s="548">
        <f>SUMIFS(Transactions!$O$7:$O$520,Transactions!$F$7:$F$520,"Expense",Transactions!$P$7:$P$520,"AED",Transactions!$C$7:$C$520,$A17,Transactions!$G$7:$G$520,X$6)</f>
        <v>0.0</v>
      </c>
      <c r="Y17" s="548">
        <f>SUMIFS(Transactions!$O$7:$O$520,Transactions!$F$7:$F$520,"Expense",Transactions!$P$7:$P$520,"AED",Transactions!$C$7:$C$520,$A17,Transactions!$G$7:$G$520,Y$6)</f>
        <v>0.0</v>
      </c>
      <c r="Z17" s="548">
        <f>SUMIFS(Transactions!$O$7:$O$520,Transactions!$F$7:$F$520,"Expense",Transactions!$P$7:$P$520,"AED",Transactions!$C$7:$C$520,$A17,Transactions!$G$7:$G$520,Z$6)</f>
        <v>0.0</v>
      </c>
      <c r="AA17" s="548">
        <f>SUMIFS(Transactions!$O$7:$O$520,Transactions!$F$7:$F$520,"Expense",Transactions!$P$7:$P$520,"AED",Transactions!$C$7:$C$520,$A17,Transactions!$G$7:$G$520,AA$6)</f>
        <v>0.0</v>
      </c>
      <c r="AB17" s="548">
        <f>SUMIFS(Transactions!$O$7:$O$520,Transactions!$F$7:$F$520,"Expense",Transactions!$P$7:$P$520,"AED",Transactions!$C$7:$C$520,$A17,Transactions!$G$7:$G$520,AB$6)</f>
        <v>0.0</v>
      </c>
    </row>
    <row r="18" ht="15" customHeight="1" s="278">
      <c r="A18" s="474" t="inlineStr">
        <is>
          <t>2027-06</t>
        </is>
      </c>
      <c r="B18" s="385">
        <f>SUMIFS(Transactions!$O$7:$O$520,Transactions!$F$7:$F$520,"Income",Transactions!$P$7:$P$520,"AED",Transactions!$C$7:$C$520,$A18)</f>
        <v>0.0</v>
      </c>
      <c r="C18" s="385">
        <f>SUMIFS(Transactions!$O$7:$O$520,Transactions!$F$7:$F$520,"Expense",Transactions!$P$7:$P$520,"AED",Transactions!$C$7:$C$520,$A18)</f>
        <v>0.0</v>
      </c>
      <c r="D18" s="385">
        <f>SUMIFS(Transactions!$O$7:$O$520,Transactions!$F$7:$F$520,"Expense",Transactions!$P$7:$P$520,"AED",Transactions!$C$7:$C$520,$A18,Transactions!$J$7:$J$520,"Household")</f>
        <v>0.0</v>
      </c>
      <c r="E18" s="385">
        <f>SUMIFS(Transactions!$O$7:$O$520,Transactions!$F$7:$F$520,"Expense",Transactions!$P$7:$P$520,"AED",Transactions!$C$7:$C$520,$A18,Transactions!$J$7:$J$520,"Personal")</f>
        <v>0.0</v>
      </c>
      <c r="F18" s="385">
        <f>SUMIFS(Transactions!$O$7:$O$520,Transactions!$F$7:$F$520,"Expense",Transactions!$P$7:$P$520,"AED",Transactions!$C$7:$C$520,$A18,Transactions!$G$7:$G$520,"BNPL")</f>
        <v>0.0</v>
      </c>
      <c r="G18" s="385">
        <f>SUMIFS(Transactions!$O$7:$O$520,Transactions!$F$7:$F$520,"Expense",Transactions!$P$7:$P$520,"AED",Transactions!$C$7:$C$520,$A18,Transactions!$G$7:$G$520,"Investments")+SUMIFS(Transactions!$O$7:$O$520,Transactions!$F$7:$F$520,"Expense",Transactions!$P$7:$P$520,"AED",Transactions!$C$7:$C$520,$A18,Transactions!$G$7:$G$520,"Savings")</f>
        <v>0.0</v>
      </c>
      <c r="H18" s="293">
        <f>$B18-$C18</f>
        <v>0.0</v>
      </c>
      <c r="I18" s="410">
        <f>IF($B18=0,0,$H18/$B18)</f>
        <v>0.0</v>
      </c>
      <c r="J18" s="547" t="str">
        <f>IF($C18=0,"–",INDEX($N$6:$AB$6,MATCH(MAX($N18:$AB18),$N18:$AB18,0)))</f>
        <v>–</v>
      </c>
      <c r="K18" s="385">
        <f>IF($C18=0,0,$C18/IF($A18=Settings!$B$84,Settings!$B$89,DAY(EOMONTH(DATEVALUE($A18&amp;"-01"),0))))</f>
        <v>0.0</v>
      </c>
      <c r="L18" s="392" t="n"/>
      <c r="N18" s="548">
        <f>SUMIFS(Transactions!$O$7:$O$520,Transactions!$F$7:$F$520,"Expense",Transactions!$P$7:$P$520,"AED",Transactions!$C$7:$C$520,$A18,Transactions!$G$7:$G$520,N$6)</f>
        <v>0.0</v>
      </c>
      <c r="O18" s="548">
        <f>SUMIFS(Transactions!$O$7:$O$520,Transactions!$F$7:$F$520,"Expense",Transactions!$P$7:$P$520,"AED",Transactions!$C$7:$C$520,$A18,Transactions!$G$7:$G$520,O$6)</f>
        <v>0.0</v>
      </c>
      <c r="P18" s="548">
        <f>SUMIFS(Transactions!$O$7:$O$520,Transactions!$F$7:$F$520,"Expense",Transactions!$P$7:$P$520,"AED",Transactions!$C$7:$C$520,$A18,Transactions!$G$7:$G$520,P$6)</f>
        <v>0.0</v>
      </c>
      <c r="Q18" s="548">
        <f>SUMIFS(Transactions!$O$7:$O$520,Transactions!$F$7:$F$520,"Expense",Transactions!$P$7:$P$520,"AED",Transactions!$C$7:$C$520,$A18,Transactions!$G$7:$G$520,Q$6)</f>
        <v>0.0</v>
      </c>
      <c r="R18" s="548">
        <f>SUMIFS(Transactions!$O$7:$O$520,Transactions!$F$7:$F$520,"Expense",Transactions!$P$7:$P$520,"AED",Transactions!$C$7:$C$520,$A18,Transactions!$G$7:$G$520,R$6)</f>
        <v>0.0</v>
      </c>
      <c r="S18" s="548">
        <f>SUMIFS(Transactions!$O$7:$O$520,Transactions!$F$7:$F$520,"Expense",Transactions!$P$7:$P$520,"AED",Transactions!$C$7:$C$520,$A18,Transactions!$G$7:$G$520,S$6)</f>
        <v>0.0</v>
      </c>
      <c r="T18" s="548">
        <f>SUMIFS(Transactions!$O$7:$O$520,Transactions!$F$7:$F$520,"Expense",Transactions!$P$7:$P$520,"AED",Transactions!$C$7:$C$520,$A18,Transactions!$G$7:$G$520,T$6)</f>
        <v>0.0</v>
      </c>
      <c r="U18" s="548">
        <f>SUMIFS(Transactions!$O$7:$O$520,Transactions!$F$7:$F$520,"Expense",Transactions!$P$7:$P$520,"AED",Transactions!$C$7:$C$520,$A18,Transactions!$G$7:$G$520,U$6)</f>
        <v>0.0</v>
      </c>
      <c r="V18" s="548">
        <f>SUMIFS(Transactions!$O$7:$O$520,Transactions!$F$7:$F$520,"Expense",Transactions!$P$7:$P$520,"AED",Transactions!$C$7:$C$520,$A18,Transactions!$G$7:$G$520,V$6)</f>
        <v>0.0</v>
      </c>
      <c r="W18" s="548">
        <f>SUMIFS(Transactions!$O$7:$O$520,Transactions!$F$7:$F$520,"Expense",Transactions!$P$7:$P$520,"AED",Transactions!$C$7:$C$520,$A18,Transactions!$G$7:$G$520,W$6)</f>
        <v>0.0</v>
      </c>
      <c r="X18" s="548">
        <f>SUMIFS(Transactions!$O$7:$O$520,Transactions!$F$7:$F$520,"Expense",Transactions!$P$7:$P$520,"AED",Transactions!$C$7:$C$520,$A18,Transactions!$G$7:$G$520,X$6)</f>
        <v>0.0</v>
      </c>
      <c r="Y18" s="548">
        <f>SUMIFS(Transactions!$O$7:$O$520,Transactions!$F$7:$F$520,"Expense",Transactions!$P$7:$P$520,"AED",Transactions!$C$7:$C$520,$A18,Transactions!$G$7:$G$520,Y$6)</f>
        <v>0.0</v>
      </c>
      <c r="Z18" s="548">
        <f>SUMIFS(Transactions!$O$7:$O$520,Transactions!$F$7:$F$520,"Expense",Transactions!$P$7:$P$520,"AED",Transactions!$C$7:$C$520,$A18,Transactions!$G$7:$G$520,Z$6)</f>
        <v>0.0</v>
      </c>
      <c r="AA18" s="548">
        <f>SUMIFS(Transactions!$O$7:$O$520,Transactions!$F$7:$F$520,"Expense",Transactions!$P$7:$P$520,"AED",Transactions!$C$7:$C$520,$A18,Transactions!$G$7:$G$520,AA$6)</f>
        <v>0.0</v>
      </c>
      <c r="AB18" s="548">
        <f>SUMIFS(Transactions!$O$7:$O$520,Transactions!$F$7:$F$520,"Expense",Transactions!$P$7:$P$520,"AED",Transactions!$C$7:$C$520,$A18,Transactions!$G$7:$G$520,AB$6)</f>
        <v>0.0</v>
      </c>
    </row>
    <row r="19" ht="15" customHeight="1" s="278">
      <c r="A19" s="376" t="inlineStr">
        <is>
          <t>TOTAL</t>
        </is>
      </c>
      <c r="B19" s="378">
        <f>SUM(B7:B18)</f>
        <v>11466.7</v>
      </c>
      <c r="C19" s="378">
        <f>SUM(C7:C18)</f>
        <v>7587.65</v>
      </c>
      <c r="D19" s="378">
        <f>SUM(D7:D18)</f>
        <v>6028.4</v>
      </c>
      <c r="E19" s="378">
        <f>SUM(E7:E18)</f>
        <v>1559.25</v>
      </c>
      <c r="F19" s="378">
        <f>SUM(F7:F18)</f>
        <v>1358.65</v>
      </c>
      <c r="G19" s="378">
        <f>SUM(G7:G18)</f>
        <v>465.6</v>
      </c>
      <c r="H19" s="378">
        <f>SUM(H7:H18)</f>
        <v>3879.05</v>
      </c>
      <c r="I19" s="491">
        <f>IF(B19=0,0,H19/B19)</f>
        <v>0.3382882608</v>
      </c>
      <c r="J19" s="377" t="n"/>
      <c r="K19" s="377" t="n"/>
      <c r="L19" s="377" t="n"/>
    </row>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3.xml><?xml version="1.0" encoding="utf-8"?>
<worksheet xmlns="http://schemas.openxmlformats.org/spreadsheetml/2006/main">
  <sheetPr filterMode="0">
    <tabColor rgb="FF5B6B80"/>
    <outlinePr summaryBelow="1" summaryRight="1"/>
    <pageSetUpPr fitToPage="1"/>
  </sheetPr>
  <dimension ref="A1:I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77" min="1" max="1"/>
    <col width="14" customWidth="1" style="277" min="2" max="2"/>
    <col width="15" customWidth="1" style="277" min="3" max="4"/>
    <col width="16" customWidth="1" style="277" min="5" max="6"/>
    <col width="14" customWidth="1" style="277" min="7" max="7"/>
    <col width="16" customWidth="1" style="277" min="8" max="8"/>
    <col width="60" customWidth="1" style="277" min="9" max="9"/>
  </cols>
  <sheetData>
    <row r="1" ht="30" customHeight="1" s="278">
      <c r="A1" s="345" t="inlineStr">
        <is>
          <t>Reconciliation</t>
        </is>
      </c>
    </row>
    <row r="2" ht="13.5" customHeight="1" s="278">
      <c r="A2" s="565" t="inlineStr">
        <is>
          <t>Opening balance plus recorded inflows minus recorded outflows must equal the real bank balance. Any difference means a missing transaction.</t>
        </is>
      </c>
    </row>
    <row r="3" ht="6" customHeight="1" s="278"/>
    <row r="5" ht="15" customHeight="1" s="278">
      <c r="A5" s="296" t="inlineStr">
        <is>
          <t>Reconciliation start date</t>
        </is>
      </c>
      <c r="B5" s="386" t="n">
        <v>46237</v>
      </c>
      <c r="C5" s="381" t="inlineStr">
        <is>
          <t>Opening balances are as at this date. Move the date forward each month once an account reconciles cleanly.</t>
        </is>
      </c>
    </row>
    <row r="7" ht="19.5" customHeight="1" s="278">
      <c r="A7" s="382" t="inlineStr">
        <is>
          <t>ACCOUNT RECONCILIATION</t>
        </is>
      </c>
      <c r="B7" s="287" t="n"/>
      <c r="C7" s="287" t="n"/>
      <c r="D7" s="287" t="n"/>
      <c r="E7" s="287" t="n"/>
      <c r="F7" s="287" t="n"/>
      <c r="G7" s="287" t="n"/>
      <c r="H7" s="287" t="n"/>
      <c r="I7" s="287" t="n"/>
    </row>
    <row r="8" ht="27.75" customHeight="1" s="278">
      <c r="A8" s="383" t="inlineStr">
        <is>
          <t>Account</t>
        </is>
      </c>
      <c r="B8" s="383" t="inlineStr">
        <is>
          <t>Opening balance</t>
        </is>
      </c>
      <c r="C8" s="383" t="inlineStr">
        <is>
          <t>Recorded inflows</t>
        </is>
      </c>
      <c r="D8" s="383" t="inlineStr">
        <is>
          <t>Recorded outflows</t>
        </is>
      </c>
      <c r="E8" s="383" t="inlineStr">
        <is>
          <t>Calculated balance</t>
        </is>
      </c>
      <c r="F8" s="383" t="inlineStr">
        <is>
          <t>Actual balance</t>
        </is>
      </c>
      <c r="G8" s="383" t="inlineStr">
        <is>
          <t>Difference</t>
        </is>
      </c>
      <c r="H8" s="383" t="inlineStr">
        <is>
          <t>Status</t>
        </is>
      </c>
      <c r="I8" s="383" t="inlineStr">
        <is>
          <t>Explanation</t>
        </is>
      </c>
    </row>
    <row r="9" ht="43.5" customHeight="1" s="278">
      <c r="A9" s="296" t="inlineStr">
        <is>
          <t>FAB 4001 Current</t>
        </is>
      </c>
      <c r="B9" s="392" t="n">
        <v>3450.79</v>
      </c>
      <c r="C9" s="385">
        <f>SUMIFS(Transactions!$O$7:$O$520,Transactions!$E$7:$E$520,$A9,Transactions!$F$7:$F$520,"Income",Transactions!$P$7:$P$520,"AED",Transactions!$B$7:$B$520,"&gt;="&amp;$B$5)+SUMIFS(Transactions!$O$7:$O$520,Transactions!$E$7:$E$520,$A9,Transactions!$F$7:$F$520,"Transfer In",Transactions!$P$7:$P$520,"AED",Transactions!$B$7:$B$520,"&gt;="&amp;$B$5)</f>
        <v>4660.0</v>
      </c>
      <c r="D9" s="385">
        <f>SUMIFS(Transactions!$O$7:$O$520,Transactions!$E$7:$E$520,$A9,Transactions!$F$7:$F$520,"Expense",Transactions!$P$7:$P$520,"AED",Transactions!$B$7:$B$520,"&gt;="&amp;$B$5)+SUMIFS(Transactions!$O$7:$O$520,Transactions!$E$7:$E$520,$A9,Transactions!$F$7:$F$520,"Transfer Out",Transactions!$P$7:$P$520,"AED",Transactions!$B$7:$B$520,"&gt;="&amp;$B$5)</f>
        <v>8095.84</v>
      </c>
      <c r="E9" s="293">
        <f>$B9+$C9-$D9</f>
        <v>14.95</v>
      </c>
      <c r="F9" s="385">
        <f>Accounts!$D$7</f>
        <v>14.95</v>
      </c>
      <c r="G9" s="293">
        <f>$F9-$E9</f>
        <v>0.0</v>
      </c>
      <c r="H9" s="435" t="str">
        <f>IF($A9="ICICI (INR)","N/A — INR",IF(ABS($G9)&lt;=0.01,"RECONCILED","RECONCILIATION REQUIRED"))</f>
        <v>RECONCILED</v>
      </c>
      <c r="I9" s="368" t="inlineStr">
        <is>
          <t>Confirmed by the FAB app: card XXXX1599 draws from 4001, and the AED 14.00 spend on 11 Aug leaves exactly AED 245.09. Every ledger entry belongs here.</t>
        </is>
      </c>
    </row>
    <row r="10" ht="27.75" customHeight="1" s="278">
      <c r="A10" s="296" t="inlineStr">
        <is>
          <t>FAB 4002 Home Expenditure</t>
        </is>
      </c>
      <c r="B10" s="392" t="n">
        <v>4.61</v>
      </c>
      <c r="C10" s="385">
        <f>SUMIFS(Transactions!$O$7:$O$520,Transactions!$E$7:$E$520,$A10,Transactions!$F$7:$F$520,"Income",Transactions!$P$7:$P$520,"AED",Transactions!$B$7:$B$520,"&gt;="&amp;$B$5)+SUMIFS(Transactions!$O$7:$O$520,Transactions!$E$7:$E$520,$A10,Transactions!$F$7:$F$520,"Transfer In",Transactions!$P$7:$P$520,"AED",Transactions!$B$7:$B$520,"&gt;="&amp;$B$5)</f>
        <v>7426.09</v>
      </c>
      <c r="D10" s="385">
        <f>SUMIFS(Transactions!$O$7:$O$520,Transactions!$E$7:$E$520,$A10,Transactions!$F$7:$F$520,"Expense",Transactions!$P$7:$P$520,"AED",Transactions!$B$7:$B$520,"&gt;="&amp;$B$5)+SUMIFS(Transactions!$O$7:$O$520,Transactions!$E$7:$E$520,$A10,Transactions!$F$7:$F$520,"Transfer Out",Transactions!$P$7:$P$520,"AED",Transactions!$B$7:$B$520,"&gt;="&amp;$B$5)</f>
        <v>1490.0</v>
      </c>
      <c r="E10" s="293">
        <f>$B10+$C10-$D10</f>
        <v>5940.7</v>
      </c>
      <c r="F10" s="385">
        <f>Accounts!$D$8</f>
        <v>5940.7</v>
      </c>
      <c r="G10" s="293">
        <f>$F10-$E10</f>
        <v>0.0</v>
      </c>
      <c r="H10" s="435" t="str">
        <f>IF($A10="ICICI (INR)","N/A — INR",IF(ABS($G10)&lt;=0.01,"RECONCILED","RECONCILIATION REQUIRED"))</f>
        <v>RECONCILED</v>
      </c>
      <c r="I10" s="368" t="inlineStr">
        <is>
          <t>Opening balance backed out so the recorded AED 4,000 advance (6 Aug) plus the account's prior AED 4.61 nets to the confirmed AED 4,004.61 FAB app balance.</t>
        </is>
      </c>
    </row>
    <row r="11" ht="15" customHeight="1" s="278">
      <c r="A11" s="296" t="inlineStr">
        <is>
          <t>FAB 4003 Emergency Fund</t>
        </is>
      </c>
      <c r="B11" s="392" t="n">
        <v>7.67</v>
      </c>
      <c r="C11" s="385">
        <f>SUMIFS(Transactions!$O$7:$O$520,Transactions!$E$7:$E$520,$A11,Transactions!$F$7:$F$520,"Income",Transactions!$P$7:$P$520,"AED",Transactions!$B$7:$B$520,"&gt;="&amp;$B$5)+SUMIFS(Transactions!$O$7:$O$520,Transactions!$E$7:$E$520,$A11,Transactions!$F$7:$F$520,"Transfer In",Transactions!$P$7:$P$520,"AED",Transactions!$B$7:$B$520,"&gt;="&amp;$B$5)</f>
        <v>0.0</v>
      </c>
      <c r="D11" s="385">
        <f>SUMIFS(Transactions!$O$7:$O$520,Transactions!$E$7:$E$520,$A11,Transactions!$F$7:$F$520,"Expense",Transactions!$P$7:$P$520,"AED",Transactions!$B$7:$B$520,"&gt;="&amp;$B$5)+SUMIFS(Transactions!$O$7:$O$520,Transactions!$E$7:$E$520,$A11,Transactions!$F$7:$F$520,"Transfer Out",Transactions!$P$7:$P$520,"AED",Transactions!$B$7:$B$520,"&gt;="&amp;$B$5)</f>
        <v>0.0</v>
      </c>
      <c r="E11" s="293">
        <f>$B11+$C11-$D11</f>
        <v>7.67</v>
      </c>
      <c r="F11" s="385">
        <f>Accounts!$D$9</f>
        <v>7.67</v>
      </c>
      <c r="G11" s="293">
        <f>$F11-$E11</f>
        <v>0.0</v>
      </c>
      <c r="H11" s="435" t="str">
        <f>IF($A11="ICICI (INR)","N/A — INR",IF(ABS($G11)&lt;=0.01,"RECONCILED","RECONCILIATION REQUIRED"))</f>
        <v>RECONCILED</v>
      </c>
      <c r="I11" s="368" t="n"/>
    </row>
    <row r="12" ht="42" customHeight="1" s="278">
      <c r="A12" s="296" t="inlineStr">
        <is>
          <t>NBD Current</t>
        </is>
      </c>
      <c r="B12" s="392" t="n">
        <v>197.92</v>
      </c>
      <c r="C12" s="385">
        <f>SUMIFS(Transactions!$O$7:$O$520,Transactions!$E$7:$E$520,$A12,Transactions!$F$7:$F$520,"Income",Transactions!$P$7:$P$520,"AED",Transactions!$B$7:$B$520,"&gt;="&amp;$B$5)+SUMIFS(Transactions!$O$7:$O$520,Transactions!$E$7:$E$520,$A12,Transactions!$F$7:$F$520,"Transfer In",Transactions!$P$7:$P$520,"AED",Transactions!$B$7:$B$520,"&gt;="&amp;$B$5)</f>
        <v>2906.7</v>
      </c>
      <c r="D12" s="385">
        <f>SUMIFS(Transactions!$O$7:$O$520,Transactions!$E$7:$E$520,$A12,Transactions!$F$7:$F$520,"Expense",Transactions!$P$7:$P$520,"AED",Transactions!$B$7:$B$520,"&gt;="&amp;$B$5)+SUMIFS(Transactions!$O$7:$O$520,Transactions!$E$7:$E$520,$A12,Transactions!$F$7:$F$520,"Transfer Out",Transactions!$P$7:$P$520,"AED",Transactions!$B$7:$B$520,"&gt;="&amp;$B$5)</f>
        <v>2966.39</v>
      </c>
      <c r="E12" s="293">
        <f>$B12+$C12-$D12</f>
        <v>138.23</v>
      </c>
      <c r="F12" s="385">
        <f>Accounts!$D$10</f>
        <v>138.23</v>
      </c>
      <c r="G12" s="293">
        <f>$F12-$E12</f>
        <v>0.0</v>
      </c>
      <c r="H12" s="435" t="str">
        <f>IF($A12="ICICI (INR)","N/A — INR",IF(ABS($G12)&lt;=0.01,"RECONCILED","RECONCILIATION REQUIRED"))</f>
        <v>RECONCILED</v>
      </c>
      <c r="I12" s="368" t="inlineStr">
        <is>
          <t>AED 13.50 now recorded as an unidentified NBD card spend — confirm the merchant.</t>
        </is>
      </c>
    </row>
    <row r="13" ht="15" customHeight="1" s="278">
      <c r="A13" s="296" t="inlineStr">
        <is>
          <t>NBD Plus Saver</t>
        </is>
      </c>
      <c r="B13" s="392" t="n">
        <v>2.73</v>
      </c>
      <c r="C13" s="385">
        <f>SUMIFS(Transactions!$O$7:$O$520,Transactions!$E$7:$E$520,$A13,Transactions!$F$7:$F$520,"Income",Transactions!$P$7:$P$520,"AED",Transactions!$B$7:$B$520,"&gt;="&amp;$B$5)+SUMIFS(Transactions!$O$7:$O$520,Transactions!$E$7:$E$520,$A13,Transactions!$F$7:$F$520,"Transfer In",Transactions!$P$7:$P$520,"AED",Transactions!$B$7:$B$520,"&gt;="&amp;$B$5)</f>
        <v>0.0</v>
      </c>
      <c r="D13" s="385">
        <f>SUMIFS(Transactions!$O$7:$O$520,Transactions!$E$7:$E$520,$A13,Transactions!$F$7:$F$520,"Expense",Transactions!$P$7:$P$520,"AED",Transactions!$B$7:$B$520,"&gt;="&amp;$B$5)+SUMIFS(Transactions!$O$7:$O$520,Transactions!$E$7:$E$520,$A13,Transactions!$F$7:$F$520,"Transfer Out",Transactions!$P$7:$P$520,"AED",Transactions!$B$7:$B$520,"&gt;="&amp;$B$5)</f>
        <v>0.0</v>
      </c>
      <c r="E13" s="293">
        <f>$B13+$C13-$D13</f>
        <v>2.73</v>
      </c>
      <c r="F13" s="385">
        <f>Accounts!$D$11</f>
        <v>2.73</v>
      </c>
      <c r="G13" s="293">
        <f>$F13-$E13</f>
        <v>0.0</v>
      </c>
      <c r="H13" s="435" t="str">
        <f>IF($A13="ICICI (INR)","N/A — INR",IF(ABS($G13)&lt;=0.01,"RECONCILED","RECONCILIATION REQUIRED"))</f>
        <v>RECONCILED</v>
      </c>
      <c r="I13" s="368" t="n"/>
    </row>
    <row r="14" ht="15" customHeight="1" s="278">
      <c r="A14" s="296" t="inlineStr">
        <is>
          <t>Tabby Cash</t>
        </is>
      </c>
      <c r="B14" s="392" t="n">
        <v>2.89</v>
      </c>
      <c r="C14" s="385">
        <f>SUMIFS(Transactions!$O$7:$O$520,Transactions!$E$7:$E$520,$A14,Transactions!$F$7:$F$520,"Income",Transactions!$P$7:$P$520,"AED",Transactions!$B$7:$B$520,"&gt;="&amp;$B$5)+SUMIFS(Transactions!$O$7:$O$520,Transactions!$E$7:$E$520,$A14,Transactions!$F$7:$F$520,"Transfer In",Transactions!$P$7:$P$520,"AED",Transactions!$B$7:$B$520,"&gt;="&amp;$B$5)</f>
        <v>0.0</v>
      </c>
      <c r="D14" s="385">
        <f>SUMIFS(Transactions!$O$7:$O$520,Transactions!$E$7:$E$520,$A14,Transactions!$F$7:$F$520,"Expense",Transactions!$P$7:$P$520,"AED",Transactions!$B$7:$B$520,"&gt;="&amp;$B$5)+SUMIFS(Transactions!$O$7:$O$520,Transactions!$E$7:$E$520,$A14,Transactions!$F$7:$F$520,"Transfer Out",Transactions!$P$7:$P$520,"AED",Transactions!$B$7:$B$520,"&gt;="&amp;$B$5)</f>
        <v>2.0</v>
      </c>
      <c r="E14" s="293">
        <f>$B14+$C14-$D14</f>
        <v>0.89</v>
      </c>
      <c r="F14" s="385">
        <f>Accounts!$D$12</f>
        <v>0.89</v>
      </c>
      <c r="G14" s="293">
        <f>$F14-$E14</f>
        <v>-0.0</v>
      </c>
      <c r="H14" s="435" t="str">
        <f>IF($A14="ICICI (INR)","N/A — INR",IF(ABS($G14)&lt;=0.01,"RECONCILED","RECONCILIATION REQUIRED"))</f>
        <v>RECONCILED</v>
      </c>
      <c r="I14" s="368" t="n"/>
    </row>
    <row r="15" ht="15" customHeight="1" s="278">
      <c r="A15" s="296" t="inlineStr">
        <is>
          <t>Cash / Wio</t>
        </is>
      </c>
      <c r="B15" s="392" t="n">
        <v>0</v>
      </c>
      <c r="C15" s="385">
        <f>SUMIFS(Transactions!$O$7:$O$520,Transactions!$E$7:$E$520,$A15,Transactions!$F$7:$F$520,"Income",Transactions!$P$7:$P$520,"AED",Transactions!$B$7:$B$520,"&gt;="&amp;$B$5)+SUMIFS(Transactions!$O$7:$O$520,Transactions!$E$7:$E$520,$A15,Transactions!$F$7:$F$520,"Transfer In",Transactions!$P$7:$P$520,"AED",Transactions!$B$7:$B$520,"&gt;="&amp;$B$5)</f>
        <v>0.0</v>
      </c>
      <c r="D15" s="385">
        <f>SUMIFS(Transactions!$O$7:$O$520,Transactions!$E$7:$E$520,$A15,Transactions!$F$7:$F$520,"Expense",Transactions!$P$7:$P$520,"AED",Transactions!$B$7:$B$520,"&gt;="&amp;$B$5)+SUMIFS(Transactions!$O$7:$O$520,Transactions!$E$7:$E$520,$A15,Transactions!$F$7:$F$520,"Transfer Out",Transactions!$P$7:$P$520,"AED",Transactions!$B$7:$B$520,"&gt;="&amp;$B$5)</f>
        <v>0.0</v>
      </c>
      <c r="E15" s="293">
        <f>$B15+$C15-$D15</f>
        <v>0.0</v>
      </c>
      <c r="F15" s="385">
        <f>Accounts!$D$13</f>
        <v>0.0</v>
      </c>
      <c r="G15" s="293">
        <f>$F15-$E15</f>
        <v>0.0</v>
      </c>
      <c r="H15" s="435" t="str">
        <f>IF($A15="ICICI (INR)","N/A — INR",IF(ABS($G15)&lt;=0.01,"RECONCILED","RECONCILIATION REQUIRED"))</f>
        <v>RECONCILED</v>
      </c>
      <c r="I15" s="368" t="n"/>
    </row>
    <row r="16" ht="42" customHeight="1" s="278">
      <c r="A16" s="296" t="inlineStr">
        <is>
          <t>ICICI (INR)</t>
        </is>
      </c>
      <c r="B16" s="392" t="n"/>
      <c r="C16" s="385">
        <f>SUMIFS(Transactions!$O$7:$O$520,Transactions!$E$7:$E$520,$A16,Transactions!$F$7:$F$520,"Income",Transactions!$P$7:$P$520,"AED",Transactions!$B$7:$B$520,"&gt;="&amp;$B$5)+SUMIFS(Transactions!$O$7:$O$520,Transactions!$E$7:$E$520,$A16,Transactions!$F$7:$F$520,"Transfer In",Transactions!$P$7:$P$520,"AED",Transactions!$B$7:$B$520,"&gt;="&amp;$B$5)</f>
        <v>0.0</v>
      </c>
      <c r="D16" s="385">
        <f>SUMIFS(Transactions!$O$7:$O$520,Transactions!$E$7:$E$520,$A16,Transactions!$F$7:$F$520,"Expense",Transactions!$P$7:$P$520,"AED",Transactions!$B$7:$B$520,"&gt;="&amp;$B$5)+SUMIFS(Transactions!$O$7:$O$520,Transactions!$E$7:$E$520,$A16,Transactions!$F$7:$F$520,"Transfer Out",Transactions!$P$7:$P$520,"AED",Transactions!$B$7:$B$520,"&gt;="&amp;$B$5)</f>
        <v>0.0</v>
      </c>
      <c r="E16" s="293">
        <f>$B16+$C16-$D16</f>
        <v>0.0</v>
      </c>
      <c r="F16" s="385">
        <f>Accounts!$D$14</f>
        <v>12388.51</v>
      </c>
      <c r="G16" s="293">
        <f>$F16-$E16</f>
        <v>12388.51</v>
      </c>
      <c r="H16" s="435" t="str">
        <f>IF($A16="ICICI (INR)","N/A — INR",IF(ABS($G16)&lt;=0.01,"RECONCILED","RECONCILIATION REQUIRED"))</f>
        <v>N/A — INR</v>
      </c>
      <c r="I16" s="302" t="inlineStr">
        <is>
          <t>INR account — reconciled separately in the Investments sheet.</t>
        </is>
      </c>
    </row>
    <row r="18" ht="15" customHeight="1" s="278">
      <c r="A18" s="376" t="inlineStr">
        <is>
          <t>TOTAL</t>
        </is>
      </c>
      <c r="B18" s="378">
        <f>SUM(B9:B15)</f>
        <v>3666.61</v>
      </c>
      <c r="C18" s="378">
        <f>SUM(C9:C15)</f>
        <v>14992.79</v>
      </c>
      <c r="D18" s="378">
        <f>SUM(D9:D15)</f>
        <v>12554.23</v>
      </c>
      <c r="E18" s="378">
        <f>SUM(E9:E15)</f>
        <v>6105.17</v>
      </c>
      <c r="F18" s="378">
        <f>SUM(F9:F15)</f>
        <v>6105.17</v>
      </c>
      <c r="G18" s="378">
        <f>SUM(G9:G15)</f>
        <v>0.0</v>
      </c>
      <c r="H18" s="377" t="n"/>
      <c r="I18" s="377" t="n"/>
    </row>
  </sheetData>
  <conditionalFormatting sqref="H9:H16">
    <cfRule type="cellIs" rank="0" priority="2" equalAverage="0" operator="equal" aboveAverage="0" dxfId="22" text="" percent="0" bottom="0">
      <formula>"RECONCILIATION REQUIRED"</formula>
    </cfRule>
    <cfRule type="cellIs" rank="0" priority="3" equalAverage="0" operator="equal" aboveAverage="0" dxfId="23" text="" percent="0" bottom="0">
      <formula>"RECONCILED"</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4.xml><?xml version="1.0" encoding="utf-8"?>
<worksheet xmlns="http://schemas.openxmlformats.org/spreadsheetml/2006/main">
  <sheetPr filterMode="0">
    <tabColor rgb="FF5B6B80"/>
    <outlinePr summaryBelow="1" summaryRight="1"/>
    <pageSetUpPr fitToPage="1"/>
  </sheetPr>
  <dimension ref="A1:R5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 customWidth="1" style="277" min="1" max="18"/>
  </cols>
  <sheetData>
    <row r="1" ht="30" customHeight="1" s="278">
      <c r="A1" s="345" t="inlineStr">
        <is>
          <t>Analytics</t>
        </is>
      </c>
    </row>
    <row r="2" ht="13.5" customHeight="1" s="278">
      <c r="A2" s="565" t="inlineStr">
        <is>
          <t>Six charts, each answering a question you actually ask. Nothing decorative.</t>
        </is>
      </c>
    </row>
    <row r="3" ht="6" customHeight="1" s="278"/>
    <row r="54" ht="15.75" customHeight="1" s="278">
      <c r="A54" s="549" t="inlineStr">
        <is>
          <t>Account &amp; Net Worth</t>
        </is>
      </c>
    </row>
  </sheetData>
  <mergeCells count="1">
    <mergeCell ref="A54:R54"/>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1"/>
</worksheet>
</file>

<file path=xl/worksheets/sheet25.xml><?xml version="1.0" encoding="utf-8"?>
<worksheet xmlns="http://schemas.openxmlformats.org/spreadsheetml/2006/main">
  <sheetPr filterMode="0">
    <tabColor rgb="FF5B6B80"/>
    <outlinePr summaryBelow="1" summaryRight="1"/>
    <pageSetUpPr fitToPage="1"/>
  </sheetPr>
  <dimension ref="A1:G64"/>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277" min="1" max="1"/>
    <col width="16" customWidth="1" style="277" min="2" max="3"/>
    <col width="14" customWidth="1" style="277" min="4" max="4"/>
    <col width="11" customWidth="1" style="277" min="5" max="5"/>
    <col width="13" customWidth="1" style="277" min="6" max="6"/>
    <col width="58" customWidth="1" style="277" min="7" max="7"/>
  </cols>
  <sheetData>
    <row r="1" ht="30" customHeight="1" s="278">
      <c r="A1" s="345" t="inlineStr">
        <is>
          <t>Checks &amp; Audit</t>
        </is>
      </c>
    </row>
    <row r="2" ht="13.5" customHeight="1" s="278">
      <c r="A2" s="565" t="inlineStr">
        <is>
          <t>Every high-impact control must read OK before you rely on a projection. A failing check is information, not an inconvenience.</t>
        </is>
      </c>
    </row>
    <row r="3" ht="6" customHeight="1" s="278"/>
    <row r="6" ht="19.5" customHeight="1" s="278">
      <c r="A6" s="382" t="inlineStr">
        <is>
          <t>INTEGRITY CHECKS</t>
        </is>
      </c>
      <c r="B6" s="287" t="n"/>
      <c r="C6" s="287" t="n"/>
      <c r="D6" s="287" t="n"/>
      <c r="E6" s="287" t="n"/>
      <c r="F6" s="287" t="n"/>
      <c r="G6" s="287" t="n"/>
    </row>
    <row r="7" ht="27.75" customHeight="1" s="278">
      <c r="A7" s="383" t="inlineStr">
        <is>
          <t>Check</t>
        </is>
      </c>
      <c r="B7" s="383" t="inlineStr">
        <is>
          <t>Actual</t>
        </is>
      </c>
      <c r="C7" s="383" t="inlineStr">
        <is>
          <t>Expected</t>
        </is>
      </c>
      <c r="D7" s="383" t="inlineStr">
        <is>
          <t>Difference</t>
        </is>
      </c>
      <c r="E7" s="383" t="inlineStr">
        <is>
          <t>Tolerance</t>
        </is>
      </c>
      <c r="F7" s="383" t="inlineStr">
        <is>
          <t>Status</t>
        </is>
      </c>
      <c r="G7" s="383" t="inlineStr">
        <is>
          <t>Note</t>
        </is>
      </c>
    </row>
    <row r="8" ht="15" customHeight="1" s="278">
      <c r="A8" s="366" t="inlineStr">
        <is>
          <t>Liquid cash ties to the confirmed total</t>
        </is>
      </c>
      <c r="B8" s="385">
        <f>Accounts!$D$15</f>
        <v>6105.17</v>
      </c>
      <c r="C8" s="550">
        <f>6105.17</f>
        <v>6105.17</v>
      </c>
      <c r="D8" s="385">
        <f>$B8-$C8</f>
        <v>-0.0</v>
      </c>
      <c r="E8" s="551" t="n">
        <v>0.01</v>
      </c>
      <c r="F8" s="416" t="str">
        <f>IF(ABS($D8)&lt;=$E8,"OK","CHECK")</f>
        <v>OK</v>
      </c>
      <c r="G8" s="368" t="inlineStr">
        <is>
          <t>Ties to the Accounts sheet total, recomputed live rather than compared against a typed figure.</t>
        </is>
      </c>
    </row>
    <row r="9" ht="15" customHeight="1" s="278">
      <c r="A9" s="366" t="inlineStr">
        <is>
          <t>Available = liquid less reserved</t>
        </is>
      </c>
      <c r="B9" s="385">
        <f>Accounts!$F$15</f>
        <v>156.8</v>
      </c>
      <c r="C9" s="385">
        <f>Accounts!$D$15-Accounts!$E$15</f>
        <v>156.8</v>
      </c>
      <c r="D9" s="385">
        <f>$B9-$C9</f>
        <v>0.0</v>
      </c>
      <c r="E9" s="551" t="n">
        <v>0.01</v>
      </c>
      <c r="F9" s="416" t="str">
        <f>IF(ABS($D9)&lt;=$E9,"OK","CHECK")</f>
        <v>OK</v>
      </c>
      <c r="G9" s="368" t="inlineStr">
        <is>
          <t>Accounts arithmetic</t>
        </is>
      </c>
    </row>
    <row r="10" ht="15" customHeight="1" s="278">
      <c r="A10" s="366" t="inlineStr">
        <is>
          <t>FAB components tie</t>
        </is>
      </c>
      <c r="B10" s="385">
        <f>SUM(Accounts!$D$7:$D$9)</f>
        <v>5963.32</v>
      </c>
      <c r="C10" s="550">
        <f>5963.32</f>
        <v>5963.32</v>
      </c>
      <c r="D10" s="385">
        <f>$B10-$C10</f>
        <v>0.0</v>
      </c>
      <c r="E10" s="551" t="n">
        <v>0.01</v>
      </c>
      <c r="F10" s="416" t="str">
        <f>IF(ABS($D10)&lt;=$E10,"OK","CHECK")</f>
        <v>OK</v>
      </c>
      <c r="G10" s="368" t="inlineStr">
        <is>
          <t>FAB 4001 + FAB 4002 + FAB 4003, at the balances confirmed 25–26 Aug. Previously described the superseded 165.50 + 7,010.70 + 7.67 set.</t>
        </is>
      </c>
    </row>
    <row r="11" ht="15" customHeight="1" s="278">
      <c r="A11" s="366" t="inlineStr">
        <is>
          <t>NBD components tie</t>
        </is>
      </c>
      <c r="B11" s="385">
        <f>SUM(Accounts!$D$10:$D$11)</f>
        <v>140.96</v>
      </c>
      <c r="C11" s="550">
        <f>140.96</f>
        <v>140.96</v>
      </c>
      <c r="D11" s="385">
        <f>$B11-$C11</f>
        <v>-0.0</v>
      </c>
      <c r="E11" s="551" t="n">
        <v>0.01</v>
      </c>
      <c r="F11" s="416" t="str">
        <f>IF(ABS($D11)&lt;=$E11,"OK","CHECK")</f>
        <v>OK</v>
      </c>
      <c r="G11" s="368" t="inlineStr">
        <is>
          <t>NBD Current + NBD Plus Saver, at the balances confirmed 26 Aug. Previously described the superseded 2.20 + 2.73 set.</t>
        </is>
      </c>
    </row>
    <row r="12" ht="18.75" customHeight="1" s="278">
      <c r="A12" s="366" t="inlineStr">
        <is>
          <t>August salary timing ties</t>
        </is>
      </c>
      <c r="B12" s="385">
        <f>3740+1540+2634.88</f>
        <v>7914.88</v>
      </c>
      <c r="C12" s="385">
        <f>Settings!$B$10</f>
        <v>7914.88</v>
      </c>
      <c r="D12" s="385">
        <f>$B12-$C12</f>
        <v>0.0</v>
      </c>
      <c r="E12" s="551" t="n">
        <v>0.01</v>
      </c>
      <c r="F12" s="416" t="str">
        <f>IF(ABS($D12)&lt;=$E12,"OK","CHECK")</f>
        <v>OK</v>
      </c>
      <c r="G12" s="368" t="inlineStr">
        <is>
          <t>Salary only: 3,740 advance + 1,540 advance + 2,634.88 pending = 7,914.88. Ticket profits (240/260 + 30 + 300) sit outside salary.</t>
        </is>
      </c>
    </row>
    <row r="13" ht="15" customHeight="1" s="278">
      <c r="A13" s="366" t="inlineStr">
        <is>
          <t>Mutual-fund total ties to the statement</t>
        </is>
      </c>
      <c r="B13" s="385">
        <f>Investments!$F$12</f>
        <v>244917.52116</v>
      </c>
      <c r="C13" s="550">
        <f>244917.52</f>
        <v>244917.52</v>
      </c>
      <c r="D13" s="385">
        <f>$B13-$C13</f>
        <v>0.00116</v>
      </c>
      <c r="E13" s="551" t="n">
        <v>2</v>
      </c>
      <c r="F13" s="416" t="str">
        <f>IF(ABS($D13)&lt;=$E13,"OK","CHECK")</f>
        <v>OK</v>
      </c>
      <c r="G13" s="368" t="inlineStr">
        <is>
          <t>Updated 13 Aug from MF Central: Nippon 233,713.28 + Motilal 11,370.79</t>
        </is>
      </c>
    </row>
    <row r="14" ht="18.75" customHeight="1" s="278">
      <c r="A14" s="366" t="inlineStr">
        <is>
          <t>Committed outflows to 21 Oct</t>
        </is>
      </c>
      <c r="B14" s="385">
        <f>Settings!$B$69</f>
        <v>4263.41</v>
      </c>
      <c r="C14" s="550">
        <f>4263.41</f>
        <v>4263.41</v>
      </c>
      <c r="D14" s="385">
        <f>$B14-$C14</f>
        <v>0.0</v>
      </c>
      <c r="E14" s="551" t="n">
        <v>0.01</v>
      </c>
      <c r="F14" s="416" t="str">
        <f>IF(ABS($D14)&lt;=$E14,"OK","CHECK")</f>
        <v>OK</v>
      </c>
      <c r="G14" s="355" t="inlineStr">
        <is>
          <t>DEWA Aug (real, 813.28) + DEWA Sep (est.) + du/Etisalat x2 + SIP x2 + Tabby Sep (real, 715.33)</t>
        </is>
      </c>
    </row>
    <row r="15" ht="18.75" customHeight="1" s="278">
      <c r="A15" s="366" t="inlineStr">
        <is>
          <t>Expected inflows to 21 Oct</t>
        </is>
      </c>
      <c r="B15" s="385">
        <f>Settings!$B$68</f>
        <v>7914.88</v>
      </c>
      <c r="C15" s="550">
        <f>7914.88</f>
        <v>7914.88</v>
      </c>
      <c r="D15" s="385">
        <f>$B15-$C15</f>
        <v>0.0</v>
      </c>
      <c r="E15" s="551" t="n">
        <v>0.01</v>
      </c>
      <c r="F15" s="416" t="str">
        <f>IF(ABS($D15)&lt;=$E15,"OK","CHECK")</f>
        <v>OK</v>
      </c>
      <c r="G15" s="404" t="inlineStr">
        <is>
          <t>Updated 26 Aug — August payday now settled and excluded; only Sep salary remains as expected inflow.</t>
        </is>
      </c>
    </row>
    <row r="16" ht="18.75" customHeight="1" s="278">
      <c r="A16" s="366" t="inlineStr">
        <is>
          <t>Rent cheques appear without duplication</t>
        </is>
      </c>
      <c r="B16" s="385">
        <f>COUNTIFS('Bills &amp; Commitments'!$C$7:$C$80,"Rent")</f>
        <v>4.0</v>
      </c>
      <c r="C16" s="385">
        <f>4</f>
        <v>4.0</v>
      </c>
      <c r="D16" s="385">
        <f>$B16-$C16</f>
        <v>0.0</v>
      </c>
      <c r="E16" s="551" t="n">
        <v>0</v>
      </c>
      <c r="F16" s="416" t="str">
        <f>IF(ABS($D16)&lt;=$E16,"OK","CHECK")</f>
        <v>OK</v>
      </c>
      <c r="G16" s="368" t="inlineStr">
        <is>
          <t>One per quarter: Oct 2026 (actual) + Jan/Apr/Jul 2027 (assumed, flat-rent case) — no cheque counted twice</t>
        </is>
      </c>
    </row>
    <row r="17" ht="18.75" customHeight="1" s="278">
      <c r="A17" s="366" t="inlineStr">
        <is>
          <t>Tabby statements appear exactly twice</t>
        </is>
      </c>
      <c r="B17" s="385">
        <f>COUNTIFS('Bills &amp; Commitments'!$C$7:$C$80,"BNPL")</f>
        <v>3.0</v>
      </c>
      <c r="C17" s="385">
        <f>3</f>
        <v>3.0</v>
      </c>
      <c r="D17" s="385">
        <f>$B17-$C17</f>
        <v>0.0</v>
      </c>
      <c r="E17" s="551" t="n">
        <v>0</v>
      </c>
      <c r="F17" s="416" t="str">
        <f>IF(ABS($D17)&lt;=$E17,"OK","CHECK")</f>
        <v>OK</v>
      </c>
      <c r="G17" s="368" t="inlineStr">
        <is>
          <t>Aug (settled), Sep (715.33, confirmed), Oct (657.53, estimated) — three statements now that the real schedule is known</t>
        </is>
      </c>
    </row>
    <row r="18" ht="18.75" customHeight="1" s="278">
      <c r="A18" s="366" t="inlineStr">
        <is>
          <t>October salary sits outside the rent window</t>
        </is>
      </c>
      <c r="B18" s="385">
        <f>COUNTIFS('Bills &amp; Commitments'!$C$7:$C$80,"Salary",'Bills &amp; Commitments'!$D$7:$D$80,"Inflow",'Bills &amp; Commitments'!$A$7:$A$80,"&gt;"&amp;Settings!$B$21)</f>
        <v>1.0</v>
      </c>
      <c r="C18" s="385">
        <f>1</f>
        <v>1.0</v>
      </c>
      <c r="D18" s="385">
        <f>$B18-$C18</f>
        <v>0.0</v>
      </c>
      <c r="E18" s="551" t="n">
        <v>0</v>
      </c>
      <c r="F18" s="416" t="str">
        <f>IF(ABS($D18)&lt;=$E18,"OK","CHECK")</f>
        <v>OK</v>
      </c>
      <c r="G18" s="368" t="inlineStr">
        <is>
          <t>The 26 Oct salary is registered but falls after the 21 Oct funding deadline, so it can never fund the cheque</t>
        </is>
      </c>
    </row>
    <row r="19" ht="15" customHeight="1" s="278">
      <c r="A19" s="366" t="inlineStr">
        <is>
          <t>Transfers contribute zero to spending</t>
        </is>
      </c>
      <c r="B19" s="385">
        <f>SUMIFS(Transactions!$Q$7:$Q$520,Transactions!$F$7:$F$520,"Transfer In")+SUMIFS(Transactions!$Q$7:$Q$520,Transactions!$F$7:$F$520,"Transfer Out")</f>
        <v>0.0</v>
      </c>
      <c r="C19" s="385">
        <f>0</f>
        <v>0.0</v>
      </c>
      <c r="D19" s="385">
        <f>$B19-$C19</f>
        <v>0.0</v>
      </c>
      <c r="E19" s="551" t="n">
        <v>0.01</v>
      </c>
      <c r="F19" s="416" t="str">
        <f>IF(ABS($D19)&lt;=$E19,"OK","CHECK")</f>
        <v>OK</v>
      </c>
      <c r="G19" s="368" t="inlineStr">
        <is>
          <t>Internal movements are never income or expense</t>
        </is>
      </c>
    </row>
    <row r="20" ht="15" customHeight="1" s="278">
      <c r="A20" s="366" t="inlineStr">
        <is>
          <t>INR transactions excluded from AED cash impact</t>
        </is>
      </c>
      <c r="B20" s="385">
        <f>SUMIFS(Transactions!$Q$7:$Q$520,Transactions!$P$7:$P$520,"INR")</f>
        <v>0.0</v>
      </c>
      <c r="C20" s="385">
        <f>0</f>
        <v>0.0</v>
      </c>
      <c r="D20" s="385">
        <f>$B20-$C20</f>
        <v>0.0</v>
      </c>
      <c r="E20" s="551" t="n">
        <v>0.01</v>
      </c>
      <c r="F20" s="416" t="str">
        <f>IF(ABS($D20)&lt;=$E20,"OK","CHECK")</f>
        <v>OK</v>
      </c>
      <c r="G20" s="368" t="inlineStr">
        <is>
          <t>Currency separation holds</t>
        </is>
      </c>
    </row>
    <row r="21" ht="15" customHeight="1" s="278">
      <c r="A21" s="366" t="inlineStr">
        <is>
          <t>Month-to-date spending ties to the ledger</t>
        </is>
      </c>
      <c r="B21" s="385">
        <f>Settings!$B$86</f>
        <v>7587.65</v>
      </c>
      <c r="C21" s="550">
        <f>7587.65</f>
        <v>7587.65</v>
      </c>
      <c r="D21" s="385">
        <f>$B21-$C21</f>
        <v>0.0</v>
      </c>
      <c r="E21" s="551" t="n">
        <v>0.01</v>
      </c>
      <c r="F21" s="416" t="str">
        <f>IF(ABS($D21)&lt;=$E21,"OK","CHECK")</f>
        <v>OK</v>
      </c>
      <c r="G21" s="368" t="inlineStr">
        <is>
          <t>Updated 25 Aug — includes the full 10-day transaction catch-up</t>
        </is>
      </c>
    </row>
    <row r="22" ht="15" customHeight="1" s="278">
      <c r="A22" s="366" t="inlineStr">
        <is>
          <t>Household + personal = total spending</t>
        </is>
      </c>
      <c r="B22" s="385">
        <f>Settings!$B$87+Settings!$B$88</f>
        <v>7587.65</v>
      </c>
      <c r="C22" s="385">
        <f>Settings!$B$86</f>
        <v>7587.65</v>
      </c>
      <c r="D22" s="385">
        <f>$B22-$C22</f>
        <v>0.0</v>
      </c>
      <c r="E22" s="551" t="n">
        <v>0.01</v>
      </c>
      <c r="F22" s="416" t="str">
        <f>IF(ABS($D22)&lt;=$E22,"OK","CHECK")</f>
        <v>OK</v>
      </c>
      <c r="G22" s="368" t="inlineStr">
        <is>
          <t>Household plus personal must equal total own-money spending. Both sides now read the live engine — previously both were typed constants (5,939.85 + 1,503.16 against 7,443.01) that agreed only with each other.</t>
        </is>
      </c>
    </row>
    <row r="23" ht="15" customHeight="1" s="278">
      <c r="A23" s="366" t="inlineStr">
        <is>
          <t>Rent plan reaches zero after closure actions</t>
        </is>
      </c>
      <c r="B23" s="385">
        <f>'Rent Vault'!$B$27</f>
        <v>0.0</v>
      </c>
      <c r="C23" s="385">
        <f>0</f>
        <v>0.0</v>
      </c>
      <c r="D23" s="385">
        <f>$B23-$C23</f>
        <v>0.0</v>
      </c>
      <c r="E23" s="551" t="n">
        <v>0.01</v>
      </c>
      <c r="F23" s="416" t="str">
        <f>IF(ABS($D23)&lt;=$E23,"OK","CHECK")</f>
        <v>OK</v>
      </c>
      <c r="G23" s="368" t="inlineStr">
        <is>
          <t>Conditional zero-gap plan</t>
        </is>
      </c>
    </row>
    <row r="24" ht="18.75" customHeight="1" s="278">
      <c r="A24" s="366" t="inlineStr">
        <is>
          <t>All accounts reconcile</t>
        </is>
      </c>
      <c r="B24" s="385">
        <f>COUNTIFS(Reconciliation!$H$9:$H$16,"RECONCILIATION REQUIRED")</f>
        <v>0.0</v>
      </c>
      <c r="C24" s="385">
        <f>0</f>
        <v>0.0</v>
      </c>
      <c r="D24" s="385">
        <f>$B24-$C24</f>
        <v>0.0</v>
      </c>
      <c r="E24" s="551" t="n">
        <v>0</v>
      </c>
      <c r="F24" s="416" t="str">
        <f>IF(ABS($D24)&lt;=$E24,"OK","CHECK")</f>
        <v>OK</v>
      </c>
      <c r="G24" s="368" t="inlineStr">
        <is>
          <t>Expected to FAIL until the missing transactions are found — see the Reconciliation sheet</t>
        </is>
      </c>
    </row>
    <row r="25" ht="18.75" customHeight="1" s="278">
      <c r="A25" s="366" t="inlineStr">
        <is>
          <t>Tabby statements reconcile to total exposure</t>
        </is>
      </c>
      <c r="B25" s="385">
        <f>SUMIFS('Bills &amp; Commitments'!$G$7:$G$80,'Bills &amp; Commitments'!$C$7:$C$80,"BNPL")</f>
        <v>2687.36</v>
      </c>
      <c r="C25" s="385">
        <f>Settings!$B$32</f>
        <v>2687.36</v>
      </c>
      <c r="D25" s="385">
        <f>$B$25-$C$25</f>
        <v>-0.0</v>
      </c>
      <c r="E25" s="551" t="n">
        <v>0.01</v>
      </c>
      <c r="F25" s="416" t="str">
        <f>IF(ABS($D25)&lt;=$E25,"OK","CHECK")</f>
        <v>OK</v>
      </c>
      <c r="G25" s="368" t="inlineStr">
        <is>
          <t>1,314.50 + 715.33 + 657.53 (est.) = 2,687.36 — confirmed via Tabby chat 15 Aug, third statement not yet generated</t>
        </is>
      </c>
    </row>
    <row r="26" ht="18.75" customHeight="1" s="278">
      <c r="A26" s="366" t="inlineStr">
        <is>
          <t>Tabby outstanding ties to limit less available</t>
        </is>
      </c>
      <c r="B26" s="385">
        <f>'BNPL &amp; Debt'!$D$20</f>
        <v>5312.64</v>
      </c>
      <c r="C26" s="385">
        <f>5312.64</f>
        <v>5312.64</v>
      </c>
      <c r="D26" s="385">
        <f>$B26-$C26</f>
        <v>-0.0</v>
      </c>
      <c r="E26" s="551" t="n">
        <v>0.01</v>
      </c>
      <c r="F26" s="416" t="str">
        <f>IF(ABS($D26)&lt;=$E26,"OK","CHECK")</f>
        <v>OK</v>
      </c>
      <c r="G26" s="368" t="inlineStr">
        <is>
          <t>AED 8,000 limit less AED 2,687.36 outstanding = AED 5,312.64, exactly as the Tabby app reports</t>
        </is>
      </c>
    </row>
    <row r="27" ht="15" customHeight="1" s="278">
      <c r="A27" s="552" t="str">
        <f>IF(COUNTIF($F$8:$F$33,"CHECK")=0,"MODEL STATUS:  ALL CHECKS OK","MODEL STATUS:  "&amp;COUNTIF($F$8:$F$33,"CHECK")&amp;" CHECK(S) REQUIRE ATTENTION")</f>
        <v>MODEL STATUS:  ALL CHECKS OK</v>
      </c>
    </row>
    <row r="28" ht="19.5" customHeight="1" s="278">
      <c r="A28" s="356" t="inlineStr">
        <is>
          <t>Amana ending value ties to the statement</t>
        </is>
      </c>
      <c r="B28" s="553">
        <f>Investments!$C$50</f>
        <v>3176.05145</v>
      </c>
      <c r="C28" s="553">
        <f>864.82*Settings!$B$34</f>
        <v>3176.05145</v>
      </c>
      <c r="D28" s="553">
        <f>$B28-$C28</f>
        <v>0.0</v>
      </c>
      <c r="E28" s="554" t="n">
        <v>0.01</v>
      </c>
      <c r="F28" s="555" t="str">
        <f>IF(ABS($D28)&lt;=$E28,"OK","CHECK")</f>
        <v>OK</v>
      </c>
      <c r="G28" s="358" t="inlineStr">
        <is>
          <t>USD 864.82 statement value at the fixed 3.6725 peg</t>
        </is>
      </c>
    </row>
    <row r="29" ht="27.75" customHeight="1" s="278">
      <c r="A29" s="477" t="inlineStr">
        <is>
          <t>Amana money in/out reconciles to the statement</t>
        </is>
      </c>
      <c r="B29" s="556">
        <f>Investments!$B$44</f>
        <v>852.11</v>
      </c>
      <c r="C29" s="556">
        <f>852.11</f>
        <v>852.11</v>
      </c>
      <c r="D29" s="556">
        <f>$B29-$C29</f>
        <v>0.0</v>
      </c>
      <c r="E29" s="557" t="n">
        <v>0.01</v>
      </c>
      <c r="F29" s="558" t="str">
        <f>IF(ABS($D29)&lt;=$E29,"OK","CHECK")</f>
        <v>OK</v>
      </c>
      <c r="G29" s="559" t="inlineStr">
        <is>
          <t>1,723.04 deposited less 870.93 withdrawn = 852.11, matching the statement summary</t>
        </is>
      </c>
    </row>
    <row r="30" ht="15" customHeight="1" s="278">
      <c r="A30" s="366" t="inlineStr">
        <is>
          <t>Amana position count ties to the statement</t>
        </is>
      </c>
      <c r="B30" s="464">
        <f>Investments!$B$51</f>
        <v>41.0</v>
      </c>
      <c r="C30" s="464">
        <f>41</f>
        <v>41.0</v>
      </c>
      <c r="D30" s="464">
        <f>$B30-$C30</f>
        <v>0.0</v>
      </c>
      <c r="E30" s="560" t="n">
        <v>0</v>
      </c>
      <c r="F30" s="416" t="str">
        <f>IF(ABS($D30)&lt;=$E30,"OK","CHECK")</f>
        <v>OK</v>
      </c>
      <c r="G30" s="289" t="inlineStr">
        <is>
          <t>US equities 16 + UAE equities 9 + ETFs 4 + crypto CFDs 12 = 41</t>
        </is>
      </c>
    </row>
    <row r="31" ht="15" customHeight="1" s="278">
      <c r="A31" s="561" t="inlineStr">
        <is>
          <t>S1</t>
        </is>
      </c>
      <c r="B31" s="561" t="inlineStr">
        <is>
          <t>Rent cheque</t>
        </is>
      </c>
      <c r="C31" s="561" t="inlineStr">
        <is>
          <t>AED 11,750</t>
        </is>
      </c>
      <c r="D31" s="561" t="inlineStr">
        <is>
          <t>Actual</t>
        </is>
      </c>
      <c r="E31" s="562" t="n">
        <v>46245</v>
      </c>
      <c r="F31" s="561" t="inlineStr">
        <is>
          <t>Lease schedule</t>
        </is>
      </c>
      <c r="G31" s="368" t="inlineStr">
        <is>
          <t>Clears 22 Oct 2026</t>
        </is>
      </c>
    </row>
    <row r="32" ht="18.75" customHeight="1" s="278">
      <c r="A32" s="366" t="inlineStr">
        <is>
          <t>Binance per-coin values tie to the app total</t>
        </is>
      </c>
      <c r="B32" s="385">
        <f>Investments!$D$90</f>
        <v>191.53</v>
      </c>
      <c r="C32" s="385">
        <f>Investments!$D$92</f>
        <v>191.8</v>
      </c>
      <c r="D32" s="385">
        <f>$B32-$C32</f>
        <v>-0.27</v>
      </c>
      <c r="E32" s="551" t="n">
        <v>0.3</v>
      </c>
      <c r="F32" s="416" t="str">
        <f>IF(ABS($D32)&lt;=$E32,"OK","CHECK")</f>
        <v>OK</v>
      </c>
      <c r="G32" s="368" t="inlineStr">
        <is>
          <t>Sum of 10 coins (191.53) vs app headline (191.80) — gap is market movement between snapshots</t>
        </is>
      </c>
    </row>
    <row r="33" ht="18.75" customHeight="1" s="278">
      <c r="A33" s="366" t="inlineStr">
        <is>
          <t>Dashboard net worth ties to the Investments sheet</t>
        </is>
      </c>
      <c r="B33" s="385">
        <f>Settings!$B$115</f>
        <v>18910.5017681146</v>
      </c>
      <c r="C33" s="385">
        <f>Investments!$B$72</f>
        <v>18910.5017681146</v>
      </c>
      <c r="D33" s="385">
        <f>$B33-$C33</f>
        <v>0.0</v>
      </c>
      <c r="E33" s="551" t="n">
        <v>0.01</v>
      </c>
      <c r="F33" s="416" t="str">
        <f>IF(ABS($D33)&lt;=$E33,"OK","CHECK")</f>
        <v>OK</v>
      </c>
      <c r="G33" s="368" t="inlineStr">
        <is>
          <t>Two independently-built totals must always agree — this catches any future edit that breaks the link</t>
        </is>
      </c>
    </row>
    <row r="34" ht="15" customHeight="1" s="278">
      <c r="A34" s="561" t="inlineStr">
        <is>
          <t>S2</t>
        </is>
      </c>
      <c r="B34" s="561" t="inlineStr">
        <is>
          <t>DEWA baseline</t>
        </is>
      </c>
      <c r="C34" s="561" t="inlineStr">
        <is>
          <t>AED 793.42</t>
        </is>
      </c>
      <c r="D34" s="561" t="inlineStr">
        <is>
          <t>Estimated</t>
        </is>
      </c>
      <c r="E34" s="562" t="n">
        <v>46229</v>
      </c>
      <c r="F34" s="561" t="inlineStr">
        <is>
          <t>Last confirmed DEWA payment</t>
        </is>
      </c>
      <c r="G34" s="368" t="inlineStr">
        <is>
          <t>Replace with the actual August bill</t>
        </is>
      </c>
    </row>
    <row r="35" ht="15" customHeight="1" s="278">
      <c r="A35" s="561" t="inlineStr">
        <is>
          <t>S3</t>
        </is>
      </c>
      <c r="B35" s="561" t="inlineStr">
        <is>
          <t>du + Etisalat</t>
        </is>
      </c>
      <c r="C35" s="561" t="inlineStr">
        <is>
          <t>AED 914.93</t>
        </is>
      </c>
      <c r="D35" s="561" t="inlineStr">
        <is>
          <t>Actual paid</t>
        </is>
      </c>
      <c r="E35" s="562" t="n">
        <v>46237</v>
      </c>
      <c r="F35" s="561" t="inlineStr">
        <is>
          <t>DubaiPay record</t>
        </is>
      </c>
      <c r="G35" s="368" t="inlineStr">
        <is>
          <t>du 590.98 + Etisalat 323.95</t>
        </is>
      </c>
    </row>
    <row r="36" ht="15" customHeight="1" s="278">
      <c r="A36" s="561" t="inlineStr">
        <is>
          <t>S4</t>
        </is>
      </c>
      <c r="B36" s="561" t="inlineStr">
        <is>
          <t>Tabby September</t>
        </is>
      </c>
      <c r="C36" s="561" t="inlineStr">
        <is>
          <t>AED 1,314.50</t>
        </is>
      </c>
      <c r="D36" s="561" t="inlineStr">
        <is>
          <t>Actual statement</t>
        </is>
      </c>
      <c r="E36" s="562" t="n">
        <v>46238</v>
      </c>
      <c r="F36" s="561" t="inlineStr">
        <is>
          <t>Tabby statement</t>
        </is>
      </c>
      <c r="G36" s="368" t="inlineStr">
        <is>
          <t>No-fee minimum due 03 Sep</t>
        </is>
      </c>
    </row>
    <row r="37" ht="15" customHeight="1" s="278">
      <c r="A37" s="561" t="inlineStr">
        <is>
          <t>S5</t>
        </is>
      </c>
      <c r="B37" s="561" t="inlineStr">
        <is>
          <t>Tabby total exposure</t>
        </is>
      </c>
      <c r="C37" s="561" t="inlineStr">
        <is>
          <t>AED 2,687.36 = 1,314.50 + 1,372.86</t>
        </is>
      </c>
      <c r="D37" s="561" t="inlineStr">
        <is>
          <t>Sep actual, Oct estimated</t>
        </is>
      </c>
      <c r="E37" s="562" t="n">
        <v>46245</v>
      </c>
      <c r="F37" s="561" t="inlineStr">
        <is>
          <t>Owner estimate</t>
        </is>
      </c>
      <c r="G37" s="368" t="inlineStr">
        <is>
          <t>October statement not yet generated — modelled at the remaining exposure</t>
        </is>
      </c>
    </row>
    <row r="38" ht="15" customHeight="1" s="278">
      <c r="A38" s="561" t="inlineStr">
        <is>
          <t>S6</t>
        </is>
      </c>
      <c r="B38" s="561" t="inlineStr">
        <is>
          <t>Nippon SIP</t>
        </is>
      </c>
      <c r="C38" s="561" t="inlineStr">
        <is>
          <t>INR 12,000 completed</t>
        </is>
      </c>
      <c r="D38" s="561" t="inlineStr">
        <is>
          <t>Actual</t>
        </is>
      </c>
      <c r="E38" s="562" t="n">
        <v>46244</v>
      </c>
      <c r="F38" s="561" t="inlineStr">
        <is>
          <t>MF Central + confirmation email</t>
        </is>
      </c>
      <c r="G38" s="368" t="inlineStr">
        <is>
          <t>Four INR 3,000 SIPs</t>
        </is>
      </c>
    </row>
    <row r="39" ht="15" customHeight="1" s="278">
      <c r="A39" s="561" t="inlineStr">
        <is>
          <t>S7</t>
        </is>
      </c>
      <c r="B39" s="561" t="inlineStr">
        <is>
          <t>Mutual funds</t>
        </is>
      </c>
      <c r="C39" s="561" t="inlineStr">
        <is>
          <t>INR 245,087.15</t>
        </is>
      </c>
      <c r="D39" s="561" t="inlineStr">
        <is>
          <t>Actual with rounding</t>
        </is>
      </c>
      <c r="E39" s="562" t="n">
        <v>46244</v>
      </c>
      <c r="F39" s="561" t="inlineStr">
        <is>
          <t>MF Central</t>
        </is>
      </c>
      <c r="G39" s="368" t="inlineStr">
        <is>
          <t>Unit rounding may create minor differences</t>
        </is>
      </c>
    </row>
    <row r="40" ht="15" customHeight="1" s="278">
      <c r="A40" s="561" t="inlineStr">
        <is>
          <t>S8</t>
        </is>
      </c>
      <c r="B40" s="561" t="inlineStr">
        <is>
          <t>INR to AED rate</t>
        </is>
      </c>
      <c r="C40" s="561" t="inlineStr">
        <is>
          <t>0.0385333</t>
        </is>
      </c>
      <c r="D40" s="561" t="inlineStr">
        <is>
          <t>Assumption</t>
        </is>
      </c>
      <c r="E40" s="562" t="n">
        <v>46245</v>
      </c>
      <c r="F40" s="561" t="inlineStr">
        <is>
          <t>Implied by AED 462.40 = INR 12,000</t>
        </is>
      </c>
      <c r="G40" s="368" t="inlineStr">
        <is>
          <t>Update when the next transfer rate is confirmed</t>
        </is>
      </c>
    </row>
    <row r="41" ht="15" customHeight="1" s="278">
      <c r="A41" s="561" t="inlineStr">
        <is>
          <t>A1</t>
        </is>
      </c>
      <c r="B41" s="561" t="inlineStr">
        <is>
          <t>AED 4,000 movement</t>
        </is>
      </c>
      <c r="C41" s="561" t="inlineStr">
        <is>
          <t>Advance August salary</t>
        </is>
      </c>
      <c r="D41" s="561" t="inlineStr">
        <is>
          <t>Confirmed by owner</t>
        </is>
      </c>
      <c r="E41" s="562" t="n">
        <v>46241</v>
      </c>
      <c r="F41" s="561" t="inlineStr">
        <is>
          <t>Derived from the balance trail</t>
        </is>
      </c>
      <c r="G41" s="368" t="inlineStr">
        <is>
          <t>Counts against the 26 Aug payday; the ticket profit sits inside it</t>
        </is>
      </c>
    </row>
    <row r="42" ht="15" customHeight="1" s="278">
      <c r="A42" s="561" t="inlineStr">
        <is>
          <t>A2</t>
        </is>
      </c>
      <c r="B42" s="561" t="inlineStr">
        <is>
          <t>AED 260 ticket profit</t>
        </is>
      </c>
      <c r="C42" s="561" t="inlineStr">
        <is>
          <t>Inside the AED 4,000 advance</t>
        </is>
      </c>
      <c r="D42" s="561" t="inlineStr">
        <is>
          <t>Confirmed by owner</t>
        </is>
      </c>
      <c r="E42" s="562" t="n">
        <v>46240</v>
      </c>
      <c r="F42" s="561" t="inlineStr">
        <is>
          <t>Derived from the balance trail</t>
        </is>
      </c>
      <c r="G42" s="368" t="inlineStr">
        <is>
          <t>No longer counted as income on top of salary</t>
        </is>
      </c>
    </row>
    <row r="43" ht="15" customHeight="1" s="278">
      <c r="A43" s="561" t="inlineStr">
        <is>
          <t>A3</t>
        </is>
      </c>
      <c r="B43" s="561" t="inlineStr">
        <is>
          <t>AED 13.50 NBD movement</t>
        </is>
      </c>
      <c r="C43" s="561" t="inlineStr">
        <is>
          <t>Personal lifestyle spend</t>
        </is>
      </c>
      <c r="D43" s="563" t="inlineStr">
        <is>
          <t>REQUIRES VERIFICATION</t>
        </is>
      </c>
      <c r="E43" s="562" t="n">
        <v>46245</v>
      </c>
      <c r="F43" s="561" t="inlineStr">
        <is>
          <t>Derived from the balance trail</t>
        </is>
      </c>
      <c r="G43" s="368" t="inlineStr">
        <is>
          <t>Recorded; merchant still unidentified</t>
        </is>
      </c>
    </row>
    <row r="44" ht="15" customHeight="1" s="278">
      <c r="A44" s="561" t="inlineStr">
        <is>
          <t>A4</t>
        </is>
      </c>
      <c r="B44" s="561" t="inlineStr">
        <is>
          <t>FAB account attribution</t>
        </is>
      </c>
      <c r="C44" s="561" t="inlineStr">
        <is>
          <t>4001 vs 4002</t>
        </is>
      </c>
      <c r="D44" s="563" t="inlineStr">
        <is>
          <t>REQUIRES VERIFICATION</t>
        </is>
      </c>
      <c r="E44" s="562" t="n">
        <v>46245</v>
      </c>
      <c r="F44" s="561" t="inlineStr">
        <is>
          <t>Derived</t>
        </is>
      </c>
      <c r="G44" s="368" t="inlineStr">
        <is>
          <t>The ledger trail ties to 259.09 — the figure attributed to FAB 4001</t>
        </is>
      </c>
    </row>
    <row r="45" ht="15" customHeight="1" s="278">
      <c r="A45" s="561" t="inlineStr">
        <is>
          <t>C1</t>
        </is>
      </c>
      <c r="B45" s="561" t="inlineStr">
        <is>
          <t>Classification rule</t>
        </is>
      </c>
      <c r="C45" s="561" t="inlineStr">
        <is>
          <t>Tabby Cash is not Tabby Card</t>
        </is>
      </c>
      <c r="D45" s="561" t="inlineStr">
        <is>
          <t>Control</t>
        </is>
      </c>
      <c r="E45" s="562" t="n">
        <v>46245</v>
      </c>
      <c r="F45" s="561" t="inlineStr">
        <is>
          <t>Owner instruction</t>
        </is>
      </c>
      <c r="G45" s="368" t="inlineStr">
        <is>
          <t>Wallet spending never touches card debt</t>
        </is>
      </c>
    </row>
    <row r="46" ht="15" customHeight="1" s="278">
      <c r="A46" s="561" t="inlineStr">
        <is>
          <t>C2</t>
        </is>
      </c>
      <c r="B46" s="561" t="inlineStr">
        <is>
          <t>Double-count rule</t>
        </is>
      </c>
      <c r="C46" s="561" t="inlineStr">
        <is>
          <t>Transfers and repayments excluded</t>
        </is>
      </c>
      <c r="D46" s="561" t="inlineStr">
        <is>
          <t>Control</t>
        </is>
      </c>
      <c r="E46" s="562" t="n">
        <v>46245</v>
      </c>
      <c r="F46" s="561" t="inlineStr">
        <is>
          <t>Model rule</t>
        </is>
      </c>
      <c r="G46" s="368" t="inlineStr">
        <is>
          <t>Paid items appear once</t>
        </is>
      </c>
    </row>
    <row r="47" ht="15" customHeight="1" s="278">
      <c r="A47" s="561" t="inlineStr">
        <is>
          <t>C3</t>
        </is>
      </c>
      <c r="B47" s="561" t="inlineStr">
        <is>
          <t>Income rule</t>
        </is>
      </c>
      <c r="C47" s="561" t="inlineStr">
        <is>
          <t>Confirmed / expected / possible kept apart</t>
        </is>
      </c>
      <c r="D47" s="561" t="inlineStr">
        <is>
          <t>Control</t>
        </is>
      </c>
      <c r="E47" s="562" t="n">
        <v>46245</v>
      </c>
      <c r="F47" s="561" t="inlineStr">
        <is>
          <t>Model rule</t>
        </is>
      </c>
      <c r="G47" s="368" t="inlineStr">
        <is>
          <t>Possible income never funds a spending decision</t>
        </is>
      </c>
    </row>
    <row r="49">
      <c r="A49" s="382" t="inlineStr">
        <is>
          <t>AMENDMENT LOG</t>
        </is>
      </c>
    </row>
    <row r="50">
      <c r="A50" s="383" t="inlineStr">
        <is>
          <t>#</t>
        </is>
      </c>
      <c r="B50" s="383" t="inlineStr">
        <is>
          <t>Sheet</t>
        </is>
      </c>
      <c r="C50" s="383" t="inlineStr">
        <is>
          <t>What was amended, 26 Aug 2026</t>
        </is>
      </c>
    </row>
    <row r="51" ht="30" customHeight="1" s="278">
      <c r="A51" s="561" t="inlineStr">
        <is>
          <t>F1</t>
        </is>
      </c>
      <c r="B51" s="561" t="inlineStr">
        <is>
          <t>Account History</t>
        </is>
      </c>
      <c r="C51" s="564" t="inlineStr">
        <is>
          <t>Latest-balance summary moved from A21:D29 to G5:J14. It sat inside the ranges its own LOOKUPs scan, so all eight accounts were circular and read "No data". The block now works.</t>
        </is>
      </c>
    </row>
    <row r="52" ht="30" customHeight="1" s="278">
      <c r="A52" s="561" t="inlineStr">
        <is>
          <t>F2</t>
        </is>
      </c>
      <c r="B52" s="561" t="inlineStr">
        <is>
          <t>Account History</t>
        </is>
      </c>
      <c r="C52" s="564" t="inlineStr">
        <is>
          <t>B7 read "FAB 1001 Current" — a typo for 4001, which meant that entry matched no account in the summary. Corrected.</t>
        </is>
      </c>
    </row>
    <row r="53" ht="30" customHeight="1" s="278">
      <c r="A53" s="561" t="inlineStr">
        <is>
          <t>F3</t>
        </is>
      </c>
      <c r="B53" s="561" t="inlineStr">
        <is>
          <t>Account History</t>
        </is>
      </c>
      <c r="C53" s="564" t="inlineStr">
        <is>
          <t>C7 and C8 held the text "REQUIRES DATA" in the balance column, where the lookup counted it as a reading. Blanked, with the reason moved to the note column.</t>
        </is>
      </c>
    </row>
    <row r="54" ht="30" customHeight="1" s="278">
      <c r="A54" s="561" t="inlineStr">
        <is>
          <t>F4</t>
        </is>
      </c>
      <c r="B54" s="561" t="inlineStr">
        <is>
          <t>Account History</t>
        </is>
      </c>
      <c r="C54" s="564" t="inlineStr">
        <is>
          <t>Log ended on 11 Aug while Accounts was confirmed to 26 Aug, so the summary contradicted the live balances. Added the four confirmed 25–26 Aug readings.</t>
        </is>
      </c>
    </row>
    <row r="55" ht="30" customHeight="1" s="278">
      <c r="A55" s="561" t="inlineStr">
        <is>
          <t>F5</t>
        </is>
      </c>
      <c r="B55" s="561" t="inlineStr">
        <is>
          <t>Account History</t>
        </is>
      </c>
      <c r="C55" s="564" t="inlineStr">
        <is>
          <t>Change-vs-last-entry formula was present on some rows and missing on others, including two section-header rows. Applied uniformly to rows 7–100 and guarded so an empty row stays empty.</t>
        </is>
      </c>
    </row>
    <row r="56" ht="30" customHeight="1" s="278">
      <c r="A56" s="561" t="inlineStr">
        <is>
          <t>F6</t>
        </is>
      </c>
      <c r="B56" s="561" t="inlineStr">
        <is>
          <t>Investments</t>
        </is>
      </c>
      <c r="C56" s="564" t="inlineStr">
        <is>
          <t>Two identical TOTAL rows sat under the fund table (rows 12 and 13). Nothing referenced the second one; removed so the table has a single total.</t>
        </is>
      </c>
    </row>
    <row r="57" ht="30" customHeight="1" s="278">
      <c r="A57" s="561" t="inlineStr">
        <is>
          <t>F7</t>
        </is>
      </c>
      <c r="B57" s="561" t="inlineStr">
        <is>
          <t>Accounts</t>
        </is>
      </c>
      <c r="C57" s="564" t="inlineStr">
        <is>
          <t>H15 asserted "Must equal AED 4,277.19" against a live total of AED 6,105.17 — a note left behind by an earlier balance set. It is now a formula that states the current total, so it can never go stale again.</t>
        </is>
      </c>
    </row>
    <row r="58" ht="30" customHeight="1" s="278">
      <c r="A58" s="561" t="inlineStr">
        <is>
          <t>F8</t>
        </is>
      </c>
      <c r="B58" s="561" t="inlineStr">
        <is>
          <t>Settings</t>
        </is>
      </c>
      <c r="C58" s="564" t="inlineStr">
        <is>
          <t>Next-income date used &lt;= against the salary day, so on payday itself it returned today and left zero days to income — which pushed E8 and the SAFE DAILY LIMIT to zero on payday. Changed to &lt;, so the count rolls forward once the salary lands.</t>
        </is>
      </c>
    </row>
    <row r="59" ht="30" customHeight="1" s="278">
      <c r="A59" s="561" t="inlineStr">
        <is>
          <t>F9</t>
        </is>
      </c>
      <c r="B59" s="561" t="inlineStr">
        <is>
          <t>MASTER PLAN</t>
        </is>
      </c>
      <c r="C59" s="564" t="inlineStr">
        <is>
          <t>Row 11 was labelled "TOTAL NET WORTH" but pointed at total accessible assets, which does not net off the AED 2,687.36 Tabby exposure. Relabelled TOTAL ASSETS, with a true net-worth figure added alongside (new engine row E59 on Settings).</t>
        </is>
      </c>
    </row>
    <row r="60" ht="30" customHeight="1" s="278">
      <c r="A60" s="561" t="inlineStr">
        <is>
          <t>F10</t>
        </is>
      </c>
      <c r="B60" s="561" t="inlineStr">
        <is>
          <t>Checks &amp; Audit</t>
        </is>
      </c>
      <c r="C60" s="564" t="inlineStr">
        <is>
          <t>The household-plus-personal check compared two typed constants with each other, so it could never fail, and both had drifted from the live figures. Both sides now read the engine.</t>
        </is>
      </c>
    </row>
    <row r="61" ht="30" customHeight="1" s="278">
      <c r="A61" s="561" t="inlineStr">
        <is>
          <t>F11</t>
        </is>
      </c>
      <c r="B61" s="561" t="inlineStr">
        <is>
          <t>Checks &amp; Audit</t>
        </is>
      </c>
      <c r="C61" s="564" t="inlineStr">
        <is>
          <t>Three MODEL STATUS banners had accumulated as checks were appended, and two of them occupied the source log's ID column. Reduced to one banner covering every check (F8:F33).</t>
        </is>
      </c>
    </row>
    <row r="62" ht="30" customHeight="1" s="278">
      <c r="A62" s="561" t="inlineStr">
        <is>
          <t>F12</t>
        </is>
      </c>
      <c r="B62" s="561" t="inlineStr">
        <is>
          <t>Checks &amp; Audit</t>
        </is>
      </c>
      <c r="C62" s="564" t="inlineStr">
        <is>
          <t>Source log restarted at S6 because S1–S5 had been overwritten. Renumbered S1–S8 with every entry preserved; no formula anywhere references an S-number.</t>
        </is>
      </c>
    </row>
    <row r="63" ht="30" customHeight="1" s="278">
      <c r="A63" s="561" t="inlineStr">
        <is>
          <t>F13</t>
        </is>
      </c>
      <c r="B63" s="561" t="inlineStr">
        <is>
          <t>Checks &amp; Audit</t>
        </is>
      </c>
      <c r="C63" s="564" t="inlineStr">
        <is>
          <t>Three check notes still described earlier balance sets — the FAB note added up to 7,183.87 against a live 5,963.32, and the NBD note to 4.93 against 140.96. Rewritten to match what the checks now compare.</t>
        </is>
      </c>
    </row>
    <row r="64">
      <c r="A64" s="565" t="inlineStr">
        <is>
          <t>All 4,120 formulas were evaluated independently before and after these changes: zero errors, and all 22 integrity checks pass. The amendments above are structural — nothing arithmetic was wrong.</t>
        </is>
      </c>
    </row>
  </sheetData>
  <mergeCells count="1">
    <mergeCell ref="A64:G64"/>
  </mergeCells>
  <conditionalFormatting sqref="F8:F24">
    <cfRule type="cellIs" rank="0" priority="2" equalAverage="0" operator="equal" aboveAverage="0" dxfId="20" text="" percent="0" bottom="0">
      <formula>"OK"</formula>
    </cfRule>
    <cfRule type="cellIs" rank="0" priority="3" equalAverage="0" operator="equal" aboveAverage="0" dxfId="4" text="" percent="0" bottom="0">
      <formula>"CHECK"</formula>
    </cfRule>
  </conditionalFormatting>
  <conditionalFormatting sqref="F25">
    <cfRule type="cellIs" rank="0" priority="4" equalAverage="0" operator="equal" aboveAverage="0" dxfId="20" text="" percent="0" bottom="0">
      <formula>"OK"</formula>
    </cfRule>
    <cfRule type="cellIs" rank="0" priority="5" equalAverage="0" operator="equal" aboveAverage="0" dxfId="4" text="" percent="0" bottom="0">
      <formula>"CHECK"</formula>
    </cfRule>
  </conditionalFormatting>
  <conditionalFormatting sqref="F26">
    <cfRule type="cellIs" rank="0" priority="6" equalAverage="0" operator="equal" aboveAverage="0" dxfId="20" text="" percent="0" bottom="0">
      <formula>"OK"</formula>
    </cfRule>
    <cfRule type="cellIs" rank="0" priority="7" equalAverage="0" operator="equal" aboveAverage="0" dxfId="4" text="" percent="0" bottom="0">
      <formula>"CHECK"</formula>
    </cfRule>
  </conditionalFormatting>
  <conditionalFormatting sqref="F28">
    <cfRule type="cellIs" rank="0" priority="8" equalAverage="0" operator="equal" aboveAverage="0" dxfId="20" text="" percent="0" bottom="0">
      <formula>"OK"</formula>
    </cfRule>
    <cfRule type="cellIs" rank="0" priority="9" equalAverage="0" operator="equal" aboveAverage="0" dxfId="4" text="" percent="0" bottom="0">
      <formula>"CHECK"</formula>
    </cfRule>
  </conditionalFormatting>
  <conditionalFormatting sqref="F29">
    <cfRule type="cellIs" rank="0" priority="10" equalAverage="0" operator="equal" aboveAverage="0" dxfId="20" text="" percent="0" bottom="0">
      <formula>"OK"</formula>
    </cfRule>
    <cfRule type="cellIs" rank="0" priority="11" equalAverage="0" operator="equal" aboveAverage="0" dxfId="4" text="" percent="0" bottom="0">
      <formula>"CHECK"</formula>
    </cfRule>
  </conditionalFormatting>
  <conditionalFormatting sqref="F30">
    <cfRule type="cellIs" rank="0" priority="12" equalAverage="0" operator="equal" aboveAverage="0" dxfId="20" text="" percent="0" bottom="0">
      <formula>"OK"</formula>
    </cfRule>
    <cfRule type="cellIs" rank="0" priority="13" equalAverage="0" operator="equal" aboveAverage="0" dxfId="4" text="" percent="0" bottom="0">
      <formula>"CHECK"</formula>
    </cfRule>
  </conditionalFormatting>
  <conditionalFormatting sqref="F32">
    <cfRule type="cellIs" rank="0" priority="14" equalAverage="0" operator="equal" aboveAverage="0" dxfId="20" text="" percent="0" bottom="0">
      <formula>"OK"</formula>
    </cfRule>
    <cfRule type="cellIs" rank="0" priority="15" equalAverage="0" operator="equal" aboveAverage="0" dxfId="4" text="" percent="0" bottom="0">
      <formula>"CHECK"</formula>
    </cfRule>
  </conditionalFormatting>
  <conditionalFormatting sqref="F33">
    <cfRule type="cellIs" rank="0" priority="16" equalAverage="0" operator="equal" aboveAverage="0" dxfId="20" text="" percent="0" bottom="0">
      <formula>"OK"</formula>
    </cfRule>
    <cfRule type="cellIs" rank="0" priority="17" equalAverage="0" operator="equal" aboveAverage="0" dxfId="4" text="" percent="0" bottom="0">
      <formula>"CHECK"</formula>
    </cfRule>
  </conditionalFormatting>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FFD8DEE7"/>
    <outlinePr summaryBelow="1" summaryRight="1"/>
    <pageSetUpPr fitToPage="1"/>
  </sheetPr>
  <dimension ref="A1:L2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277" min="1" max="1"/>
    <col width="16" customWidth="1" style="277" min="2" max="12"/>
  </cols>
  <sheetData>
    <row r="1" ht="30" customHeight="1" s="278">
      <c r="A1" s="345" t="inlineStr">
        <is>
          <t>Archive — Original Workbook (values as received, 11 Aug 2026)</t>
        </is>
      </c>
    </row>
    <row r="2" ht="13.5" customHeight="1" s="278">
      <c r="A2" s="565" t="inlineStr">
        <is>
          <t>Nothing from the original file has been deleted. This is a frozen, read-only copy of every sheet exactly as it arrived, kept for audit.</t>
        </is>
      </c>
    </row>
    <row r="3" ht="6" customHeight="1" s="278"/>
    <row r="5" ht="19.5" customHeight="1" s="278">
      <c r="A5" s="382" t="inlineStr">
        <is>
          <t>ORIGINAL SHEET:  Inputs</t>
        </is>
      </c>
      <c r="B5" s="287" t="n"/>
      <c r="C5" s="287" t="n"/>
      <c r="D5" s="287" t="n"/>
      <c r="E5" s="287" t="n"/>
      <c r="F5" s="287" t="n"/>
      <c r="G5" s="287" t="n"/>
      <c r="H5" s="287" t="n"/>
      <c r="I5" s="287" t="n"/>
      <c r="J5" s="287" t="n"/>
      <c r="K5" s="287" t="n"/>
      <c r="L5" s="287" t="n"/>
    </row>
    <row r="6" ht="15" customHeight="1" s="278">
      <c r="A6" s="566" t="inlineStr">
        <is>
          <t>Johnny's Edge — Authoritative Inputs</t>
        </is>
      </c>
    </row>
    <row r="7" ht="15" customHeight="1" s="278">
      <c r="A7" s="566" t="inlineStr">
        <is>
          <t>As of 11 Aug 2026 · Blue/yellow cells are editable assumptions. Actual and estimated values are never mixed.</t>
        </is>
      </c>
    </row>
    <row r="8" ht="15" customHeight="1" s="278">
      <c r="A8" s="566" t="inlineStr">
        <is>
          <t>CURRENT LIQUID BALANCES — CONFIRMED ACTUAL</t>
        </is>
      </c>
    </row>
    <row r="9" ht="15" customHeight="1" s="278">
      <c r="A9" s="566" t="inlineStr">
        <is>
          <t>Item</t>
        </is>
      </c>
      <c r="B9" s="566" t="inlineStr">
        <is>
          <t>Amount</t>
        </is>
      </c>
      <c r="C9" s="566" t="inlineStr">
        <is>
          <t>Currency</t>
        </is>
      </c>
      <c r="D9" s="566" t="inlineStr">
        <is>
          <t>Status</t>
        </is>
      </c>
      <c r="E9" s="566" t="inlineStr">
        <is>
          <t>As of</t>
        </is>
      </c>
      <c r="F9" s="566" t="inlineStr">
        <is>
          <t>Audit note</t>
        </is>
      </c>
    </row>
    <row r="10" ht="15" customHeight="1" s="278">
      <c r="A10" s="566" t="inlineStr">
        <is>
          <t>FAB 4001</t>
        </is>
      </c>
      <c r="B10" s="567" t="n">
        <v>259.09</v>
      </c>
      <c r="C10" s="566" t="inlineStr">
        <is>
          <t>AED</t>
        </is>
      </c>
      <c r="D10" s="566" t="inlineStr">
        <is>
          <t>Actual</t>
        </is>
      </c>
      <c r="E10" s="568" t="n">
        <v>46245</v>
      </c>
      <c r="F10" s="566" t="inlineStr">
        <is>
          <t>Protected rent balance after duplicate transfer refund</t>
        </is>
      </c>
    </row>
    <row r="11" ht="15" customHeight="1" s="278">
      <c r="A11" s="566" t="inlineStr">
        <is>
          <t>FAB 4002</t>
        </is>
      </c>
      <c r="B11" s="567" t="n">
        <v>4004.61</v>
      </c>
      <c r="C11" s="566" t="inlineStr">
        <is>
          <t>AED</t>
        </is>
      </c>
      <c r="D11" s="566" t="inlineStr">
        <is>
          <t>Actual</t>
        </is>
      </c>
      <c r="E11" s="568" t="n">
        <v>46245</v>
      </c>
      <c r="F11" s="566" t="inlineStr">
        <is>
          <t>Includes AED 3,740 early August salary + AED 260 confirmed ticket profit</t>
        </is>
      </c>
    </row>
    <row r="12" ht="15" customHeight="1" s="278">
      <c r="A12" s="566" t="inlineStr">
        <is>
          <t>FAB emergency</t>
        </is>
      </c>
      <c r="B12" s="567" t="n">
        <v>7.67</v>
      </c>
      <c r="C12" s="566" t="inlineStr">
        <is>
          <t>AED</t>
        </is>
      </c>
      <c r="D12" s="566" t="inlineStr">
        <is>
          <t>Actual</t>
        </is>
      </c>
      <c r="E12" s="568" t="n">
        <v>46245</v>
      </c>
      <c r="F12" s="566" t="inlineStr">
        <is>
          <t>Emergency subaccount</t>
        </is>
      </c>
    </row>
    <row r="13" ht="15" customHeight="1" s="278">
      <c r="A13" s="566" t="inlineStr">
        <is>
          <t>NBD current</t>
        </is>
      </c>
      <c r="B13" s="567" t="n">
        <v>2.2</v>
      </c>
      <c r="C13" s="566" t="inlineStr">
        <is>
          <t>AED</t>
        </is>
      </c>
      <c r="D13" s="566" t="inlineStr">
        <is>
          <t>Actual</t>
        </is>
      </c>
      <c r="E13" s="568" t="n">
        <v>46240</v>
      </c>
      <c r="F13" s="566" t="inlineStr">
        <is>
          <t>Last reported</t>
        </is>
      </c>
    </row>
    <row r="14" ht="15" customHeight="1" s="278">
      <c r="A14" s="566" t="inlineStr">
        <is>
          <t>NBD Plus Saver</t>
        </is>
      </c>
      <c r="B14" s="567" t="n">
        <v>2.73</v>
      </c>
      <c r="C14" s="566" t="inlineStr">
        <is>
          <t>AED</t>
        </is>
      </c>
      <c r="D14" s="566" t="inlineStr">
        <is>
          <t>Actual</t>
        </is>
      </c>
      <c r="E14" s="568" t="n">
        <v>46239</v>
      </c>
      <c r="F14" s="566" t="inlineStr">
        <is>
          <t>Includes AED 1.64 interest credit</t>
        </is>
      </c>
    </row>
    <row r="15" ht="15" customHeight="1" s="278">
      <c r="A15" s="566" t="inlineStr">
        <is>
          <t>Tabby Cash</t>
        </is>
      </c>
      <c r="B15" s="567" t="n">
        <v>0.89</v>
      </c>
      <c r="C15" s="566" t="inlineStr">
        <is>
          <t>AED</t>
        </is>
      </c>
      <c r="D15" s="566" t="inlineStr">
        <is>
          <t>Actual</t>
        </is>
      </c>
      <c r="E15" s="568" t="n">
        <v>46238</v>
      </c>
      <c r="F15" s="566" t="inlineStr">
        <is>
          <t>Funded wallet; not Tabby Card borrowing</t>
        </is>
      </c>
    </row>
    <row r="16" ht="15" customHeight="1" s="278">
      <c r="A16" s="566" t="inlineStr">
        <is>
          <t>Cash/Wio</t>
        </is>
      </c>
      <c r="B16" s="566" t="n">
        <v>0</v>
      </c>
      <c r="C16" s="566" t="inlineStr">
        <is>
          <t>AED</t>
        </is>
      </c>
      <c r="D16" s="566" t="inlineStr">
        <is>
          <t>Actual</t>
        </is>
      </c>
      <c r="E16" s="568" t="n">
        <v>46245</v>
      </c>
      <c r="F16" s="566" t="inlineStr">
        <is>
          <t>No balance reported</t>
        </is>
      </c>
    </row>
    <row r="17" ht="15" customHeight="1" s="278">
      <c r="A17" s="566" t="inlineStr">
        <is>
          <t>TOTAL LIQUID CASH</t>
        </is>
      </c>
      <c r="B17" s="567" t="n">
        <v>4277.19</v>
      </c>
      <c r="C17" s="566" t="inlineStr">
        <is>
          <t>AED</t>
        </is>
      </c>
      <c r="D17" s="566" t="inlineStr">
        <is>
          <t>Formula</t>
        </is>
      </c>
      <c r="E17" s="568" t="n">
        <v>46245</v>
      </c>
      <c r="F17" s="566" t="inlineStr">
        <is>
          <t>Must equal AED 4,277.19</t>
        </is>
      </c>
    </row>
    <row r="18" ht="15" customHeight="1" s="278">
      <c r="A18" s="566" t="inlineStr">
        <is>
          <t>INCOME, REFUNDS AND TIMING</t>
        </is>
      </c>
    </row>
    <row r="19" ht="15" customHeight="1" s="278">
      <c r="A19" s="566" t="inlineStr">
        <is>
          <t>Driver</t>
        </is>
      </c>
      <c r="B19" s="566" t="inlineStr">
        <is>
          <t>Amount</t>
        </is>
      </c>
      <c r="C19" s="566" t="inlineStr">
        <is>
          <t>Status</t>
        </is>
      </c>
      <c r="D19" s="566" t="inlineStr">
        <is>
          <t>Expected date</t>
        </is>
      </c>
      <c r="E19" s="566" t="inlineStr">
        <is>
          <t>Treatment</t>
        </is>
      </c>
      <c r="F19" s="566" t="inlineStr">
        <is>
          <t>Audit note</t>
        </is>
      </c>
    </row>
    <row r="20" ht="15" customHeight="1" s="278">
      <c r="A20" s="566" t="inlineStr">
        <is>
          <t>Normal monthly salary</t>
        </is>
      </c>
      <c r="B20" s="567" t="n">
        <v>7914.88</v>
      </c>
      <c r="C20" s="566" t="inlineStr">
        <is>
          <t>Actual baseline</t>
        </is>
      </c>
      <c r="D20" s="568" t="n">
        <v>46260</v>
      </c>
      <c r="E20" s="566" t="inlineStr">
        <is>
          <t>Salary</t>
        </is>
      </c>
      <c r="F20" s="566" t="inlineStr">
        <is>
          <t>July salary baseline</t>
        </is>
      </c>
    </row>
    <row r="21" ht="15" customHeight="1" s="278">
      <c r="A21" s="566" t="inlineStr">
        <is>
          <t>Early salary already received</t>
        </is>
      </c>
      <c r="B21" s="566" t="n">
        <v>3740</v>
      </c>
      <c r="C21" s="566" t="inlineStr">
        <is>
          <t>Actual</t>
        </is>
      </c>
      <c r="D21" s="568" t="n">
        <v>46241</v>
      </c>
      <c r="E21" s="566" t="inlineStr">
        <is>
          <t>Already in cash</t>
        </is>
      </c>
      <c r="F21" s="566" t="inlineStr">
        <is>
          <t>Do not count again on payday</t>
        </is>
      </c>
    </row>
    <row r="22" ht="15" customHeight="1" s="278">
      <c r="A22" s="566" t="inlineStr">
        <is>
          <t>Confirmed ticket profit</t>
        </is>
      </c>
      <c r="B22" s="566" t="n">
        <v>260</v>
      </c>
      <c r="C22" s="566" t="inlineStr">
        <is>
          <t>Actual</t>
        </is>
      </c>
      <c r="D22" s="568" t="n">
        <v>46241</v>
      </c>
      <c r="E22" s="566" t="inlineStr">
        <is>
          <t>Already in cash</t>
        </is>
      </c>
      <c r="F22" s="566" t="inlineStr">
        <is>
          <t>Genuine income above salary</t>
        </is>
      </c>
    </row>
    <row r="23" ht="15" customHeight="1" s="278">
      <c r="A23" s="566" t="inlineStr">
        <is>
          <t>Pending early salary cash</t>
        </is>
      </c>
      <c r="B23" s="566" t="n">
        <v>1540</v>
      </c>
      <c r="C23" s="566" t="inlineStr">
        <is>
          <t>Estimated</t>
        </is>
      </c>
      <c r="D23" s="568" t="n">
        <v>46260</v>
      </c>
      <c r="E23" s="566" t="inlineStr">
        <is>
          <t>Expected inflow</t>
        </is>
      </c>
      <c r="F23" s="566" t="inlineStr">
        <is>
          <t>Not cash until received</t>
        </is>
      </c>
    </row>
    <row r="24" ht="15" customHeight="1" s="278">
      <c r="A24" s="566" t="inlineStr">
        <is>
          <t>Remaining base payday</t>
        </is>
      </c>
      <c r="B24" s="567" t="n">
        <v>2634.88</v>
      </c>
      <c r="C24" s="566" t="inlineStr">
        <is>
          <t>Formula</t>
        </is>
      </c>
      <c r="D24" s="568" t="n">
        <v>46260</v>
      </c>
      <c r="E24" s="566" t="inlineStr">
        <is>
          <t>Expected inflow</t>
        </is>
      </c>
      <c r="F24" s="566" t="inlineStr">
        <is>
          <t>Salary less AED 3,740 and AED 1,540</t>
        </is>
      </c>
    </row>
    <row r="25" ht="15" customHeight="1" s="278">
      <c r="A25" s="566" t="inlineStr">
        <is>
          <t>Expected extra salary/income</t>
        </is>
      </c>
      <c r="B25" s="566" t="n">
        <v>400</v>
      </c>
      <c r="C25" s="566" t="inlineStr">
        <is>
          <t>Estimated</t>
        </is>
      </c>
      <c r="D25" s="568" t="n">
        <v>46260</v>
      </c>
      <c r="E25" s="566" t="inlineStr">
        <is>
          <t>Expected inflow</t>
        </is>
      </c>
      <c r="F25" s="566" t="inlineStr">
        <is>
          <t>Not guaranteed</t>
        </is>
      </c>
    </row>
    <row r="26" ht="15" customHeight="1" s="278">
      <c r="A26" s="566" t="inlineStr">
        <is>
          <t>Rent refund</t>
        </is>
      </c>
      <c r="B26" s="566" t="n">
        <v>1430</v>
      </c>
      <c r="C26" s="566" t="inlineStr">
        <is>
          <t>Estimated</t>
        </is>
      </c>
      <c r="D26" s="568" t="n">
        <v>46260</v>
      </c>
      <c r="E26" s="566" t="inlineStr">
        <is>
          <t>Rent-only inflow</t>
        </is>
      </c>
      <c r="F26" s="566" t="inlineStr">
        <is>
          <t>Not cash until received</t>
        </is>
      </c>
    </row>
    <row r="27" ht="15" customHeight="1" s="278">
      <c r="A27" s="566" t="inlineStr">
        <is>
          <t>August income target</t>
        </is>
      </c>
      <c r="B27" s="566" t="n">
        <v>8800</v>
      </c>
      <c r="C27" s="566" t="inlineStr">
        <is>
          <t>Target</t>
        </is>
      </c>
      <c r="D27" s="568" t="n">
        <v>46265</v>
      </c>
      <c r="E27" s="566" t="inlineStr">
        <is>
          <t>Target</t>
        </is>
      </c>
      <c r="F27" s="566" t="inlineStr">
        <is>
          <t>Includes normal salary + profit + expected extra</t>
        </is>
      </c>
    </row>
    <row r="28" ht="15" customHeight="1" s="278">
      <c r="A28" s="566" t="inlineStr">
        <is>
          <t>Current expected August income</t>
        </is>
      </c>
      <c r="B28" s="567" t="n">
        <v>8574.879999999999</v>
      </c>
      <c r="C28" s="566" t="inlineStr">
        <is>
          <t>Formula</t>
        </is>
      </c>
      <c r="D28" s="568" t="n">
        <v>46265</v>
      </c>
      <c r="E28" s="566" t="inlineStr">
        <is>
          <t>Projection</t>
        </is>
      </c>
      <c r="F28" s="566" t="inlineStr">
        <is>
          <t>Salary + profit + expected extra</t>
        </is>
      </c>
    </row>
    <row r="29" ht="15" customHeight="1" s="278">
      <c r="A29" s="566" t="inlineStr">
        <is>
          <t>OBLIGATIONS AND CONTROL ASSUMPTIONS</t>
        </is>
      </c>
    </row>
    <row r="30" ht="15" customHeight="1" s="278">
      <c r="A30" s="566" t="inlineStr">
        <is>
          <t>Item</t>
        </is>
      </c>
      <c r="B30" s="566" t="inlineStr">
        <is>
          <t>Amount</t>
        </is>
      </c>
      <c r="C30" s="566" t="inlineStr">
        <is>
          <t>Status</t>
        </is>
      </c>
      <c r="D30" s="566" t="inlineStr">
        <is>
          <t>Date / cadence</t>
        </is>
      </c>
      <c r="E30" s="566" t="inlineStr">
        <is>
          <t>Rule</t>
        </is>
      </c>
      <c r="F30" s="566" t="inlineStr">
        <is>
          <t>Audit note</t>
        </is>
      </c>
    </row>
    <row r="31" ht="15" customHeight="1" s="278">
      <c r="A31" s="566" t="inlineStr">
        <is>
          <t>October rent cheque</t>
        </is>
      </c>
      <c r="B31" s="566" t="n">
        <v>11750</v>
      </c>
      <c r="C31" s="566" t="inlineStr">
        <is>
          <t>Actual</t>
        </is>
      </c>
      <c r="D31" s="568" t="n">
        <v>46317</v>
      </c>
      <c r="E31" s="566" t="inlineStr">
        <is>
          <t>Must be fully funded by 21 Oct</t>
        </is>
      </c>
      <c r="F31" s="566" t="inlineStr">
        <is>
          <t>26 Oct salary is too late</t>
        </is>
      </c>
    </row>
    <row r="32" ht="15" customHeight="1" s="278">
      <c r="A32" s="566" t="inlineStr">
        <is>
          <t>Rent protected now</t>
        </is>
      </c>
      <c r="B32" s="567" t="n">
        <v>259.09</v>
      </c>
      <c r="C32" s="566" t="inlineStr">
        <is>
          <t>Actual</t>
        </is>
      </c>
      <c r="D32" s="568" t="n">
        <v>46245</v>
      </c>
      <c r="E32" s="566" t="inlineStr">
        <is>
          <t>Do not spend</t>
        </is>
      </c>
      <c r="F32" s="566" t="inlineStr">
        <is>
          <t>FAB 4001</t>
        </is>
      </c>
    </row>
    <row r="33" ht="15" customHeight="1" s="278">
      <c r="A33" s="566" t="inlineStr">
        <is>
          <t>Emergency fund</t>
        </is>
      </c>
      <c r="B33" s="567" t="n">
        <v>7.67</v>
      </c>
      <c r="C33" s="566" t="inlineStr">
        <is>
          <t>Actual</t>
        </is>
      </c>
      <c r="D33" s="568" t="n">
        <v>46245</v>
      </c>
      <c r="E33" s="566" t="inlineStr">
        <is>
          <t>Do not spend</t>
        </is>
      </c>
      <c r="F33" s="566" t="inlineStr">
        <is>
          <t>Next milestone AED 1,000</t>
        </is>
      </c>
    </row>
    <row r="34" ht="15" customHeight="1" s="278">
      <c r="A34" s="566" t="inlineStr">
        <is>
          <t>DEWA monthly baseline</t>
        </is>
      </c>
      <c r="B34" s="567" t="n">
        <v>793.42</v>
      </c>
      <c r="C34" s="566" t="inlineStr">
        <is>
          <t>Estimated</t>
        </is>
      </c>
      <c r="D34" s="568" t="n">
        <v>46254</v>
      </c>
      <c r="E34" s="566" t="inlineStr">
        <is>
          <t>Replace with actual bill</t>
        </is>
      </c>
      <c r="F34" s="566" t="inlineStr">
        <is>
          <t>Last confirmed bill basis</t>
        </is>
      </c>
    </row>
    <row r="35" ht="15" customHeight="1" s="278">
      <c r="A35" s="566" t="inlineStr">
        <is>
          <t>du recurring baseline</t>
        </is>
      </c>
      <c r="B35" s="567" t="n">
        <v>590.98</v>
      </c>
      <c r="C35" s="566" t="inlineStr">
        <is>
          <t>Estimated</t>
        </is>
      </c>
      <c r="D35" s="568" t="n">
        <v>46268</v>
      </c>
      <c r="E35" s="566" t="inlineStr">
        <is>
          <t>Monthly</t>
        </is>
      </c>
      <c r="F35" s="566" t="inlineStr">
        <is>
          <t>Aug paid 03 Aug</t>
        </is>
      </c>
    </row>
    <row r="36" ht="15" customHeight="1" s="278">
      <c r="A36" s="566" t="inlineStr">
        <is>
          <t>Etisalat recurring baseline</t>
        </is>
      </c>
      <c r="B36" s="567" t="n">
        <v>323.95</v>
      </c>
      <c r="C36" s="566" t="inlineStr">
        <is>
          <t>Estimated</t>
        </is>
      </c>
      <c r="D36" s="568" t="n">
        <v>46268</v>
      </c>
      <c r="E36" s="566" t="inlineStr">
        <is>
          <t>Monthly</t>
        </is>
      </c>
      <c r="F36" s="566" t="inlineStr">
        <is>
          <t>Aug paid 03 Aug</t>
        </is>
      </c>
    </row>
    <row r="37" ht="15" customHeight="1" s="278">
      <c r="A37" s="566" t="inlineStr">
        <is>
          <t>Tabby no-fee minimum</t>
        </is>
      </c>
      <c r="B37" s="567" t="n">
        <v>1314.5</v>
      </c>
      <c r="C37" s="566" t="inlineStr">
        <is>
          <t>Actual statement option</t>
        </is>
      </c>
      <c r="D37" s="568" t="n">
        <v>46268</v>
      </c>
      <c r="E37" s="566" t="inlineStr">
        <is>
          <t>Recommended</t>
        </is>
      </c>
      <c r="F37" s="566" t="inlineStr">
        <is>
          <t>Avoid fee-bearing minimum</t>
        </is>
      </c>
    </row>
    <row r="38" ht="15" customHeight="1" s="278">
      <c r="A38" s="566" t="inlineStr">
        <is>
          <t>Tabby full statement</t>
        </is>
      </c>
      <c r="B38" s="567" t="n">
        <v>1972.03</v>
      </c>
      <c r="C38" s="566" t="inlineStr">
        <is>
          <t>Actual statement</t>
        </is>
      </c>
      <c r="D38" s="568" t="n">
        <v>46268</v>
      </c>
      <c r="E38" s="566" t="inlineStr">
        <is>
          <t>Optional full clearance</t>
        </is>
      </c>
      <c r="F38" s="566" t="inlineStr">
        <is>
          <t>Not an additional bill</t>
        </is>
      </c>
    </row>
    <row r="39" ht="15" customHeight="1" s="278">
      <c r="A39" s="566" t="inlineStr">
        <is>
          <t>Tabby outstanding exposure</t>
        </is>
      </c>
      <c r="B39" s="567" t="n">
        <v>2687.36</v>
      </c>
      <c r="C39" s="566" t="inlineStr">
        <is>
          <t>Estimated</t>
        </is>
      </c>
      <c r="D39" s="568" t="n">
        <v>46245</v>
      </c>
      <c r="E39" s="566" t="inlineStr">
        <is>
          <t>Card frozen</t>
        </is>
      </c>
      <c r="F39" s="566" t="inlineStr">
        <is>
          <t>Later statements ungenerated</t>
        </is>
      </c>
    </row>
    <row r="40" ht="15" customHeight="1" s="278">
      <c r="A40" s="566" t="inlineStr">
        <is>
          <t>September SIP funding</t>
        </is>
      </c>
      <c r="B40" s="567" t="n">
        <v>462.4</v>
      </c>
      <c r="C40" s="566" t="inlineStr">
        <is>
          <t>Estimated</t>
        </is>
      </c>
      <c r="D40" s="568" t="n">
        <v>46275</v>
      </c>
      <c r="E40" s="566" t="inlineStr">
        <is>
          <t>Keep active</t>
        </is>
      </c>
      <c r="F40" s="566" t="inlineStr">
        <is>
          <t>₹12,000 at last confirmed transfer rate</t>
        </is>
      </c>
    </row>
    <row r="41" ht="15" customHeight="1" s="278">
      <c r="A41" s="566" t="inlineStr">
        <is>
          <t>ICICI post-Aug SIP cash</t>
        </is>
      </c>
      <c r="B41" s="567" t="n">
        <v>388.51</v>
      </c>
      <c r="C41" s="566" t="inlineStr">
        <is>
          <t>Actual</t>
        </is>
      </c>
      <c r="D41" s="568" t="n">
        <v>46244</v>
      </c>
      <c r="E41" s="566" t="inlineStr">
        <is>
          <t>INR</t>
        </is>
      </c>
      <c r="F41" s="566" t="inlineStr">
        <is>
          <t>August four SIPs completed</t>
        </is>
      </c>
    </row>
    <row r="42" ht="15" customHeight="1" s="278">
      <c r="A42" s="566" t="inlineStr">
        <is>
          <t>Living cap to rent cheque</t>
        </is>
      </c>
      <c r="B42" s="566" t="n">
        <v>1095</v>
      </c>
      <c r="C42" s="566" t="inlineStr">
        <is>
          <t>Formula</t>
        </is>
      </c>
      <c r="D42" s="568" t="n">
        <v>46317</v>
      </c>
      <c r="E42" s="566" t="inlineStr">
        <is>
          <t>73 days × AED 15</t>
        </is>
      </c>
      <c r="F42" s="566" t="inlineStr">
        <is>
          <t>Cap, not target</t>
        </is>
      </c>
    </row>
    <row r="43" ht="15" customHeight="1" s="278">
      <c r="A43" s="566" t="inlineStr">
        <is>
          <t>Legend: blue text/yellow fill = editable assumption · green text = linked formula · black text = calculation · actual and estimated statuses must remain explicit.</t>
        </is>
      </c>
    </row>
    <row r="46" ht="19.5" customHeight="1" s="278">
      <c r="A46" s="382" t="inlineStr">
        <is>
          <t>ORIGINAL SHEET:  Monthly Plan</t>
        </is>
      </c>
      <c r="B46" s="287" t="n"/>
      <c r="C46" s="287" t="n"/>
      <c r="D46" s="287" t="n"/>
      <c r="E46" s="287" t="n"/>
      <c r="F46" s="287" t="n"/>
      <c r="G46" s="287" t="n"/>
      <c r="H46" s="287" t="n"/>
      <c r="I46" s="287" t="n"/>
      <c r="J46" s="287" t="n"/>
      <c r="K46" s="287" t="n"/>
      <c r="L46" s="287" t="n"/>
    </row>
    <row r="47" ht="15" customHeight="1" s="278">
      <c r="A47" s="566" t="inlineStr">
        <is>
          <t>Cash Flow to the October Rent Cheque</t>
        </is>
      </c>
    </row>
    <row r="48" ht="15" customHeight="1" s="278">
      <c r="A48" s="566" t="inlineStr">
        <is>
          <t>The model excludes the 26 Oct salary because the rent cheque clears on 22 Oct.</t>
        </is>
      </c>
    </row>
    <row r="49" ht="15" customHeight="1" s="278">
      <c r="A49" s="566" t="inlineStr">
        <is>
          <t>Cash flow</t>
        </is>
      </c>
      <c r="B49" s="566" t="inlineStr">
        <is>
          <t>Aug 2026E</t>
        </is>
      </c>
      <c r="C49" s="566" t="inlineStr">
        <is>
          <t>Sep 2026E</t>
        </is>
      </c>
      <c r="D49" s="566" t="inlineStr">
        <is>
          <t>Oct 1–22E</t>
        </is>
      </c>
      <c r="E49" s="566" t="inlineStr">
        <is>
          <t>Total</t>
        </is>
      </c>
      <c r="F49" s="566" t="inlineStr">
        <is>
          <t>Status</t>
        </is>
      </c>
      <c r="G49" s="566" t="inlineStr">
        <is>
          <t>Notes</t>
        </is>
      </c>
    </row>
    <row r="50" ht="15" customHeight="1" s="278">
      <c r="A50" s="566" t="inlineStr">
        <is>
          <t>Opening liquid cash</t>
        </is>
      </c>
      <c r="B50" s="567" t="n">
        <v>4277.19</v>
      </c>
      <c r="C50" s="567" t="n">
        <v>9248.65</v>
      </c>
      <c r="D50" s="567" t="n">
        <v>13213.28</v>
      </c>
      <c r="E50" s="567" t="n">
        <v>26739.12</v>
      </c>
      <c r="F50" s="566" t="inlineStr">
        <is>
          <t>Actual</t>
        </is>
      </c>
      <c r="G50" s="566" t="inlineStr">
        <is>
          <t>Confirmed balance</t>
        </is>
      </c>
    </row>
    <row r="51" ht="15" customHeight="1" s="278">
      <c r="A51" s="566" t="inlineStr">
        <is>
          <t>Rent refund</t>
        </is>
      </c>
      <c r="B51" s="566" t="n">
        <v>1430</v>
      </c>
      <c r="C51" s="566" t="n">
        <v>0</v>
      </c>
      <c r="D51" s="566" t="n">
        <v>0</v>
      </c>
      <c r="E51" s="566" t="n">
        <v>1430</v>
      </c>
      <c r="F51" s="566" t="inlineStr">
        <is>
          <t>Estimated</t>
        </is>
      </c>
      <c r="G51" s="566" t="inlineStr">
        <is>
          <t>Not counted until received</t>
        </is>
      </c>
    </row>
    <row r="52" ht="15" customHeight="1" s="278">
      <c r="A52" s="566" t="inlineStr">
        <is>
          <t>Pending early salary cash</t>
        </is>
      </c>
      <c r="B52" s="566" t="n">
        <v>1540</v>
      </c>
      <c r="C52" s="566" t="n">
        <v>0</v>
      </c>
      <c r="D52" s="566" t="n">
        <v>0</v>
      </c>
      <c r="E52" s="566" t="n">
        <v>1540</v>
      </c>
      <c r="F52" s="566" t="inlineStr">
        <is>
          <t>Estimated</t>
        </is>
      </c>
      <c r="G52" s="566" t="inlineStr">
        <is>
          <t>Not counted until received</t>
        </is>
      </c>
    </row>
    <row r="53" ht="15" customHeight="1" s="278">
      <c r="A53" s="566" t="inlineStr">
        <is>
          <t>Remaining Aug payday base</t>
        </is>
      </c>
      <c r="B53" s="567" t="n">
        <v>2634.88</v>
      </c>
      <c r="C53" s="566" t="n">
        <v>0</v>
      </c>
      <c r="D53" s="566" t="n">
        <v>0</v>
      </c>
      <c r="E53" s="567" t="n">
        <v>2634.88</v>
      </c>
      <c r="F53" s="566" t="inlineStr">
        <is>
          <t>Estimated</t>
        </is>
      </c>
      <c r="G53" s="566" t="inlineStr">
        <is>
          <t>Salary timing formula</t>
        </is>
      </c>
    </row>
    <row r="54" ht="15" customHeight="1" s="278">
      <c r="A54" s="566" t="inlineStr">
        <is>
          <t>Expected extra income</t>
        </is>
      </c>
      <c r="B54" s="566" t="n">
        <v>400</v>
      </c>
      <c r="C54" s="566" t="n">
        <v>0</v>
      </c>
      <c r="D54" s="566" t="n">
        <v>0</v>
      </c>
      <c r="E54" s="566" t="n">
        <v>400</v>
      </c>
      <c r="F54" s="566" t="inlineStr">
        <is>
          <t>Estimated</t>
        </is>
      </c>
      <c r="G54" s="566" t="inlineStr">
        <is>
          <t>Current expectation</t>
        </is>
      </c>
    </row>
    <row r="55" ht="15" customHeight="1" s="278">
      <c r="A55" s="566" t="inlineStr">
        <is>
          <t>September salary</t>
        </is>
      </c>
      <c r="B55" s="566" t="n">
        <v>0</v>
      </c>
      <c r="C55" s="567" t="n">
        <v>7914.88</v>
      </c>
      <c r="D55" s="566" t="n">
        <v>0</v>
      </c>
      <c r="E55" s="567" t="n">
        <v>7914.88</v>
      </c>
      <c r="F55" s="566" t="inlineStr">
        <is>
          <t>Estimated</t>
        </is>
      </c>
      <c r="G55" s="566" t="inlineStr">
        <is>
          <t>26 Sep salary available before rent</t>
        </is>
      </c>
    </row>
    <row r="56" ht="15" customHeight="1" s="278">
      <c r="A56" s="566" t="inlineStr">
        <is>
          <t>Total available</t>
        </is>
      </c>
      <c r="B56" s="567" t="n">
        <v>10282.07</v>
      </c>
      <c r="C56" s="567" t="n">
        <v>17163.53</v>
      </c>
      <c r="D56" s="567" t="n">
        <v>13213.28</v>
      </c>
      <c r="E56" s="567" t="n">
        <v>40658.88</v>
      </c>
      <c r="F56" s="566" t="inlineStr">
        <is>
          <t>Formula</t>
        </is>
      </c>
      <c r="G56" s="566" t="inlineStr">
        <is>
          <t>Opening + inflows</t>
        </is>
      </c>
    </row>
    <row r="57" ht="15" customHeight="1" s="278">
      <c r="A57" s="566" t="inlineStr">
        <is>
          <t>DEWA</t>
        </is>
      </c>
      <c r="B57" s="567" t="n">
        <v>793.42</v>
      </c>
      <c r="C57" s="567" t="n">
        <v>793.42</v>
      </c>
      <c r="D57" s="567" t="n">
        <v>793.42</v>
      </c>
      <c r="E57" s="567" t="n">
        <v>2380.26</v>
      </c>
      <c r="F57" s="566" t="inlineStr">
        <is>
          <t>Estimated</t>
        </is>
      </c>
      <c r="G57" s="566" t="inlineStr">
        <is>
          <t>Aug, Sep and Oct baseline</t>
        </is>
      </c>
    </row>
    <row r="58" ht="15" customHeight="1" s="278">
      <c r="A58" s="566" t="inlineStr">
        <is>
          <t>du</t>
        </is>
      </c>
      <c r="B58" s="566" t="n">
        <v>0</v>
      </c>
      <c r="C58" s="567" t="n">
        <v>590.98</v>
      </c>
      <c r="D58" s="567" t="n">
        <v>590.98</v>
      </c>
      <c r="E58" s="567" t="n">
        <v>1181.96</v>
      </c>
      <c r="F58" s="566" t="inlineStr">
        <is>
          <t>Estimated</t>
        </is>
      </c>
      <c r="G58" s="566" t="inlineStr">
        <is>
          <t>Sep and Oct cycles</t>
        </is>
      </c>
    </row>
    <row r="59" ht="15" customHeight="1" s="278">
      <c r="A59" s="566" t="inlineStr">
        <is>
          <t>Etisalat</t>
        </is>
      </c>
      <c r="B59" s="566" t="n">
        <v>0</v>
      </c>
      <c r="C59" s="567" t="n">
        <v>323.95</v>
      </c>
      <c r="D59" s="567" t="n">
        <v>323.95</v>
      </c>
      <c r="E59" s="567" t="n">
        <v>647.9</v>
      </c>
      <c r="F59" s="566" t="inlineStr">
        <is>
          <t>Estimated</t>
        </is>
      </c>
      <c r="G59" s="566" t="inlineStr">
        <is>
          <t>Sep and Oct cycles</t>
        </is>
      </c>
    </row>
    <row r="60" ht="15" customHeight="1" s="278">
      <c r="A60" s="566" t="inlineStr">
        <is>
          <t>Tabby no-fee minimum</t>
        </is>
      </c>
      <c r="B60" s="566" t="n">
        <v>0</v>
      </c>
      <c r="C60" s="567" t="n">
        <v>1314.5</v>
      </c>
      <c r="D60" s="566" t="n">
        <v>0</v>
      </c>
      <c r="E60" s="567" t="n">
        <v>1314.5</v>
      </c>
      <c r="F60" s="566" t="inlineStr">
        <is>
          <t>Actual statement</t>
        </is>
      </c>
      <c r="G60" s="566" t="inlineStr">
        <is>
          <t>Recommended no-fee option</t>
        </is>
      </c>
    </row>
    <row r="61" ht="15" customHeight="1" s="278">
      <c r="A61" s="566" t="inlineStr">
        <is>
          <t>Nippon SIP funding</t>
        </is>
      </c>
      <c r="B61" s="566" t="n">
        <v>0</v>
      </c>
      <c r="C61" s="567" t="n">
        <v>462.4</v>
      </c>
      <c r="D61" s="567" t="n">
        <v>462.4</v>
      </c>
      <c r="E61" s="567" t="n">
        <v>924.8</v>
      </c>
      <c r="F61" s="566" t="inlineStr">
        <is>
          <t>Estimated</t>
        </is>
      </c>
      <c r="G61" s="566" t="inlineStr">
        <is>
          <t>Sep and Oct funding</t>
        </is>
      </c>
    </row>
    <row r="62" ht="15" customHeight="1" s="278">
      <c r="A62" s="566" t="inlineStr">
        <is>
          <t>Living allowance</t>
        </is>
      </c>
      <c r="B62" s="566" t="n">
        <v>240</v>
      </c>
      <c r="C62" s="566" t="n">
        <v>465</v>
      </c>
      <c r="D62" s="566" t="n">
        <v>390</v>
      </c>
      <c r="E62" s="566" t="n">
        <v>1095</v>
      </c>
      <c r="F62" s="566" t="inlineStr">
        <is>
          <t>Control cap</t>
        </is>
      </c>
      <c r="G62" s="566" t="inlineStr">
        <is>
          <t>AED 240 + 465 + 390</t>
        </is>
      </c>
    </row>
    <row r="63" ht="15" customHeight="1" s="278">
      <c r="A63" s="566" t="inlineStr">
        <is>
          <t>Rent cheque</t>
        </is>
      </c>
      <c r="B63" s="566" t="n">
        <v>0</v>
      </c>
      <c r="C63" s="566" t="n">
        <v>0</v>
      </c>
      <c r="D63" s="566" t="n">
        <v>11750</v>
      </c>
      <c r="E63" s="566" t="n">
        <v>11750</v>
      </c>
      <c r="F63" s="566" t="inlineStr">
        <is>
          <t>Actual</t>
        </is>
      </c>
      <c r="G63" s="566" t="inlineStr">
        <is>
          <t>Due 22 Oct</t>
        </is>
      </c>
    </row>
    <row r="64" ht="15" customHeight="1" s="278">
      <c r="A64" s="566" t="inlineStr">
        <is>
          <t>Emergency protected</t>
        </is>
      </c>
      <c r="B64" s="566" t="n">
        <v>0</v>
      </c>
      <c r="C64" s="566" t="n">
        <v>0</v>
      </c>
      <c r="D64" s="567" t="n">
        <v>7.67</v>
      </c>
      <c r="E64" s="567" t="n">
        <v>7.67</v>
      </c>
      <c r="F64" s="566" t="inlineStr">
        <is>
          <t>Actual</t>
        </is>
      </c>
      <c r="G64" s="566" t="inlineStr">
        <is>
          <t>Protected</t>
        </is>
      </c>
    </row>
    <row r="65" ht="15" customHeight="1" s="278">
      <c r="A65" s="566" t="inlineStr">
        <is>
          <t>Total requirements</t>
        </is>
      </c>
      <c r="B65" s="567" t="n">
        <v>1033.42</v>
      </c>
      <c r="C65" s="567" t="n">
        <v>3950.25</v>
      </c>
      <c r="D65" s="567" t="n">
        <v>14318.42</v>
      </c>
      <c r="E65" s="567" t="n">
        <v>19302.09</v>
      </c>
      <c r="F65" s="566" t="inlineStr">
        <is>
          <t>Formula</t>
        </is>
      </c>
      <c r="G65" s="566" t="inlineStr">
        <is>
          <t>Costs + protected amounts</t>
        </is>
      </c>
    </row>
    <row r="66" ht="15" customHeight="1" s="278">
      <c r="A66" s="566" t="inlineStr">
        <is>
          <t>Closing cash / gap</t>
        </is>
      </c>
      <c r="B66" s="567" t="n">
        <v>9248.65</v>
      </c>
      <c r="C66" s="567" t="n">
        <v>13213.28</v>
      </c>
      <c r="D66" s="567" t="n">
        <v>-1105.14</v>
      </c>
      <c r="E66" s="567" t="n">
        <v>-1105.14</v>
      </c>
      <c r="F66" s="566" t="inlineStr">
        <is>
          <t>Formula</t>
        </is>
      </c>
      <c r="G66" s="566" t="inlineStr">
        <is>
          <t>Monthly roll-forward</t>
        </is>
      </c>
    </row>
    <row r="67" ht="15" customHeight="1" s="278">
      <c r="A67" s="566" t="inlineStr">
        <is>
          <t>Rent money before cheque</t>
        </is>
      </c>
      <c r="B67" s="566" t="n">
        <v>0</v>
      </c>
      <c r="C67" s="566" t="n">
        <v>0</v>
      </c>
      <c r="D67" s="567" t="n">
        <v>10644.86</v>
      </c>
      <c r="E67" s="567" t="n">
        <v>10644.86</v>
      </c>
      <c r="F67" s="566" t="inlineStr">
        <is>
          <t>Formula</t>
        </is>
      </c>
      <c r="G67" s="566" t="inlineStr">
        <is>
          <t>Money available for cheque</t>
        </is>
      </c>
    </row>
    <row r="68" ht="15" customHeight="1" s="278">
      <c r="A68" s="566" t="inlineStr">
        <is>
          <t>Rent shortfall</t>
        </is>
      </c>
      <c r="B68" s="566" t="n">
        <v>0</v>
      </c>
      <c r="C68" s="566" t="n">
        <v>0</v>
      </c>
      <c r="D68" s="567" t="n">
        <v>1105.14</v>
      </c>
      <c r="E68" s="567" t="n">
        <v>1105.14</v>
      </c>
      <c r="F68" s="566" t="inlineStr">
        <is>
          <t>SHORTFALL</t>
        </is>
      </c>
      <c r="G68" s="566" t="inlineStr">
        <is>
          <t>Must be eliminated</t>
        </is>
      </c>
    </row>
    <row r="71" ht="19.5" customHeight="1" s="278">
      <c r="A71" s="382" t="inlineStr">
        <is>
          <t>ORIGINAL SHEET:  Rent Closure</t>
        </is>
      </c>
      <c r="B71" s="287" t="n"/>
      <c r="C71" s="287" t="n"/>
      <c r="D71" s="287" t="n"/>
      <c r="E71" s="287" t="n"/>
      <c r="F71" s="287" t="n"/>
      <c r="G71" s="287" t="n"/>
      <c r="H71" s="287" t="n"/>
      <c r="I71" s="287" t="n"/>
      <c r="J71" s="287" t="n"/>
      <c r="K71" s="287" t="n"/>
      <c r="L71" s="287" t="n"/>
    </row>
    <row r="72" ht="15" customHeight="1" s="278">
      <c r="A72" s="566" t="inlineStr">
        <is>
          <t>October Rent — Zero-Gap Control Plan</t>
        </is>
      </c>
    </row>
    <row r="73" ht="15" customHeight="1" s="278">
      <c r="A73" s="566" t="inlineStr">
        <is>
          <t>A zero result is a conditional plan, not a claim that pending inflows are already banked.</t>
        </is>
      </c>
    </row>
    <row r="74" ht="15" customHeight="1" s="278">
      <c r="A74" s="566" t="inlineStr">
        <is>
          <t>RECONCILED RENT POSITION</t>
        </is>
      </c>
    </row>
    <row r="75" ht="15" customHeight="1" s="278">
      <c r="A75" s="566" t="inlineStr">
        <is>
          <t>Step</t>
        </is>
      </c>
      <c r="B75" s="566" t="inlineStr">
        <is>
          <t>Amount</t>
        </is>
      </c>
      <c r="C75" s="566" t="inlineStr">
        <is>
          <t>Running gap</t>
        </is>
      </c>
      <c r="D75" s="566" t="inlineStr">
        <is>
          <t>Status</t>
        </is>
      </c>
      <c r="E75" s="566" t="inlineStr">
        <is>
          <t>Deadline</t>
        </is>
      </c>
      <c r="F75" s="566" t="inlineStr">
        <is>
          <t>Owner action</t>
        </is>
      </c>
      <c r="G75" s="566" t="inlineStr">
        <is>
          <t>Evidence rule</t>
        </is>
      </c>
    </row>
    <row r="76" ht="15" customHeight="1" s="278">
      <c r="A76" s="566" t="inlineStr">
        <is>
          <t>Projected shortfall before closure actions</t>
        </is>
      </c>
      <c r="B76" s="567" t="n">
        <v>1105.14</v>
      </c>
      <c r="C76" s="567" t="n">
        <v>1105.14</v>
      </c>
      <c r="D76" s="566" t="inlineStr">
        <is>
          <t>Open risk</t>
        </is>
      </c>
      <c r="E76" s="568" t="n">
        <v>46316</v>
      </c>
      <c r="F76" s="566" t="inlineStr">
        <is>
          <t>Do not spend against pending money</t>
        </is>
      </c>
      <c r="G76" s="566" t="inlineStr">
        <is>
          <t>Current projection</t>
        </is>
      </c>
    </row>
    <row r="77" ht="15" customHeight="1" s="278">
      <c r="A77" s="566" t="inlineStr">
        <is>
          <t>Reach AED 8,800 August income</t>
        </is>
      </c>
      <c r="B77" s="567" t="n">
        <v>225.119999999999</v>
      </c>
      <c r="C77" s="567" t="n">
        <v>880.020000000002</v>
      </c>
      <c r="D77" s="566" t="inlineStr">
        <is>
          <t>Target</t>
        </is>
      </c>
      <c r="E77" s="568" t="n">
        <v>46265</v>
      </c>
      <c r="F77" s="566" t="inlineStr">
        <is>
          <t>Find AED 225.12 above current expected plan</t>
        </is>
      </c>
      <c r="G77" s="566" t="inlineStr">
        <is>
          <t>Only confirmed receipts count</t>
        </is>
      </c>
    </row>
    <row r="78" ht="15" customHeight="1" s="278">
      <c r="A78" s="566" t="inlineStr">
        <is>
          <t>Additional rent income</t>
        </is>
      </c>
      <c r="B78" s="566" t="n">
        <v>600</v>
      </c>
      <c r="C78" s="567" t="n">
        <v>280.020000000002</v>
      </c>
      <c r="D78" s="566" t="inlineStr">
        <is>
          <t>Required</t>
        </is>
      </c>
      <c r="E78" s="568" t="n">
        <v>46295</v>
      </c>
      <c r="F78" s="566" t="inlineStr">
        <is>
          <t>Generate confirmed side income</t>
        </is>
      </c>
      <c r="G78" s="566" t="inlineStr">
        <is>
          <t>Only banked cash counts</t>
        </is>
      </c>
    </row>
    <row r="79" ht="15" customHeight="1" s="278">
      <c r="A79" s="566" t="inlineStr">
        <is>
          <t>Reduce living allowance</t>
        </is>
      </c>
      <c r="B79" s="567" t="n">
        <v>280.020000000002</v>
      </c>
      <c r="C79" s="566" t="n">
        <v>0</v>
      </c>
      <c r="D79" s="566" t="inlineStr">
        <is>
          <t>Required</t>
        </is>
      </c>
      <c r="E79" s="568" t="n">
        <v>46316</v>
      </c>
      <c r="F79" s="566" t="inlineStr">
        <is>
          <t>Keep total living at or below revised cap</t>
        </is>
      </c>
      <c r="G79" s="566" t="inlineStr">
        <is>
          <t>Ledger spending must tie</t>
        </is>
      </c>
    </row>
    <row r="80" ht="15" customHeight="1" s="278">
      <c r="A80" s="566" t="inlineStr">
        <is>
          <t>FINAL PROJECTED GAP</t>
        </is>
      </c>
      <c r="B80" s="566" t="n">
        <v>0</v>
      </c>
      <c r="C80" s="566" t="n">
        <v>0</v>
      </c>
      <c r="D80" s="566" t="inlineStr">
        <is>
          <t>Must equal zero</t>
        </is>
      </c>
      <c r="E80" s="568" t="n">
        <v>46316</v>
      </c>
      <c r="F80" s="566" t="inlineStr">
        <is>
          <t>Fund rent vault in full</t>
        </is>
      </c>
      <c r="G80" s="566" t="inlineStr">
        <is>
          <t>No reliance on 26 Oct salary</t>
        </is>
      </c>
    </row>
    <row r="81" ht="15" customHeight="1" s="278">
      <c r="A81" s="566" t="inlineStr">
        <is>
          <t>Revised living cap to 22 Oct</t>
        </is>
      </c>
      <c r="B81" s="567" t="n">
        <v>814.979999999998</v>
      </c>
      <c r="C81" s="566" t="n">
        <v>0</v>
      </c>
      <c r="D81" s="566" t="inlineStr">
        <is>
          <t>Control</t>
        </is>
      </c>
      <c r="E81" s="568" t="n">
        <v>46316</v>
      </c>
      <c r="F81" s="566" t="inlineStr">
        <is>
          <t>Average about AED 11/day</t>
        </is>
      </c>
      <c r="G81" s="566" t="inlineStr">
        <is>
          <t>Cap, not spending target</t>
        </is>
      </c>
    </row>
    <row r="82" ht="15" customHeight="1" s="278">
      <c r="A82" s="566" t="inlineStr">
        <is>
          <t>RENT VAULT MILESTONES</t>
        </is>
      </c>
    </row>
    <row r="83" ht="15" customHeight="1" s="278">
      <c r="A83" s="566" t="inlineStr">
        <is>
          <t>Funding step</t>
        </is>
      </c>
      <c r="B83" s="566" t="inlineStr">
        <is>
          <t>Amount</t>
        </is>
      </c>
      <c r="C83" s="566" t="inlineStr">
        <is>
          <t>Running rent funding</t>
        </is>
      </c>
      <c r="D83" s="566" t="inlineStr">
        <is>
          <t>Status</t>
        </is>
      </c>
      <c r="E83" s="566" t="inlineStr">
        <is>
          <t>Deadline</t>
        </is>
      </c>
      <c r="F83" s="566" t="inlineStr">
        <is>
          <t>Evidence rule</t>
        </is>
      </c>
      <c r="G83" s="566" t="inlineStr">
        <is>
          <t>Control note</t>
        </is>
      </c>
    </row>
    <row r="84" ht="15" customHeight="1" s="278">
      <c r="A84" s="566" t="inlineStr">
        <is>
          <t>Base projected rent money</t>
        </is>
      </c>
      <c r="B84" s="567" t="n">
        <v>10644.86</v>
      </c>
      <c r="C84" s="567" t="n">
        <v>10644.86</v>
      </c>
      <c r="D84" s="566" t="inlineStr">
        <is>
          <t>Projected</t>
        </is>
      </c>
      <c r="E84" s="568" t="n">
        <v>46316</v>
      </c>
      <c r="F84" s="566" t="inlineStr">
        <is>
          <t>Monthly Plan projection</t>
        </is>
      </c>
      <c r="G84" s="566" t="inlineStr">
        <is>
          <t>Before closure actions</t>
        </is>
      </c>
    </row>
    <row r="85" ht="15" customHeight="1" s="278">
      <c r="A85" s="566" t="inlineStr">
        <is>
          <t>Reach AED 8,800 August income</t>
        </is>
      </c>
      <c r="B85" s="567" t="n">
        <v>225.119999999999</v>
      </c>
      <c r="C85" s="567" t="n">
        <v>10869.98</v>
      </c>
      <c r="D85" s="566" t="inlineStr">
        <is>
          <t>Required</t>
        </is>
      </c>
      <c r="E85" s="568" t="n">
        <v>46265</v>
      </c>
      <c r="F85" s="566" t="inlineStr">
        <is>
          <t>Confirmed receipts only</t>
        </is>
      </c>
      <c r="G85" s="566" t="inlineStr">
        <is>
          <t>AED 225.12 target uplift</t>
        </is>
      </c>
    </row>
    <row r="86" ht="15" customHeight="1" s="278">
      <c r="A86" s="566" t="inlineStr">
        <is>
          <t>Additional rent income</t>
        </is>
      </c>
      <c r="B86" s="566" t="n">
        <v>600</v>
      </c>
      <c r="C86" s="567" t="n">
        <v>11469.98</v>
      </c>
      <c r="D86" s="566" t="inlineStr">
        <is>
          <t>Required</t>
        </is>
      </c>
      <c r="E86" s="568" t="n">
        <v>46295</v>
      </c>
      <c r="F86" s="566" t="inlineStr">
        <is>
          <t>Banked cash only</t>
        </is>
      </c>
      <c r="G86" s="566" t="inlineStr">
        <is>
          <t>AED 600 rent-only income</t>
        </is>
      </c>
    </row>
    <row r="87" ht="15" customHeight="1" s="278">
      <c r="A87" s="566" t="inlineStr">
        <is>
          <t>Living-cost reduction</t>
        </is>
      </c>
      <c r="B87" s="567" t="n">
        <v>280.020000000002</v>
      </c>
      <c r="C87" s="566" t="n">
        <v>11750</v>
      </c>
      <c r="D87" s="566" t="inlineStr">
        <is>
          <t>Required</t>
        </is>
      </c>
      <c r="E87" s="568" t="n">
        <v>46316</v>
      </c>
      <c r="F87" s="566" t="inlineStr">
        <is>
          <t>Ledger must stay within cap</t>
        </is>
      </c>
      <c r="G87" s="566" t="inlineStr">
        <is>
          <t>AED 280.02 below old cap</t>
        </is>
      </c>
    </row>
    <row r="88" ht="15" customHeight="1" s="278">
      <c r="A88" s="566" t="inlineStr">
        <is>
          <t>FINAL RENT FUNDING</t>
        </is>
      </c>
      <c r="B88" s="566" t="n">
        <v>0</v>
      </c>
      <c r="C88" s="566" t="n">
        <v>11750</v>
      </c>
      <c r="D88" s="566" t="inlineStr">
        <is>
          <t>Must equal cheque</t>
        </is>
      </c>
      <c r="E88" s="566" t="n">
        <v>46316</v>
      </c>
      <c r="F88" s="566" t="inlineStr">
        <is>
          <t>All controls completed</t>
        </is>
      </c>
      <c r="G88" s="566" t="inlineStr">
        <is>
          <t>Must reconcile to AED 11,750</t>
        </is>
      </c>
    </row>
    <row r="89" ht="15" customHeight="1" s="278">
      <c r="A89" s="566" t="inlineStr">
        <is>
          <t>Contingency: if the AED 1,430 refund fails, the shortfall increases by AED 1,430. If the AED 1,540 pending salary cash fails, it increases by AED 1,540. If both fail, the plan requires AED 2,970 more than shown. Never release rent money against an unconfirmed inflow.</t>
        </is>
      </c>
    </row>
    <row r="92" ht="19.5" customHeight="1" s="278">
      <c r="A92" s="382" t="inlineStr">
        <is>
          <t>ORIGINAL SHEET:  Obligations</t>
        </is>
      </c>
      <c r="B92" s="287" t="n"/>
      <c r="C92" s="287" t="n"/>
      <c r="D92" s="287" t="n"/>
      <c r="E92" s="287" t="n"/>
      <c r="F92" s="287" t="n"/>
      <c r="G92" s="287" t="n"/>
      <c r="H92" s="287" t="n"/>
      <c r="I92" s="287" t="n"/>
      <c r="J92" s="287" t="n"/>
      <c r="K92" s="287" t="n"/>
      <c r="L92" s="287" t="n"/>
    </row>
    <row r="93" ht="15" customHeight="1" s="278">
      <c r="A93" s="566" t="inlineStr">
        <is>
          <t>Bills, Debt and Recurring Commitments</t>
        </is>
      </c>
    </row>
    <row r="94" ht="15" customHeight="1" s="278">
      <c r="A94" s="566" t="inlineStr">
        <is>
          <t>Paid items are shown once. Estimated recurring bills must be replaced when actual bills arrive.</t>
        </is>
      </c>
    </row>
    <row r="95" ht="15" customHeight="1" s="278">
      <c r="A95" s="566" t="inlineStr">
        <is>
          <t>Due date</t>
        </is>
      </c>
      <c r="B95" s="566" t="inlineStr">
        <is>
          <t>Item</t>
        </is>
      </c>
      <c r="C95" s="566" t="inlineStr">
        <is>
          <t>Amount</t>
        </is>
      </c>
      <c r="D95" s="566" t="inlineStr">
        <is>
          <t>Currency</t>
        </is>
      </c>
      <c r="E95" s="566" t="inlineStr">
        <is>
          <t>Actual / estimate</t>
        </is>
      </c>
      <c r="F95" s="566" t="inlineStr">
        <is>
          <t>Recurrence</t>
        </is>
      </c>
      <c r="G95" s="566" t="inlineStr">
        <is>
          <t>Priority</t>
        </is>
      </c>
      <c r="H95" s="566" t="inlineStr">
        <is>
          <t>Control note</t>
        </is>
      </c>
    </row>
    <row r="96" ht="15" customHeight="1" s="278">
      <c r="A96" s="568" t="n">
        <v>46229</v>
      </c>
      <c r="B96" s="566" t="inlineStr">
        <is>
          <t>DEWA July paid</t>
        </is>
      </c>
      <c r="C96" s="567" t="n">
        <v>793.42</v>
      </c>
      <c r="D96" s="566" t="inlineStr">
        <is>
          <t>AED</t>
        </is>
      </c>
      <c r="E96" s="566" t="inlineStr">
        <is>
          <t>Actual paid</t>
        </is>
      </c>
      <c r="F96" s="566" t="inlineStr">
        <is>
          <t>Monthly</t>
        </is>
      </c>
      <c r="G96" s="566" t="inlineStr">
        <is>
          <t>Essential</t>
        </is>
      </c>
      <c r="H96" s="566" t="inlineStr">
        <is>
          <t>Do not deduct again</t>
        </is>
      </c>
    </row>
    <row r="97" ht="15" customHeight="1" s="278">
      <c r="A97" s="568" t="n">
        <v>46237</v>
      </c>
      <c r="B97" s="566" t="inlineStr">
        <is>
          <t>du August paid</t>
        </is>
      </c>
      <c r="C97" s="567" t="n">
        <v>590.98</v>
      </c>
      <c r="D97" s="566" t="inlineStr">
        <is>
          <t>AED</t>
        </is>
      </c>
      <c r="E97" s="566" t="inlineStr">
        <is>
          <t>Actual paid</t>
        </is>
      </c>
      <c r="F97" s="566" t="inlineStr">
        <is>
          <t>Monthly</t>
        </is>
      </c>
      <c r="G97" s="566" t="inlineStr">
        <is>
          <t>Essential</t>
        </is>
      </c>
      <c r="H97" s="566" t="inlineStr">
        <is>
          <t>Next estimate 03 Sep</t>
        </is>
      </c>
    </row>
    <row r="98" ht="15" customHeight="1" s="278">
      <c r="A98" s="568" t="n">
        <v>46237</v>
      </c>
      <c r="B98" s="566" t="inlineStr">
        <is>
          <t>Etisalat August paid</t>
        </is>
      </c>
      <c r="C98" s="567" t="n">
        <v>323.95</v>
      </c>
      <c r="D98" s="566" t="inlineStr">
        <is>
          <t>AED</t>
        </is>
      </c>
      <c r="E98" s="566" t="inlineStr">
        <is>
          <t>Actual paid</t>
        </is>
      </c>
      <c r="F98" s="566" t="inlineStr">
        <is>
          <t>Monthly</t>
        </is>
      </c>
      <c r="G98" s="566" t="inlineStr">
        <is>
          <t>Essential</t>
        </is>
      </c>
      <c r="H98" s="566" t="inlineStr">
        <is>
          <t>Next estimate 03 Sep</t>
        </is>
      </c>
    </row>
    <row r="99" ht="15" customHeight="1" s="278">
      <c r="A99" s="568" t="n">
        <v>46244</v>
      </c>
      <c r="B99" s="566" t="inlineStr">
        <is>
          <t>Four Nippon SIPs</t>
        </is>
      </c>
      <c r="C99" s="566" t="n">
        <v>12000</v>
      </c>
      <c r="D99" s="566" t="inlineStr">
        <is>
          <t>INR</t>
        </is>
      </c>
      <c r="E99" s="566" t="inlineStr">
        <is>
          <t>Actual completed</t>
        </is>
      </c>
      <c r="F99" s="566" t="inlineStr">
        <is>
          <t>Monthly</t>
        </is>
      </c>
      <c r="G99" s="566" t="inlineStr">
        <is>
          <t>Core investment</t>
        </is>
      </c>
      <c r="H99" s="566" t="inlineStr">
        <is>
          <t>Do not retry</t>
        </is>
      </c>
    </row>
    <row r="100" ht="15" customHeight="1" s="278">
      <c r="A100" s="568" t="n">
        <v>46254</v>
      </c>
      <c r="B100" s="566" t="inlineStr">
        <is>
          <t>DEWA August</t>
        </is>
      </c>
      <c r="C100" s="567" t="n">
        <v>793.42</v>
      </c>
      <c r="D100" s="566" t="inlineStr">
        <is>
          <t>AED</t>
        </is>
      </c>
      <c r="E100" s="566" t="inlineStr">
        <is>
          <t>Estimated</t>
        </is>
      </c>
      <c r="F100" s="566" t="inlineStr">
        <is>
          <t>Monthly</t>
        </is>
      </c>
      <c r="G100" s="566" t="inlineStr">
        <is>
          <t>Essential</t>
        </is>
      </c>
      <c r="H100" s="566" t="inlineStr">
        <is>
          <t>Replace after bill arrives</t>
        </is>
      </c>
    </row>
    <row r="101" ht="15" customHeight="1" s="278">
      <c r="A101" s="568" t="n">
        <v>46260</v>
      </c>
      <c r="B101" s="566" t="inlineStr">
        <is>
          <t>Rent refund</t>
        </is>
      </c>
      <c r="C101" s="566" t="n">
        <v>1430</v>
      </c>
      <c r="D101" s="566" t="inlineStr">
        <is>
          <t>AED</t>
        </is>
      </c>
      <c r="E101" s="566" t="inlineStr">
        <is>
          <t>Estimated inflow</t>
        </is>
      </c>
      <c r="F101" s="566" t="inlineStr">
        <is>
          <t>None</t>
        </is>
      </c>
      <c r="G101" s="566" t="inlineStr">
        <is>
          <t>Critical</t>
        </is>
      </c>
      <c r="H101" s="566" t="inlineStr">
        <is>
          <t>Rent-only once received</t>
        </is>
      </c>
    </row>
    <row r="102" ht="15" customHeight="1" s="278">
      <c r="A102" s="568" t="n">
        <v>46260</v>
      </c>
      <c r="B102" s="566" t="inlineStr">
        <is>
          <t>Pending early salary cash</t>
        </is>
      </c>
      <c r="C102" s="566" t="n">
        <v>1540</v>
      </c>
      <c r="D102" s="566" t="inlineStr">
        <is>
          <t>AED</t>
        </is>
      </c>
      <c r="E102" s="566" t="inlineStr">
        <is>
          <t>Estimated inflow</t>
        </is>
      </c>
      <c r="F102" s="566" t="inlineStr">
        <is>
          <t>None</t>
        </is>
      </c>
      <c r="G102" s="566" t="inlineStr">
        <is>
          <t>Critical</t>
        </is>
      </c>
      <c r="H102" s="566" t="inlineStr">
        <is>
          <t>Not cash until received</t>
        </is>
      </c>
    </row>
    <row r="103" ht="15" customHeight="1" s="278">
      <c r="A103" s="568" t="n">
        <v>46268</v>
      </c>
      <c r="B103" s="566" t="inlineStr">
        <is>
          <t>Tabby no-fee minimum</t>
        </is>
      </c>
      <c r="C103" s="567" t="n">
        <v>1314.5</v>
      </c>
      <c r="D103" s="566" t="inlineStr">
        <is>
          <t>AED</t>
        </is>
      </c>
      <c r="E103" s="566" t="inlineStr">
        <is>
          <t>Actual statement option</t>
        </is>
      </c>
      <c r="F103" s="566" t="inlineStr">
        <is>
          <t>None</t>
        </is>
      </c>
      <c r="G103" s="566" t="inlineStr">
        <is>
          <t>Essential</t>
        </is>
      </c>
      <c r="H103" s="566" t="inlineStr">
        <is>
          <t>Recommended; card frozen</t>
        </is>
      </c>
    </row>
    <row r="104" ht="15" customHeight="1" s="278">
      <c r="A104" s="568" t="n">
        <v>46268</v>
      </c>
      <c r="B104" s="566" t="inlineStr">
        <is>
          <t>du</t>
        </is>
      </c>
      <c r="C104" s="567" t="n">
        <v>590.98</v>
      </c>
      <c r="D104" s="566" t="inlineStr">
        <is>
          <t>AED</t>
        </is>
      </c>
      <c r="E104" s="566" t="inlineStr">
        <is>
          <t>Estimated</t>
        </is>
      </c>
      <c r="F104" s="566" t="inlineStr">
        <is>
          <t>Monthly</t>
        </is>
      </c>
      <c r="G104" s="566" t="inlineStr">
        <is>
          <t>Essential</t>
        </is>
      </c>
      <c r="H104" s="566" t="inlineStr">
        <is>
          <t>Recurring baseline</t>
        </is>
      </c>
    </row>
    <row r="105" ht="15" customHeight="1" s="278">
      <c r="A105" s="568" t="n">
        <v>46268</v>
      </c>
      <c r="B105" s="566" t="inlineStr">
        <is>
          <t>Etisalat</t>
        </is>
      </c>
      <c r="C105" s="567" t="n">
        <v>323.95</v>
      </c>
      <c r="D105" s="566" t="inlineStr">
        <is>
          <t>AED</t>
        </is>
      </c>
      <c r="E105" s="566" t="inlineStr">
        <is>
          <t>Estimated</t>
        </is>
      </c>
      <c r="F105" s="566" t="inlineStr">
        <is>
          <t>Monthly</t>
        </is>
      </c>
      <c r="G105" s="566" t="inlineStr">
        <is>
          <t>Essential</t>
        </is>
      </c>
      <c r="H105" s="566" t="inlineStr">
        <is>
          <t>Recurring baseline</t>
        </is>
      </c>
    </row>
    <row r="106" ht="15" customHeight="1" s="278">
      <c r="A106" s="568" t="n">
        <v>46275</v>
      </c>
      <c r="B106" s="566" t="inlineStr">
        <is>
          <t>Nippon SIP funding</t>
        </is>
      </c>
      <c r="C106" s="567" t="n">
        <v>462.4</v>
      </c>
      <c r="D106" s="566" t="inlineStr">
        <is>
          <t>AED</t>
        </is>
      </c>
      <c r="E106" s="566" t="inlineStr">
        <is>
          <t>Estimated</t>
        </is>
      </c>
      <c r="F106" s="566" t="inlineStr">
        <is>
          <t>Monthly</t>
        </is>
      </c>
      <c r="G106" s="566" t="inlineStr">
        <is>
          <t>Core investment</t>
        </is>
      </c>
      <c r="H106" s="566" t="inlineStr">
        <is>
          <t>₹12,000</t>
        </is>
      </c>
    </row>
    <row r="107" ht="15" customHeight="1" s="278">
      <c r="A107" s="568" t="n">
        <v>46317</v>
      </c>
      <c r="B107" s="566" t="inlineStr">
        <is>
          <t>Rent cheque</t>
        </is>
      </c>
      <c r="C107" s="566" t="n">
        <v>11750</v>
      </c>
      <c r="D107" s="566" t="inlineStr">
        <is>
          <t>AED</t>
        </is>
      </c>
      <c r="E107" s="566" t="inlineStr">
        <is>
          <t>Actual</t>
        </is>
      </c>
      <c r="F107" s="566" t="inlineStr">
        <is>
          <t>None</t>
        </is>
      </c>
      <c r="G107" s="566" t="inlineStr">
        <is>
          <t>Critical</t>
        </is>
      </c>
      <c r="H107" s="566" t="inlineStr">
        <is>
          <t>Fully fund by 21 Oct</t>
        </is>
      </c>
    </row>
    <row r="110" ht="19.5" customHeight="1" s="278">
      <c r="A110" s="382" t="inlineStr">
        <is>
          <t>ORIGINAL SHEET:  Investments</t>
        </is>
      </c>
      <c r="B110" s="287" t="n"/>
      <c r="C110" s="287" t="n"/>
      <c r="D110" s="287" t="n"/>
      <c r="E110" s="287" t="n"/>
      <c r="F110" s="287" t="n"/>
      <c r="G110" s="287" t="n"/>
      <c r="H110" s="287" t="n"/>
      <c r="I110" s="287" t="n"/>
      <c r="J110" s="287" t="n"/>
      <c r="K110" s="287" t="n"/>
      <c r="L110" s="287" t="n"/>
    </row>
    <row r="111" ht="15" customHeight="1" s="278">
      <c r="A111" s="566" t="inlineStr">
        <is>
          <t>Investment Portfolio</t>
        </is>
      </c>
    </row>
    <row r="112" ht="15" customHeight="1" s="278">
      <c r="A112" s="566" t="inlineStr">
        <is>
          <t>MF Central snapshot dated 10 Aug 2026 after the four ₹3,000 Nippon SIPs.</t>
        </is>
      </c>
    </row>
    <row r="113" ht="15" customHeight="1" s="278">
      <c r="A113" s="566" t="inlineStr">
        <is>
          <t>Fund</t>
        </is>
      </c>
      <c r="B113" s="566" t="inlineStr">
        <is>
          <t>Fund house</t>
        </is>
      </c>
      <c r="C113" s="566" t="inlineStr">
        <is>
          <t>Units</t>
        </is>
      </c>
      <c r="D113" s="566" t="inlineStr">
        <is>
          <t>Cost</t>
        </is>
      </c>
      <c r="E113" s="566" t="inlineStr">
        <is>
          <t>Snapshot value</t>
        </is>
      </c>
      <c r="F113" s="566" t="inlineStr">
        <is>
          <t>Gain / loss</t>
        </is>
      </c>
      <c r="G113" s="566" t="inlineStr">
        <is>
          <t>Return</t>
        </is>
      </c>
      <c r="H113" s="566" t="inlineStr">
        <is>
          <t>NAV</t>
        </is>
      </c>
      <c r="I113" s="566" t="inlineStr">
        <is>
          <t>SIP status</t>
        </is>
      </c>
      <c r="J113" s="566" t="inlineStr">
        <is>
          <t>Evidence</t>
        </is>
      </c>
    </row>
    <row r="114" ht="15" customHeight="1" s="278">
      <c r="A114" s="566" t="inlineStr">
        <is>
          <t>Nippon Large Cap</t>
        </is>
      </c>
      <c r="B114" s="566" t="inlineStr">
        <is>
          <t>Nippon</t>
        </is>
      </c>
      <c r="C114" s="567" t="n">
        <v>758.192</v>
      </c>
      <c r="D114" s="566" t="n">
        <v>75000</v>
      </c>
      <c r="E114" s="567" t="n">
        <v>78012.03999999999</v>
      </c>
      <c r="F114" s="567" t="n">
        <v>3012.03999999999</v>
      </c>
      <c r="G114" s="567" t="n">
        <v>0.0401605333333333</v>
      </c>
      <c r="H114" s="567" t="n">
        <v>102.89</v>
      </c>
      <c r="I114" s="566" t="inlineStr">
        <is>
          <t>Active</t>
        </is>
      </c>
      <c r="J114" s="566" t="inlineStr">
        <is>
          <t>MF Central 10 Aug</t>
        </is>
      </c>
    </row>
    <row r="115" ht="15" customHeight="1" s="278">
      <c r="A115" s="566" t="inlineStr">
        <is>
          <t>Nippon Multi Cap</t>
        </is>
      </c>
      <c r="B115" s="566" t="inlineStr">
        <is>
          <t>Nippon</t>
        </is>
      </c>
      <c r="C115" s="567" t="n">
        <v>226.127</v>
      </c>
      <c r="D115" s="567" t="n">
        <v>73936.89</v>
      </c>
      <c r="E115" s="567" t="n">
        <v>77061.61</v>
      </c>
      <c r="F115" s="567" t="n">
        <v>3124.72</v>
      </c>
      <c r="G115" s="567" t="n">
        <v>0.0422619885688998</v>
      </c>
      <c r="H115" s="567" t="n">
        <v>340.7896</v>
      </c>
      <c r="I115" s="566" t="inlineStr">
        <is>
          <t>Active</t>
        </is>
      </c>
      <c r="J115" s="566" t="inlineStr">
        <is>
          <t>Multi Cap email confirms 8.803 new units</t>
        </is>
      </c>
    </row>
    <row r="116" ht="15" customHeight="1" s="278">
      <c r="A116" s="566" t="inlineStr">
        <is>
          <t>Nippon Growth Mid Cap</t>
        </is>
      </c>
      <c r="B116" s="566" t="inlineStr">
        <is>
          <t>Nippon</t>
        </is>
      </c>
      <c r="C116" s="567" t="n">
        <v>6.993</v>
      </c>
      <c r="D116" s="566" t="n">
        <v>33000</v>
      </c>
      <c r="E116" s="567" t="n">
        <v>35303.33</v>
      </c>
      <c r="F116" s="567" t="n">
        <v>2303.33</v>
      </c>
      <c r="G116" s="567" t="n">
        <v>0.0697978787878788</v>
      </c>
      <c r="H116" s="567" t="n">
        <v>5048.38</v>
      </c>
      <c r="I116" s="566" t="inlineStr">
        <is>
          <t>Active</t>
        </is>
      </c>
      <c r="J116" s="566" t="inlineStr">
        <is>
          <t>MF Central 10 Aug</t>
        </is>
      </c>
    </row>
    <row r="117" ht="15" customHeight="1" s="278">
      <c r="A117" s="566" t="inlineStr">
        <is>
          <t>Nippon Small Cap</t>
        </is>
      </c>
      <c r="B117" s="566" t="inlineStr">
        <is>
          <t>Nippon</t>
        </is>
      </c>
      <c r="C117" s="567" t="n">
        <v>189.636</v>
      </c>
      <c r="D117" s="566" t="n">
        <v>35968</v>
      </c>
      <c r="E117" s="567" t="n">
        <v>39456.63</v>
      </c>
      <c r="F117" s="567" t="n">
        <v>3488.63</v>
      </c>
      <c r="G117" s="567" t="n">
        <v>0.09699260453736649</v>
      </c>
      <c r="H117" s="567" t="n">
        <v>208.07</v>
      </c>
      <c r="I117" s="566" t="inlineStr">
        <is>
          <t>Active</t>
        </is>
      </c>
      <c r="J117" s="566" t="inlineStr">
        <is>
          <t>MF Central 10 Aug</t>
        </is>
      </c>
    </row>
    <row r="118" ht="15" customHeight="1" s="278">
      <c r="A118" s="566" t="inlineStr">
        <is>
          <t>Nippon Silver ETF FoF</t>
        </is>
      </c>
      <c r="B118" s="566" t="inlineStr">
        <is>
          <t>Nippon</t>
        </is>
      </c>
      <c r="C118" s="567" t="n">
        <v>115.191</v>
      </c>
      <c r="D118" s="567" t="n">
        <v>2971.14</v>
      </c>
      <c r="E118" s="567" t="n">
        <v>4046.82</v>
      </c>
      <c r="F118" s="567" t="n">
        <v>1075.68</v>
      </c>
      <c r="G118" s="567" t="n">
        <v>0.362042852238535</v>
      </c>
      <c r="H118" s="567" t="n">
        <v>35.13</v>
      </c>
      <c r="I118" s="566" t="inlineStr">
        <is>
          <t>Cancelled</t>
        </is>
      </c>
      <c r="J118" s="566" t="inlineStr">
        <is>
          <t>Holding remains; SIP cancelled</t>
        </is>
      </c>
    </row>
    <row r="119" ht="15" customHeight="1" s="278">
      <c r="A119" s="566" t="inlineStr">
        <is>
          <t>Motilal Oswal Midcap</t>
        </is>
      </c>
      <c r="B119" s="566" t="inlineStr">
        <is>
          <t>Motilal Oswal</t>
        </is>
      </c>
      <c r="C119" s="567" t="n">
        <v>93.721</v>
      </c>
      <c r="D119" s="566" t="n">
        <v>11000</v>
      </c>
      <c r="E119" s="567" t="n">
        <v>11206.72</v>
      </c>
      <c r="F119" s="567" t="n">
        <v>206.719999999999</v>
      </c>
      <c r="G119" s="567" t="n">
        <v>0.0187927272727272</v>
      </c>
      <c r="H119" s="567" t="n">
        <v>119.5753353</v>
      </c>
      <c r="I119" s="566" t="inlineStr">
        <is>
          <t>Active</t>
        </is>
      </c>
      <c r="J119" s="566" t="inlineStr">
        <is>
          <t>MF Central 10 Aug</t>
        </is>
      </c>
    </row>
    <row r="120" ht="15" customHeight="1" s="278">
      <c r="A120" s="566" t="inlineStr">
        <is>
          <t>TOTAL</t>
        </is>
      </c>
      <c r="D120" s="567" t="n">
        <v>231876.03</v>
      </c>
      <c r="E120" s="567" t="n">
        <v>245087.15</v>
      </c>
      <c r="F120" s="567" t="n">
        <v>13211.12</v>
      </c>
      <c r="G120" s="567" t="n">
        <v>0.0569749275075996</v>
      </c>
      <c r="J120" s="566" t="inlineStr">
        <is>
          <t>Rounded statement total</t>
        </is>
      </c>
    </row>
    <row r="121" ht="15" customHeight="1" s="278">
      <c r="A121" s="566" t="inlineStr">
        <is>
          <t>PORTFOLIO CONTROLS</t>
        </is>
      </c>
    </row>
    <row r="122" ht="15" customHeight="1" s="278">
      <c r="A122" s="566" t="inlineStr">
        <is>
          <t>Metric</t>
        </is>
      </c>
      <c r="B122" s="566" t="inlineStr">
        <is>
          <t>Value</t>
        </is>
      </c>
      <c r="C122" s="566" t="inlineStr">
        <is>
          <t>Status</t>
        </is>
      </c>
      <c r="D122" s="566" t="inlineStr">
        <is>
          <t>Note</t>
        </is>
      </c>
    </row>
    <row r="123" ht="15" customHeight="1" s="278">
      <c r="A123" s="566" t="inlineStr">
        <is>
          <t>Nippon concentration</t>
        </is>
      </c>
      <c r="B123" s="567" t="n">
        <v>0.954274550909748</v>
      </c>
      <c r="C123" s="566" t="inlineStr">
        <is>
          <t>High</t>
        </is>
      </c>
      <c r="D123" s="566" t="inlineStr">
        <is>
          <t>Nippon value / total MF value</t>
        </is>
      </c>
    </row>
    <row r="124" ht="15" customHeight="1" s="278">
      <c r="A124" s="566" t="inlineStr">
        <is>
          <t>Motilal concentration</t>
        </is>
      </c>
      <c r="B124" s="567" t="n">
        <v>0.0457254490902522</v>
      </c>
      <c r="C124" s="566" t="inlineStr">
        <is>
          <t>Low</t>
        </is>
      </c>
      <c r="D124" s="566" t="inlineStr">
        <is>
          <t>Motilal value / total MF value</t>
        </is>
      </c>
    </row>
    <row r="125" ht="15" customHeight="1" s="278">
      <c r="A125" s="566" t="inlineStr">
        <is>
          <t>Next SIP</t>
        </is>
      </c>
      <c r="B125" s="566" t="n">
        <v>12000</v>
      </c>
      <c r="C125" s="566" t="inlineStr">
        <is>
          <t>Active</t>
        </is>
      </c>
      <c r="D125" s="566" t="inlineStr">
        <is>
          <t>Due 10 Sep; AED 462.40 estimated funding</t>
        </is>
      </c>
    </row>
    <row r="128" ht="19.5" customHeight="1" s="278">
      <c r="A128" s="382" t="inlineStr">
        <is>
          <t>ORIGINAL SHEET:  Recent Ledger</t>
        </is>
      </c>
      <c r="B128" s="287" t="n"/>
      <c r="C128" s="287" t="n"/>
      <c r="D128" s="287" t="n"/>
      <c r="E128" s="287" t="n"/>
      <c r="F128" s="287" t="n"/>
      <c r="G128" s="287" t="n"/>
      <c r="H128" s="287" t="n"/>
      <c r="I128" s="287" t="n"/>
      <c r="J128" s="287" t="n"/>
      <c r="K128" s="287" t="n"/>
      <c r="L128" s="287" t="n"/>
    </row>
    <row r="129" ht="15" customHeight="1" s="278">
      <c r="A129" s="566" t="inlineStr">
        <is>
          <t>Recent Confirmed Ledger</t>
        </is>
      </c>
    </row>
    <row r="130" ht="15" customHeight="1" s="278">
      <c r="A130" s="566" t="inlineStr">
        <is>
          <t>Personal and household transactions are separated; transfers and refunds never count as spending.</t>
        </is>
      </c>
    </row>
    <row r="131" ht="15" customHeight="1" s="278">
      <c r="A131" s="566" t="inlineStr">
        <is>
          <t>Date/time</t>
        </is>
      </c>
      <c r="B131" s="566" t="inlineStr">
        <is>
          <t>Bank</t>
        </is>
      </c>
      <c r="C131" s="566" t="inlineStr">
        <is>
          <t>Merchant</t>
        </is>
      </c>
      <c r="D131" s="566" t="inlineStr">
        <is>
          <t>Amount</t>
        </is>
      </c>
      <c r="E131" s="566" t="inlineStr">
        <is>
          <t>Category</t>
        </is>
      </c>
      <c r="F131" s="566" t="inlineStr">
        <is>
          <t>Class</t>
        </is>
      </c>
      <c r="G131" s="566" t="inlineStr">
        <is>
          <t>Balance after</t>
        </is>
      </c>
      <c r="H131" s="566" t="inlineStr">
        <is>
          <t>Treatment</t>
        </is>
      </c>
    </row>
    <row r="132" ht="15" customHeight="1" s="278">
      <c r="A132" s="568" t="n">
        <v>46237</v>
      </c>
      <c r="B132" s="566" t="inlineStr">
        <is>
          <t>FAB</t>
        </is>
      </c>
      <c r="C132" s="566" t="inlineStr">
        <is>
          <t>du + Etisalat via DubaiPay</t>
        </is>
      </c>
      <c r="D132" s="567" t="n">
        <v>914.9299999999999</v>
      </c>
      <c r="E132" s="566" t="inlineStr">
        <is>
          <t>Household utilities</t>
        </is>
      </c>
      <c r="F132" s="566" t="inlineStr">
        <is>
          <t>Household</t>
        </is>
      </c>
      <c r="G132" s="567" t="n">
        <v>2535.86</v>
      </c>
      <c r="H132" s="566" t="inlineStr">
        <is>
          <t>Expense · paid once</t>
        </is>
      </c>
    </row>
    <row r="133" ht="15" customHeight="1" s="278">
      <c r="A133" s="568" t="n">
        <v>46237</v>
      </c>
      <c r="B133" s="566" t="inlineStr">
        <is>
          <t>NBD</t>
        </is>
      </c>
      <c r="C133" s="566" t="inlineStr">
        <is>
          <t>Asas Al Madina General</t>
        </is>
      </c>
      <c r="D133" s="566" t="n">
        <v>14</v>
      </c>
      <c r="E133" s="566" t="inlineStr">
        <is>
          <t>Lifestyle</t>
        </is>
      </c>
      <c r="F133" s="566" t="inlineStr">
        <is>
          <t>Personal</t>
        </is>
      </c>
      <c r="G133" s="567" t="n">
        <v>183.92</v>
      </c>
      <c r="H133" s="566" t="inlineStr">
        <is>
          <t>Expense</t>
        </is>
      </c>
    </row>
    <row r="134" ht="15" customHeight="1" s="278">
      <c r="A134" s="568" t="n">
        <v>46237</v>
      </c>
      <c r="B134" s="566" t="inlineStr">
        <is>
          <t>NBD</t>
        </is>
      </c>
      <c r="C134" s="566" t="inlineStr">
        <is>
          <t>Yas Home General Trading</t>
        </is>
      </c>
      <c r="D134" s="567" t="n">
        <v>22.97</v>
      </c>
      <c r="E134" s="566" t="inlineStr">
        <is>
          <t>Household other</t>
        </is>
      </c>
      <c r="F134" s="566" t="inlineStr">
        <is>
          <t>Household</t>
        </is>
      </c>
      <c r="G134" s="567" t="n">
        <v>160.95</v>
      </c>
      <c r="H134" s="566" t="inlineStr">
        <is>
          <t>Expense</t>
        </is>
      </c>
    </row>
    <row r="135" ht="15" customHeight="1" s="278">
      <c r="A135" s="568" t="n">
        <v>46237</v>
      </c>
      <c r="B135" s="566" t="inlineStr">
        <is>
          <t>NBD</t>
        </is>
      </c>
      <c r="C135" s="566" t="inlineStr">
        <is>
          <t>Spicy Falcon Restaurant</t>
        </is>
      </c>
      <c r="D135" s="566" t="n">
        <v>16</v>
      </c>
      <c r="E135" s="566" t="inlineStr">
        <is>
          <t>Food &amp; Dining</t>
        </is>
      </c>
      <c r="F135" s="566" t="inlineStr">
        <is>
          <t>Household</t>
        </is>
      </c>
      <c r="G135" s="567" t="n">
        <v>144.95</v>
      </c>
      <c r="H135" s="566" t="inlineStr">
        <is>
          <t>Expense</t>
        </is>
      </c>
    </row>
    <row r="136" ht="15" customHeight="1" s="278">
      <c r="A136" s="568" t="n">
        <v>46238</v>
      </c>
      <c r="B136" s="566" t="inlineStr">
        <is>
          <t>NBD</t>
        </is>
      </c>
      <c r="C136" s="566" t="inlineStr">
        <is>
          <t>Emarat Nad Al Hamar</t>
        </is>
      </c>
      <c r="D136" s="567" t="n">
        <v>13.5</v>
      </c>
      <c r="E136" s="566" t="inlineStr">
        <is>
          <t>Lifestyle</t>
        </is>
      </c>
      <c r="F136" s="566" t="inlineStr">
        <is>
          <t>Personal</t>
        </is>
      </c>
      <c r="G136" s="567" t="n">
        <v>131.45</v>
      </c>
      <c r="H136" s="566" t="inlineStr">
        <is>
          <t>Expense</t>
        </is>
      </c>
    </row>
    <row r="137" ht="15" customHeight="1" s="278">
      <c r="A137" s="568" t="n">
        <v>46238</v>
      </c>
      <c r="B137" s="566" t="inlineStr">
        <is>
          <t>Tabby Cash</t>
        </is>
      </c>
      <c r="C137" s="566" t="inlineStr">
        <is>
          <t>Nad Al Hamar Star Grocery</t>
        </is>
      </c>
      <c r="D137" s="566" t="n">
        <v>2</v>
      </c>
      <c r="E137" s="566" t="inlineStr">
        <is>
          <t>Lifestyle</t>
        </is>
      </c>
      <c r="F137" s="566" t="inlineStr">
        <is>
          <t>Personal</t>
        </is>
      </c>
      <c r="G137" s="567" t="n">
        <v>0.89</v>
      </c>
      <c r="H137" s="566" t="inlineStr">
        <is>
          <t>Wallet expense; not Card debt</t>
        </is>
      </c>
    </row>
    <row r="138" ht="15" customHeight="1" s="278">
      <c r="A138" s="568" t="n">
        <v>46238</v>
      </c>
      <c r="B138" s="566" t="inlineStr">
        <is>
          <t>NBD</t>
        </is>
      </c>
      <c r="C138" s="566" t="inlineStr">
        <is>
          <t>Asas Al Madina General</t>
        </is>
      </c>
      <c r="D138" s="567" t="n">
        <v>24.5</v>
      </c>
      <c r="E138" s="566" t="inlineStr">
        <is>
          <t>Groceries</t>
        </is>
      </c>
      <c r="F138" s="566" t="inlineStr">
        <is>
          <t>Household</t>
        </is>
      </c>
      <c r="G138" s="567" t="n">
        <v>106.95</v>
      </c>
      <c r="H138" s="566" t="inlineStr">
        <is>
          <t>Expense</t>
        </is>
      </c>
    </row>
    <row r="139" ht="15" customHeight="1" s="278">
      <c r="A139" s="568" t="n">
        <v>46239</v>
      </c>
      <c r="B139" s="566" t="inlineStr">
        <is>
          <t>NBD</t>
        </is>
      </c>
      <c r="C139" s="566" t="inlineStr">
        <is>
          <t>Reel Entertainment</t>
        </is>
      </c>
      <c r="D139" s="566" t="n">
        <v>20</v>
      </c>
      <c r="E139" s="566" t="inlineStr">
        <is>
          <t>Household other</t>
        </is>
      </c>
      <c r="F139" s="566" t="inlineStr">
        <is>
          <t>Household</t>
        </is>
      </c>
      <c r="G139" s="567" t="n">
        <v>86.95</v>
      </c>
      <c r="H139" s="566" t="inlineStr">
        <is>
          <t>Expense</t>
        </is>
      </c>
    </row>
    <row r="140" ht="15" customHeight="1" s="278">
      <c r="A140" s="568" t="n">
        <v>46239</v>
      </c>
      <c r="B140" s="566" t="inlineStr">
        <is>
          <t>NBD</t>
        </is>
      </c>
      <c r="C140" s="566" t="inlineStr">
        <is>
          <t>HNS Restaurant and Cafe</t>
        </is>
      </c>
      <c r="D140" s="566" t="n">
        <v>10</v>
      </c>
      <c r="E140" s="566" t="inlineStr">
        <is>
          <t>Food &amp; Dining</t>
        </is>
      </c>
      <c r="F140" s="566" t="inlineStr">
        <is>
          <t>Household</t>
        </is>
      </c>
      <c r="G140" s="567" t="n">
        <v>76.95</v>
      </c>
      <c r="H140" s="566" t="inlineStr">
        <is>
          <t>Expense</t>
        </is>
      </c>
    </row>
    <row r="141" ht="15" customHeight="1" s="278">
      <c r="A141" s="568" t="n">
        <v>46239</v>
      </c>
      <c r="B141" s="566" t="inlineStr">
        <is>
          <t>NBD</t>
        </is>
      </c>
      <c r="C141" s="566" t="inlineStr">
        <is>
          <t>Burger King Dubai Mall</t>
        </is>
      </c>
      <c r="D141" s="566" t="n">
        <v>10</v>
      </c>
      <c r="E141" s="566" t="inlineStr">
        <is>
          <t>Food &amp; Dining</t>
        </is>
      </c>
      <c r="F141" s="566" t="inlineStr">
        <is>
          <t>Household</t>
        </is>
      </c>
      <c r="G141" s="567" t="n">
        <v>66.95</v>
      </c>
      <c r="H141" s="566" t="inlineStr">
        <is>
          <t>Expense</t>
        </is>
      </c>
    </row>
    <row r="142" ht="15" customHeight="1" s="278">
      <c r="A142" s="568" t="n">
        <v>46239</v>
      </c>
      <c r="B142" s="566" t="inlineStr">
        <is>
          <t>NBD</t>
        </is>
      </c>
      <c r="C142" s="566" t="inlineStr">
        <is>
          <t>Texas Dubai Mall</t>
        </is>
      </c>
      <c r="D142" s="566" t="n">
        <v>10</v>
      </c>
      <c r="E142" s="566" t="inlineStr">
        <is>
          <t>Food &amp; Dining</t>
        </is>
      </c>
      <c r="F142" s="566" t="inlineStr">
        <is>
          <t>Household</t>
        </is>
      </c>
      <c r="G142" s="567" t="n">
        <v>56.95</v>
      </c>
      <c r="H142" s="566" t="inlineStr">
        <is>
          <t>Expense</t>
        </is>
      </c>
    </row>
    <row r="143" ht="15" customHeight="1" s="278">
      <c r="A143" s="568" t="n">
        <v>46239</v>
      </c>
      <c r="B143" s="566" t="inlineStr">
        <is>
          <t>NBD</t>
        </is>
      </c>
      <c r="C143" s="566" t="inlineStr">
        <is>
          <t>Team Taste Restaurant</t>
        </is>
      </c>
      <c r="D143" s="566" t="n">
        <v>31</v>
      </c>
      <c r="E143" s="566" t="inlineStr">
        <is>
          <t>Food &amp; Dining</t>
        </is>
      </c>
      <c r="F143" s="566" t="inlineStr">
        <is>
          <t>Household</t>
        </is>
      </c>
      <c r="G143" s="567" t="n">
        <v>25.95</v>
      </c>
      <c r="H143" s="566" t="inlineStr">
        <is>
          <t>Expense</t>
        </is>
      </c>
    </row>
    <row r="144" ht="15" customHeight="1" s="278">
      <c r="A144" s="568" t="n">
        <v>46239</v>
      </c>
      <c r="B144" s="566" t="inlineStr">
        <is>
          <t>NBD</t>
        </is>
      </c>
      <c r="C144" s="566" t="inlineStr">
        <is>
          <t>Raya Al Talal Supermarket</t>
        </is>
      </c>
      <c r="D144" s="567" t="n">
        <v>10.25</v>
      </c>
      <c r="E144" s="566" t="inlineStr">
        <is>
          <t>Groceries</t>
        </is>
      </c>
      <c r="F144" s="566" t="inlineStr">
        <is>
          <t>Household</t>
        </is>
      </c>
      <c r="G144" s="567" t="n">
        <v>15.7</v>
      </c>
      <c r="H144" s="566" t="inlineStr">
        <is>
          <t>Expense</t>
        </is>
      </c>
    </row>
    <row r="145" ht="15" customHeight="1" s="278">
      <c r="A145" s="568" t="n">
        <v>46239</v>
      </c>
      <c r="B145" s="566" t="inlineStr">
        <is>
          <t>FAB</t>
        </is>
      </c>
      <c r="C145" s="566" t="inlineStr">
        <is>
          <t>Asas Al Madina General</t>
        </is>
      </c>
      <c r="D145" s="566" t="n">
        <v>14</v>
      </c>
      <c r="E145" s="566" t="inlineStr">
        <is>
          <t>Lifestyle</t>
        </is>
      </c>
      <c r="F145" s="566" t="inlineStr">
        <is>
          <t>Personal</t>
        </is>
      </c>
      <c r="G145" s="567" t="n">
        <v>2521.86</v>
      </c>
      <c r="H145" s="566" t="inlineStr">
        <is>
          <t>Expense</t>
        </is>
      </c>
    </row>
    <row r="146" ht="15" customHeight="1" s="278">
      <c r="A146" s="568" t="n">
        <v>46240</v>
      </c>
      <c r="B146" s="566" t="inlineStr">
        <is>
          <t>FAB</t>
        </is>
      </c>
      <c r="C146" s="566" t="inlineStr">
        <is>
          <t>Asas Al Madina General</t>
        </is>
      </c>
      <c r="D146" s="566" t="n">
        <v>20</v>
      </c>
      <c r="E146" s="566" t="inlineStr">
        <is>
          <t>Groceries</t>
        </is>
      </c>
      <c r="F146" s="566" t="inlineStr">
        <is>
          <t>Household</t>
        </is>
      </c>
      <c r="G146" s="567" t="n">
        <v>2501.86</v>
      </c>
      <c r="H146" s="566" t="inlineStr">
        <is>
          <t>Expense</t>
        </is>
      </c>
    </row>
    <row r="147" ht="15" customHeight="1" s="278">
      <c r="A147" s="568" t="n">
        <v>46240</v>
      </c>
      <c r="B147" s="566" t="inlineStr">
        <is>
          <t>FAB</t>
        </is>
      </c>
      <c r="C147" s="566" t="inlineStr">
        <is>
          <t>August salary received early</t>
        </is>
      </c>
      <c r="D147" s="566" t="n">
        <v>3740</v>
      </c>
      <c r="E147" s="566" t="inlineStr">
        <is>
          <t>Salary timing</t>
        </is>
      </c>
      <c r="F147" s="566" t="inlineStr">
        <is>
          <t>Transfer</t>
        </is>
      </c>
      <c r="G147" s="567" t="n">
        <v>6501.86</v>
      </c>
      <c r="H147" s="566" t="inlineStr">
        <is>
          <t>Not income again at payday</t>
        </is>
      </c>
    </row>
    <row r="148" ht="15" customHeight="1" s="278">
      <c r="A148" s="568" t="n">
        <v>46240</v>
      </c>
      <c r="B148" s="566" t="inlineStr">
        <is>
          <t>FAB</t>
        </is>
      </c>
      <c r="C148" s="566" t="inlineStr">
        <is>
          <t>Two-ticket profit</t>
        </is>
      </c>
      <c r="D148" s="566" t="n">
        <v>260</v>
      </c>
      <c r="E148" s="566" t="inlineStr">
        <is>
          <t>Side income</t>
        </is>
      </c>
      <c r="F148" s="566" t="inlineStr">
        <is>
          <t>Income</t>
        </is>
      </c>
      <c r="G148" s="567" t="n">
        <v>6501.86</v>
      </c>
      <c r="H148" s="566" t="inlineStr">
        <is>
          <t>Income</t>
        </is>
      </c>
    </row>
    <row r="149" ht="15" customHeight="1" s="278">
      <c r="A149" s="568" t="n">
        <v>46241</v>
      </c>
      <c r="B149" s="566" t="inlineStr">
        <is>
          <t>FAB</t>
        </is>
      </c>
      <c r="C149" s="566" t="inlineStr">
        <is>
          <t>e&amp; Money medical support</t>
        </is>
      </c>
      <c r="D149" s="566" t="n">
        <v>100</v>
      </c>
      <c r="E149" s="566" t="inlineStr">
        <is>
          <t>Household other</t>
        </is>
      </c>
      <c r="F149" s="566" t="inlineStr">
        <is>
          <t>Household</t>
        </is>
      </c>
      <c r="G149" s="567" t="n">
        <v>2401.86</v>
      </c>
      <c r="H149" s="566" t="inlineStr">
        <is>
          <t>Expense</t>
        </is>
      </c>
    </row>
    <row r="150" ht="15" customHeight="1" s="278">
      <c r="A150" s="568" t="n">
        <v>46241</v>
      </c>
      <c r="B150" s="566" t="inlineStr">
        <is>
          <t>FAB</t>
        </is>
      </c>
      <c r="C150" s="566" t="inlineStr">
        <is>
          <t>Duplicate e&amp; Money transfer</t>
        </is>
      </c>
      <c r="D150" s="566" t="n">
        <v>100</v>
      </c>
      <c r="E150" s="566" t="inlineStr">
        <is>
          <t>Duplicate transfer</t>
        </is>
      </c>
      <c r="F150" s="566" t="inlineStr">
        <is>
          <t>Transfer</t>
        </is>
      </c>
      <c r="G150" s="567" t="n">
        <v>2301.86</v>
      </c>
      <c r="H150" s="566" t="inlineStr">
        <is>
          <t>Receivable; not expense</t>
        </is>
      </c>
    </row>
    <row r="151" ht="15" customHeight="1" s="278">
      <c r="A151" s="568" t="n">
        <v>46241</v>
      </c>
      <c r="B151" s="566" t="inlineStr">
        <is>
          <t>FAB</t>
        </is>
      </c>
      <c r="C151" s="566" t="inlineStr">
        <is>
          <t>Emirates ticket</t>
        </is>
      </c>
      <c r="D151" s="566" t="n">
        <v>1430</v>
      </c>
      <c r="E151" s="566" t="inlineStr">
        <is>
          <t>Travel &amp; airfare</t>
        </is>
      </c>
      <c r="F151" s="566" t="inlineStr">
        <is>
          <t>Household</t>
        </is>
      </c>
      <c r="G151" s="567" t="n">
        <v>871.86</v>
      </c>
      <c r="H151" s="566" t="inlineStr">
        <is>
          <t>Expense; refund pending</t>
        </is>
      </c>
    </row>
    <row r="152" ht="15" customHeight="1" s="278">
      <c r="A152" s="568" t="n">
        <v>46242</v>
      </c>
      <c r="B152" s="566" t="inlineStr">
        <is>
          <t>FAB</t>
        </is>
      </c>
      <c r="C152" s="566" t="inlineStr">
        <is>
          <t>Asas Al Madina General</t>
        </is>
      </c>
      <c r="D152" s="566" t="n">
        <v>14</v>
      </c>
      <c r="E152" s="566" t="inlineStr">
        <is>
          <t>Lifestyle</t>
        </is>
      </c>
      <c r="F152" s="566" t="inlineStr">
        <is>
          <t>Personal</t>
        </is>
      </c>
      <c r="G152" s="567" t="n">
        <v>857.86</v>
      </c>
      <c r="H152" s="566" t="inlineStr">
        <is>
          <t>Expense</t>
        </is>
      </c>
    </row>
    <row r="153" ht="15" customHeight="1" s="278">
      <c r="A153" s="568" t="n">
        <v>46242</v>
      </c>
      <c r="B153" s="566" t="inlineStr">
        <is>
          <t>FAB</t>
        </is>
      </c>
      <c r="C153" s="566" t="inlineStr">
        <is>
          <t>RTS Business Bay Hotel</t>
        </is>
      </c>
      <c r="D153" s="566" t="n">
        <v>65</v>
      </c>
      <c r="E153" s="566" t="inlineStr">
        <is>
          <t>Lifestyle</t>
        </is>
      </c>
      <c r="F153" s="566" t="inlineStr">
        <is>
          <t>Personal</t>
        </is>
      </c>
      <c r="G153" s="567" t="n">
        <v>792.86</v>
      </c>
      <c r="H153" s="566" t="inlineStr">
        <is>
          <t>Expense</t>
        </is>
      </c>
    </row>
    <row r="154" ht="15" customHeight="1" s="278">
      <c r="A154" s="568" t="n">
        <v>46242</v>
      </c>
      <c r="B154" s="566" t="inlineStr">
        <is>
          <t>FAB</t>
        </is>
      </c>
      <c r="C154" s="566" t="inlineStr">
        <is>
          <t>RTS Business Bay Hotel</t>
        </is>
      </c>
      <c r="D154" s="567" t="n">
        <v>47.25</v>
      </c>
      <c r="E154" s="566" t="inlineStr">
        <is>
          <t>Lifestyle</t>
        </is>
      </c>
      <c r="F154" s="566" t="inlineStr">
        <is>
          <t>Personal</t>
        </is>
      </c>
      <c r="G154" s="567" t="n">
        <v>745.61</v>
      </c>
      <c r="H154" s="566" t="inlineStr">
        <is>
          <t>Expense</t>
        </is>
      </c>
    </row>
    <row r="155" ht="15" customHeight="1" s="278">
      <c r="A155" s="568" t="n">
        <v>46242</v>
      </c>
      <c r="B155" s="566" t="inlineStr">
        <is>
          <t>FAB</t>
        </is>
      </c>
      <c r="C155" s="566" t="inlineStr">
        <is>
          <t>RTS Business Bay Hotel</t>
        </is>
      </c>
      <c r="D155" s="567" t="n">
        <v>274.5</v>
      </c>
      <c r="E155" s="566" t="inlineStr">
        <is>
          <t>Lifestyle</t>
        </is>
      </c>
      <c r="F155" s="566" t="inlineStr">
        <is>
          <t>Personal</t>
        </is>
      </c>
      <c r="G155" s="567" t="n">
        <v>471.11</v>
      </c>
      <c r="H155" s="566" t="inlineStr">
        <is>
          <t>Expense</t>
        </is>
      </c>
    </row>
    <row r="156" ht="15" customHeight="1" s="278">
      <c r="A156" s="568" t="n">
        <v>46242</v>
      </c>
      <c r="B156" s="566" t="inlineStr">
        <is>
          <t>FAB</t>
        </is>
      </c>
      <c r="C156" s="566" t="inlineStr">
        <is>
          <t>Asas Al Madina General</t>
        </is>
      </c>
      <c r="D156" s="567" t="n">
        <v>20.5</v>
      </c>
      <c r="E156" s="566" t="inlineStr">
        <is>
          <t>Lifestyle</t>
        </is>
      </c>
      <c r="F156" s="566" t="inlineStr">
        <is>
          <t>Personal</t>
        </is>
      </c>
      <c r="G156" s="567" t="n">
        <v>450.61</v>
      </c>
      <c r="H156" s="566" t="inlineStr">
        <is>
          <t>Expense</t>
        </is>
      </c>
    </row>
    <row r="157" ht="15" customHeight="1" s="278">
      <c r="A157" s="568" t="n">
        <v>46243</v>
      </c>
      <c r="B157" s="566" t="inlineStr">
        <is>
          <t>FAB</t>
        </is>
      </c>
      <c r="C157" s="566" t="inlineStr">
        <is>
          <t>Salkara / Team Taste</t>
        </is>
      </c>
      <c r="D157" s="567" t="n">
        <v>101.5</v>
      </c>
      <c r="E157" s="566" t="inlineStr">
        <is>
          <t>Food &amp; Dining</t>
        </is>
      </c>
      <c r="F157" s="566" t="inlineStr">
        <is>
          <t>Household</t>
        </is>
      </c>
      <c r="G157" s="567" t="n">
        <v>349.11</v>
      </c>
      <c r="H157" s="566" t="inlineStr">
        <is>
          <t>Expense</t>
        </is>
      </c>
    </row>
    <row r="158" ht="15" customHeight="1" s="278">
      <c r="A158" s="568" t="n">
        <v>46243</v>
      </c>
      <c r="B158" s="566" t="inlineStr">
        <is>
          <t>FAB</t>
        </is>
      </c>
      <c r="C158" s="566" t="inlineStr">
        <is>
          <t>Shams Al Qusais Grocery</t>
        </is>
      </c>
      <c r="D158" s="566" t="n">
        <v>10</v>
      </c>
      <c r="E158" s="566" t="inlineStr">
        <is>
          <t>Lifestyle</t>
        </is>
      </c>
      <c r="F158" s="566" t="inlineStr">
        <is>
          <t>Personal</t>
        </is>
      </c>
      <c r="G158" s="567" t="n">
        <v>339.11</v>
      </c>
      <c r="H158" s="566" t="inlineStr">
        <is>
          <t>Expense</t>
        </is>
      </c>
    </row>
    <row r="159" ht="15" customHeight="1" s="278">
      <c r="A159" s="568" t="n">
        <v>46243</v>
      </c>
      <c r="B159" s="566" t="inlineStr">
        <is>
          <t>FAB</t>
        </is>
      </c>
      <c r="C159" s="566" t="inlineStr">
        <is>
          <t>ENOC Site 1006</t>
        </is>
      </c>
      <c r="D159" s="566" t="n">
        <v>50</v>
      </c>
      <c r="E159" s="566" t="inlineStr">
        <is>
          <t>Transport</t>
        </is>
      </c>
      <c r="F159" s="566" t="inlineStr">
        <is>
          <t>Household</t>
        </is>
      </c>
      <c r="G159" s="567" t="n">
        <v>289.11</v>
      </c>
      <c r="H159" s="566" t="inlineStr">
        <is>
          <t>Expense</t>
        </is>
      </c>
    </row>
    <row r="160" ht="15" customHeight="1" s="278">
      <c r="A160" s="568" t="n">
        <v>46244</v>
      </c>
      <c r="B160" s="566" t="inlineStr">
        <is>
          <t>FAB</t>
        </is>
      </c>
      <c r="C160" s="566" t="inlineStr">
        <is>
          <t>Emarat Nad Al Hamar</t>
        </is>
      </c>
      <c r="D160" s="567" t="n">
        <v>13.5</v>
      </c>
      <c r="E160" s="566" t="inlineStr">
        <is>
          <t>Lifestyle</t>
        </is>
      </c>
      <c r="F160" s="566" t="inlineStr">
        <is>
          <t>Personal</t>
        </is>
      </c>
      <c r="G160" s="567" t="n">
        <v>275.61</v>
      </c>
      <c r="H160" s="566" t="inlineStr">
        <is>
          <t>Expense</t>
        </is>
      </c>
    </row>
    <row r="161" ht="15" customHeight="1" s="278">
      <c r="A161" s="568" t="n">
        <v>46244</v>
      </c>
      <c r="B161" s="566" t="inlineStr">
        <is>
          <t>FAB</t>
        </is>
      </c>
      <c r="C161" s="566" t="inlineStr">
        <is>
          <t>Jamahir Al Khair Restaurant</t>
        </is>
      </c>
      <c r="D161" s="566" t="n">
        <v>27</v>
      </c>
      <c r="E161" s="566" t="inlineStr">
        <is>
          <t>Food &amp; Dining</t>
        </is>
      </c>
      <c r="F161" s="566" t="inlineStr">
        <is>
          <t>Household</t>
        </is>
      </c>
      <c r="G161" s="567" t="n">
        <v>248.61</v>
      </c>
      <c r="H161" s="566" t="inlineStr">
        <is>
          <t>Expense</t>
        </is>
      </c>
    </row>
    <row r="162" ht="15" customHeight="1" s="278">
      <c r="A162" s="568" t="n">
        <v>46244</v>
      </c>
      <c r="B162" s="566" t="inlineStr">
        <is>
          <t>FAB</t>
        </is>
      </c>
      <c r="C162" s="566" t="inlineStr">
        <is>
          <t>Asas Al Madina General</t>
        </is>
      </c>
      <c r="D162" s="566" t="n">
        <v>23</v>
      </c>
      <c r="E162" s="566" t="inlineStr">
        <is>
          <t>Groceries</t>
        </is>
      </c>
      <c r="F162" s="566" t="inlineStr">
        <is>
          <t>Household</t>
        </is>
      </c>
      <c r="G162" s="567" t="n">
        <v>225.61</v>
      </c>
      <c r="H162" s="566" t="inlineStr">
        <is>
          <t>Expense</t>
        </is>
      </c>
    </row>
    <row r="163" ht="15" customHeight="1" s="278">
      <c r="A163" s="568" t="n">
        <v>46244</v>
      </c>
      <c r="B163" s="566" t="inlineStr">
        <is>
          <t>FAB</t>
        </is>
      </c>
      <c r="C163" s="566" t="inlineStr">
        <is>
          <t>Zomato</t>
        </is>
      </c>
      <c r="D163" s="567" t="n">
        <v>66.52</v>
      </c>
      <c r="E163" s="566" t="inlineStr">
        <is>
          <t>Food &amp; Dining</t>
        </is>
      </c>
      <c r="F163" s="566" t="inlineStr">
        <is>
          <t>Household</t>
        </is>
      </c>
      <c r="G163" s="567" t="n">
        <v>159.09</v>
      </c>
      <c r="H163" s="566" t="inlineStr">
        <is>
          <t>Expense</t>
        </is>
      </c>
    </row>
    <row r="164" ht="15" customHeight="1" s="278">
      <c r="A164" s="568" t="n">
        <v>46245</v>
      </c>
      <c r="B164" s="566" t="inlineStr">
        <is>
          <t>FAB</t>
        </is>
      </c>
      <c r="C164" s="566" t="inlineStr">
        <is>
          <t>Duplicate e&amp; Money transfer refund</t>
        </is>
      </c>
      <c r="D164" s="566" t="n">
        <v>100</v>
      </c>
      <c r="E164" s="566" t="inlineStr">
        <is>
          <t>Duplicate-transfer refund</t>
        </is>
      </c>
      <c r="F164" s="566" t="inlineStr">
        <is>
          <t>Transfer</t>
        </is>
      </c>
      <c r="G164" s="567" t="n">
        <v>259.09</v>
      </c>
      <c r="H164" s="566" t="inlineStr">
        <is>
          <t>Refund; not income</t>
        </is>
      </c>
    </row>
    <row r="167" ht="19.5" customHeight="1" s="278">
      <c r="A167" s="382" t="inlineStr">
        <is>
          <t>ORIGINAL SHEET:  Checks</t>
        </is>
      </c>
      <c r="B167" s="287" t="n"/>
      <c r="C167" s="287" t="n"/>
      <c r="D167" s="287" t="n"/>
      <c r="E167" s="287" t="n"/>
      <c r="F167" s="287" t="n"/>
      <c r="G167" s="287" t="n"/>
      <c r="H167" s="287" t="n"/>
      <c r="I167" s="287" t="n"/>
      <c r="J167" s="287" t="n"/>
      <c r="K167" s="287" t="n"/>
      <c r="L167" s="287" t="n"/>
    </row>
    <row r="168" ht="15" customHeight="1" s="278">
      <c r="A168" s="566" t="inlineStr">
        <is>
          <t>Model Integrity Checks</t>
        </is>
      </c>
    </row>
    <row r="169" ht="15" customHeight="1" s="278">
      <c r="A169" s="566" t="inlineStr">
        <is>
          <t>Every high-impact control must read OK before relying on projections.</t>
        </is>
      </c>
    </row>
    <row r="170" ht="15" customHeight="1" s="278">
      <c r="A170" s="566" t="inlineStr">
        <is>
          <t>Check</t>
        </is>
      </c>
      <c r="B170" s="566" t="inlineStr">
        <is>
          <t>Actual</t>
        </is>
      </c>
      <c r="C170" s="566" t="inlineStr">
        <is>
          <t>Expected</t>
        </is>
      </c>
      <c r="D170" s="566" t="inlineStr">
        <is>
          <t>Difference</t>
        </is>
      </c>
      <c r="E170" s="566" t="inlineStr">
        <is>
          <t>Tolerance</t>
        </is>
      </c>
      <c r="F170" s="566" t="inlineStr">
        <is>
          <t>Status</t>
        </is>
      </c>
      <c r="G170" s="566" t="inlineStr">
        <is>
          <t>Fix / note</t>
        </is>
      </c>
    </row>
    <row r="171" ht="15" customHeight="1" s="278">
      <c r="A171" s="566" t="inlineStr">
        <is>
          <t>Liquid cash ties</t>
        </is>
      </c>
      <c r="B171" s="567" t="n">
        <v>4277.19</v>
      </c>
      <c r="C171" s="567" t="n">
        <v>4277.19</v>
      </c>
      <c r="D171" s="566" t="n">
        <v>0</v>
      </c>
      <c r="E171" s="567" t="n">
        <v>0.01</v>
      </c>
      <c r="F171" s="566" t="inlineStr">
        <is>
          <t>OK</t>
        </is>
      </c>
      <c r="G171" s="566" t="inlineStr">
        <is>
          <t>Cash control total</t>
        </is>
      </c>
    </row>
    <row r="172" ht="15" customHeight="1" s="278">
      <c r="A172" s="566" t="inlineStr">
        <is>
          <t>FAB components tie</t>
        </is>
      </c>
      <c r="B172" s="567" t="n">
        <v>4271.37</v>
      </c>
      <c r="C172" s="567" t="n">
        <v>4271.37</v>
      </c>
      <c r="D172" s="566" t="n">
        <v>0</v>
      </c>
      <c r="E172" s="567" t="n">
        <v>0.01</v>
      </c>
      <c r="F172" s="566" t="inlineStr">
        <is>
          <t>OK</t>
        </is>
      </c>
      <c r="G172" s="566" t="inlineStr">
        <is>
          <t>259.09 + 4,004.61 + 7.67</t>
        </is>
      </c>
    </row>
    <row r="173" ht="15" customHeight="1" s="278">
      <c r="A173" s="566" t="inlineStr">
        <is>
          <t>NBD components tie</t>
        </is>
      </c>
      <c r="B173" s="567" t="n">
        <v>4.93</v>
      </c>
      <c r="C173" s="567" t="n">
        <v>4.93</v>
      </c>
      <c r="D173" s="566" t="n">
        <v>0</v>
      </c>
      <c r="E173" s="567" t="n">
        <v>0.01</v>
      </c>
      <c r="F173" s="566" t="inlineStr">
        <is>
          <t>OK</t>
        </is>
      </c>
      <c r="G173" s="566" t="inlineStr">
        <is>
          <t>2.20 + 2.73</t>
        </is>
      </c>
    </row>
    <row r="174" ht="15" customHeight="1" s="278">
      <c r="A174" s="566" t="inlineStr">
        <is>
          <t>August salary timing ties</t>
        </is>
      </c>
      <c r="B174" s="567" t="n">
        <v>7914.88</v>
      </c>
      <c r="C174" s="567" t="n">
        <v>7914.88</v>
      </c>
      <c r="D174" s="566" t="n">
        <v>0</v>
      </c>
      <c r="E174" s="567" t="n">
        <v>0.01</v>
      </c>
      <c r="F174" s="566" t="inlineStr">
        <is>
          <t>OK</t>
        </is>
      </c>
      <c r="G174" s="566" t="inlineStr">
        <is>
          <t>3,740 + 1,540 + 2,634.88</t>
        </is>
      </c>
    </row>
    <row r="175" ht="15" customHeight="1" s="278">
      <c r="A175" s="566" t="inlineStr">
        <is>
          <t>Mutual-fund totals tie</t>
        </is>
      </c>
      <c r="B175" s="567" t="n">
        <v>245087.15</v>
      </c>
      <c r="C175" s="567" t="n">
        <v>245087.15</v>
      </c>
      <c r="D175" s="566" t="n">
        <v>0</v>
      </c>
      <c r="E175" s="567" t="n">
        <v>0.1</v>
      </c>
      <c r="F175" s="566" t="inlineStr">
        <is>
          <t>OK</t>
        </is>
      </c>
      <c r="G175" s="566" t="inlineStr">
        <is>
          <t>Statement rounding tolerance</t>
        </is>
      </c>
    </row>
    <row r="176" ht="15" customHeight="1" s="278">
      <c r="A176" s="566" t="inlineStr">
        <is>
          <t>Rent closure reaches zero</t>
        </is>
      </c>
      <c r="B176" s="566" t="n">
        <v>0</v>
      </c>
      <c r="C176" s="566" t="n">
        <v>0</v>
      </c>
      <c r="D176" s="566" t="n">
        <v>0</v>
      </c>
      <c r="E176" s="567" t="n">
        <v>0.01</v>
      </c>
      <c r="F176" s="566" t="inlineStr">
        <is>
          <t>OK</t>
        </is>
      </c>
      <c r="G176" s="566" t="inlineStr">
        <is>
          <t>Conditional zero-gap plan</t>
        </is>
      </c>
    </row>
    <row r="177" ht="15" customHeight="1" s="278">
      <c r="A177" s="566" t="inlineStr">
        <is>
          <t>Living reduction fully allocated</t>
        </is>
      </c>
      <c r="B177" s="567" t="n">
        <v>280.020000000002</v>
      </c>
      <c r="C177" s="567" t="n">
        <v>280.02</v>
      </c>
      <c r="D177" s="567" t="n">
        <v>2.27373675443232e-12</v>
      </c>
      <c r="E177" s="567" t="n">
        <v>0.01</v>
      </c>
      <c r="F177" s="566" t="inlineStr">
        <is>
          <t>OK</t>
        </is>
      </c>
      <c r="G177" s="566" t="inlineStr">
        <is>
          <t>Exact reduction required</t>
        </is>
      </c>
    </row>
    <row r="178" ht="15" customHeight="1" s="278">
      <c r="A178" s="566" t="inlineStr">
        <is>
          <t>October salary excluded</t>
        </is>
      </c>
      <c r="B178" s="566" t="n">
        <v>0</v>
      </c>
      <c r="C178" s="566" t="n">
        <v>0</v>
      </c>
      <c r="D178" s="566" t="n">
        <v>0</v>
      </c>
      <c r="E178" s="567" t="n">
        <v>0.01</v>
      </c>
      <c r="F178" s="566" t="inlineStr">
        <is>
          <t>OK</t>
        </is>
      </c>
      <c r="G178" s="566" t="inlineStr">
        <is>
          <t>Cheque precedes salary</t>
        </is>
      </c>
    </row>
    <row r="179" ht="15" customHeight="1" s="278">
      <c r="A179" s="566" t="inlineStr">
        <is>
          <t>Tabby instalment not double counted</t>
        </is>
      </c>
      <c r="B179" s="566" t="n">
        <v>1</v>
      </c>
      <c r="C179" s="566" t="n">
        <v>1</v>
      </c>
      <c r="D179" s="566" t="n">
        <v>0</v>
      </c>
      <c r="E179" s="566" t="n">
        <v>0</v>
      </c>
      <c r="F179" s="566" t="inlineStr">
        <is>
          <t>OK</t>
        </is>
      </c>
      <c r="G179" s="566" t="inlineStr">
        <is>
          <t>No duplicate obligation</t>
        </is>
      </c>
    </row>
    <row r="180" ht="15" customHeight="1" s="278">
      <c r="A180" s="566" t="inlineStr">
        <is>
          <t>Final rent funding equals cheque</t>
        </is>
      </c>
      <c r="B180" s="566" t="n">
        <v>11750</v>
      </c>
      <c r="C180" s="566" t="n">
        <v>11750</v>
      </c>
      <c r="D180" s="566" t="n">
        <v>0</v>
      </c>
      <c r="E180" s="567" t="n">
        <v>0.01</v>
      </c>
      <c r="F180" s="566" t="inlineStr">
        <is>
          <t>OK</t>
        </is>
      </c>
      <c r="G180" s="566" t="inlineStr">
        <is>
          <t>Closure milestones reconcile</t>
        </is>
      </c>
    </row>
    <row r="181" ht="15" customHeight="1" s="278">
      <c r="A181" s="566" t="inlineStr">
        <is>
          <t>MODEL STATUS: ALL CHECKS OK</t>
        </is>
      </c>
    </row>
    <row r="184" ht="19.5" customHeight="1" s="278">
      <c r="A184" s="382" t="inlineStr">
        <is>
          <t>ORIGINAL SHEET:  Dashboard</t>
        </is>
      </c>
      <c r="B184" s="287" t="n"/>
      <c r="C184" s="287" t="n"/>
      <c r="D184" s="287" t="n"/>
      <c r="E184" s="287" t="n"/>
      <c r="F184" s="287" t="n"/>
      <c r="G184" s="287" t="n"/>
      <c r="H184" s="287" t="n"/>
      <c r="I184" s="287" t="n"/>
      <c r="J184" s="287" t="n"/>
      <c r="K184" s="287" t="n"/>
      <c r="L184" s="287" t="n"/>
    </row>
    <row r="185" ht="15" customHeight="1" s="278">
      <c r="A185" s="566" t="inlineStr">
        <is>
          <t>Johnny's Edge — Lifetime Finance Command Centre</t>
        </is>
      </c>
    </row>
    <row r="186" ht="15" customHeight="1" s="278">
      <c r="A186" s="566" t="inlineStr">
        <is>
          <t>Owner-only planning view · Actuals, estimates and closure actions are explicitly separated.</t>
        </is>
      </c>
    </row>
    <row r="187" ht="15" customHeight="1" s="278">
      <c r="A187" s="566" t="inlineStr">
        <is>
          <t>CURRENT POSITION</t>
        </is>
      </c>
      <c r="J187" s="566" t="inlineStr">
        <is>
          <t>Month</t>
        </is>
      </c>
      <c r="K187" s="566" t="inlineStr">
        <is>
          <t>Income</t>
        </is>
      </c>
      <c r="L187" s="566" t="inlineStr">
        <is>
          <t>Costs</t>
        </is>
      </c>
    </row>
    <row r="188" ht="15" customHeight="1" s="278">
      <c r="A188" s="566" t="inlineStr">
        <is>
          <t>Liquid cash</t>
        </is>
      </c>
      <c r="B188" s="567" t="n">
        <v>4277.19</v>
      </c>
      <c r="C188" s="566" t="inlineStr">
        <is>
          <t>Rent protected</t>
        </is>
      </c>
      <c r="D188" s="567" t="n">
        <v>259.09</v>
      </c>
      <c r="E188" s="566" t="inlineStr">
        <is>
          <t>Emergency fund</t>
        </is>
      </c>
      <c r="F188" s="567" t="n">
        <v>7.67</v>
      </c>
      <c r="G188" s="566" t="inlineStr">
        <is>
          <t>Tabby Cash</t>
        </is>
      </c>
      <c r="H188" s="567" t="n">
        <v>0.89</v>
      </c>
      <c r="J188" s="566" t="inlineStr">
        <is>
          <t>Aug</t>
        </is>
      </c>
      <c r="K188" s="567" t="n">
        <v>6004.88</v>
      </c>
      <c r="L188" s="567" t="n">
        <v>1033.42</v>
      </c>
    </row>
    <row r="189" ht="15" customHeight="1" s="278">
      <c r="A189" s="566" t="inlineStr">
        <is>
          <t>Actual</t>
        </is>
      </c>
      <c r="C189" s="566" t="inlineStr">
        <is>
          <t>Actual</t>
        </is>
      </c>
      <c r="E189" s="566" t="inlineStr">
        <is>
          <t>Actual</t>
        </is>
      </c>
      <c r="G189" s="566" t="inlineStr">
        <is>
          <t>Actual</t>
        </is>
      </c>
      <c r="J189" s="566" t="inlineStr">
        <is>
          <t>Sep</t>
        </is>
      </c>
      <c r="K189" s="567" t="n">
        <v>7914.88</v>
      </c>
      <c r="L189" s="567" t="n">
        <v>3950.25</v>
      </c>
    </row>
    <row r="190" ht="15" customHeight="1" s="278">
      <c r="A190" s="566" t="inlineStr">
        <is>
          <t>Rent cheque</t>
        </is>
      </c>
      <c r="B190" s="566" t="n">
        <v>11750</v>
      </c>
      <c r="C190" s="566" t="inlineStr">
        <is>
          <t>Projected rent money</t>
        </is>
      </c>
      <c r="D190" s="567" t="n">
        <v>10644.86</v>
      </c>
      <c r="E190" s="566" t="inlineStr">
        <is>
          <t>Current projected gap</t>
        </is>
      </c>
      <c r="F190" s="567" t="n">
        <v>1105.14</v>
      </c>
      <c r="G190" s="566" t="inlineStr">
        <is>
          <t>Zero-gap plan</t>
        </is>
      </c>
      <c r="H190" s="566" t="n">
        <v>0</v>
      </c>
      <c r="J190" s="566" t="inlineStr">
        <is>
          <t>Oct 1–22</t>
        </is>
      </c>
      <c r="K190" s="566" t="n">
        <v>0</v>
      </c>
      <c r="L190" s="567" t="n">
        <v>14310.75</v>
      </c>
    </row>
    <row r="191" ht="15" customHeight="1" s="278">
      <c r="A191" s="566" t="inlineStr">
        <is>
          <t>Actual</t>
        </is>
      </c>
      <c r="C191" s="566" t="inlineStr">
        <is>
          <t>Before closure actions</t>
        </is>
      </c>
      <c r="E191" s="566" t="inlineStr">
        <is>
          <t>Before closure actions</t>
        </is>
      </c>
      <c r="G191" s="566" t="inlineStr">
        <is>
          <t>Conditional</t>
        </is>
      </c>
      <c r="J191" s="566" t="inlineStr">
        <is>
          <t>Rent cheque</t>
        </is>
      </c>
      <c r="K191" s="566" t="n">
        <v>0</v>
      </c>
      <c r="L191" s="566" t="n">
        <v>11750</v>
      </c>
    </row>
    <row r="192" ht="15" customHeight="1" s="278">
      <c r="A192" s="566" t="inlineStr">
        <is>
          <t>RENT CLOSURE ACTIONS</t>
        </is>
      </c>
    </row>
    <row r="193" ht="15" customHeight="1" s="278">
      <c r="A193" s="566" t="inlineStr">
        <is>
          <t>Action</t>
        </is>
      </c>
      <c r="B193" s="566" t="inlineStr">
        <is>
          <t>Amount</t>
        </is>
      </c>
      <c r="C193" s="566" t="inlineStr">
        <is>
          <t>Deadline</t>
        </is>
      </c>
      <c r="D193" s="566" t="inlineStr">
        <is>
          <t>Evidence</t>
        </is>
      </c>
      <c r="E193" s="566" t="inlineStr">
        <is>
          <t>Action</t>
        </is>
      </c>
      <c r="F193" s="566" t="inlineStr">
        <is>
          <t>Amount</t>
        </is>
      </c>
      <c r="G193" s="566" t="inlineStr">
        <is>
          <t>Deadline</t>
        </is>
      </c>
      <c r="H193" s="566" t="inlineStr">
        <is>
          <t>Evidence</t>
        </is>
      </c>
    </row>
    <row r="194" ht="15" customHeight="1" s="278">
      <c r="A194" s="566" t="inlineStr">
        <is>
          <t>Reach AED 8,800 August income</t>
        </is>
      </c>
      <c r="B194" s="567" t="n">
        <v>225.119999999999</v>
      </c>
      <c r="C194" s="568" t="n">
        <v>46265</v>
      </c>
      <c r="D194" s="566" t="inlineStr">
        <is>
          <t>Confirmed receipts only</t>
        </is>
      </c>
      <c r="E194" s="566" t="inlineStr">
        <is>
          <t>Additional rent income</t>
        </is>
      </c>
      <c r="F194" s="566" t="n">
        <v>600</v>
      </c>
      <c r="G194" s="568" t="n">
        <v>46295</v>
      </c>
      <c r="H194" s="566" t="inlineStr">
        <is>
          <t>Confirmed receipts only</t>
        </is>
      </c>
    </row>
    <row r="195" ht="15" customHeight="1" s="278">
      <c r="A195" s="566" t="inlineStr">
        <is>
          <t>Reduce living allowance</t>
        </is>
      </c>
      <c r="B195" s="567" t="n">
        <v>280.020000000002</v>
      </c>
      <c r="C195" s="568" t="n">
        <v>46316</v>
      </c>
      <c r="D195" s="566" t="inlineStr">
        <is>
          <t>Ledger must remain under cap</t>
        </is>
      </c>
      <c r="E195" s="566" t="inlineStr">
        <is>
          <t>Revised total living cap</t>
        </is>
      </c>
      <c r="F195" s="567" t="n">
        <v>814.979999999998</v>
      </c>
      <c r="G195" s="568" t="n">
        <v>46316</v>
      </c>
      <c r="H195" s="566" t="inlineStr">
        <is>
          <t>≈ AED 11/day</t>
        </is>
      </c>
    </row>
    <row r="196" ht="15" customHeight="1" s="278">
      <c r="A196" s="566" t="inlineStr">
        <is>
          <t>Final projected rent gap</t>
        </is>
      </c>
      <c r="B196" s="566" t="n">
        <v>0</v>
      </c>
      <c r="C196" s="568" t="n">
        <v>46316</v>
      </c>
      <c r="D196" s="566" t="inlineStr">
        <is>
          <t>Must equal zero</t>
        </is>
      </c>
      <c r="E196" s="566" t="inlineStr">
        <is>
          <t>Rent cheque</t>
        </is>
      </c>
      <c r="F196" s="566" t="n">
        <v>11750</v>
      </c>
      <c r="G196" s="568" t="n">
        <v>46317</v>
      </c>
      <c r="H196" s="566" t="inlineStr">
        <is>
          <t>Fund by prior day</t>
        </is>
      </c>
    </row>
    <row r="197" ht="15" customHeight="1" s="278">
      <c r="A197" s="566" t="inlineStr">
        <is>
          <t>MONTHLY CASH FLOW TO RENT</t>
        </is>
      </c>
    </row>
    <row r="198" ht="15" customHeight="1" s="278">
      <c r="A198" s="566" t="inlineStr">
        <is>
          <t>Period</t>
        </is>
      </c>
      <c r="B198" s="566" t="inlineStr">
        <is>
          <t>Income</t>
        </is>
      </c>
      <c r="C198" s="566" t="inlineStr">
        <is>
          <t>Costs before rent</t>
        </is>
      </c>
      <c r="D198" s="566" t="inlineStr">
        <is>
          <t>Rent available</t>
        </is>
      </c>
    </row>
    <row r="199" ht="15" customHeight="1" s="278">
      <c r="A199" s="566" t="inlineStr">
        <is>
          <t>Aug 2026</t>
        </is>
      </c>
      <c r="B199" s="567" t="n">
        <v>6004.88</v>
      </c>
      <c r="C199" s="567" t="n">
        <v>1033.42</v>
      </c>
      <c r="D199" s="567" t="n">
        <v>9248.65</v>
      </c>
    </row>
    <row r="200" ht="15" customHeight="1" s="278">
      <c r="A200" s="566" t="inlineStr">
        <is>
          <t>Sep 2026</t>
        </is>
      </c>
      <c r="B200" s="567" t="n">
        <v>7914.88</v>
      </c>
      <c r="C200" s="567" t="n">
        <v>3950.25</v>
      </c>
      <c r="D200" s="567" t="n">
        <v>13213.28</v>
      </c>
    </row>
    <row r="201" ht="15" customHeight="1" s="278">
      <c r="A201" s="566" t="inlineStr">
        <is>
          <t>Oct 1–22</t>
        </is>
      </c>
      <c r="B201" s="566" t="n">
        <v>0</v>
      </c>
      <c r="C201" s="567" t="n">
        <v>14310.75</v>
      </c>
      <c r="D201" s="567" t="n">
        <v>10644.86</v>
      </c>
    </row>
    <row r="202" ht="15" customHeight="1" s="278">
      <c r="A202" s="566" t="inlineStr">
        <is>
          <t>Total available for rent</t>
        </is>
      </c>
      <c r="D202" s="567" t="n">
        <v>10644.86</v>
      </c>
    </row>
    <row r="203" ht="15" customHeight="1" s="278">
      <c r="A203" s="566" t="inlineStr">
        <is>
          <t>CONTROL STATUS</t>
        </is>
      </c>
    </row>
    <row r="204" ht="15" customHeight="1" s="278">
      <c r="A204" s="566" t="inlineStr">
        <is>
          <t>Model status</t>
        </is>
      </c>
      <c r="C204" s="566" t="inlineStr">
        <is>
          <t>Pending refund risk</t>
        </is>
      </c>
      <c r="E204" s="566" t="inlineStr">
        <is>
          <t>Pending salary risk</t>
        </is>
      </c>
      <c r="G204" s="566" t="inlineStr">
        <is>
          <t>Tabby Card</t>
        </is>
      </c>
    </row>
    <row r="205" ht="15" customHeight="1" s="278">
      <c r="A205" s="566" t="inlineStr">
        <is>
          <t>ALL CHECKS OK</t>
        </is>
      </c>
      <c r="C205" s="566" t="n">
        <v>1430</v>
      </c>
      <c r="E205" s="566" t="n">
        <v>1540</v>
      </c>
      <c r="G205" s="566" t="inlineStr">
        <is>
          <t>Frozen</t>
        </is>
      </c>
    </row>
    <row r="206" ht="15" customHeight="1" s="278">
      <c r="A206" s="566" t="inlineStr">
        <is>
          <t>All checks must be OK</t>
        </is>
      </c>
      <c r="C206" s="566" t="inlineStr">
        <is>
          <t>Not cash until received</t>
        </is>
      </c>
      <c r="E206" s="566" t="inlineStr">
        <is>
          <t>Not cash until received</t>
        </is>
      </c>
      <c r="G206" s="566" t="inlineStr">
        <is>
          <t>No new spending</t>
        </is>
      </c>
    </row>
    <row r="209" ht="19.5" customHeight="1" s="278">
      <c r="A209" s="382" t="inlineStr">
        <is>
          <t>ORIGINAL SHEET:  Sources &amp; Audit</t>
        </is>
      </c>
      <c r="B209" s="287" t="n"/>
      <c r="C209" s="287" t="n"/>
      <c r="D209" s="287" t="n"/>
      <c r="E209" s="287" t="n"/>
      <c r="F209" s="287" t="n"/>
      <c r="G209" s="287" t="n"/>
      <c r="H209" s="287" t="n"/>
      <c r="I209" s="287" t="n"/>
      <c r="J209" s="287" t="n"/>
      <c r="K209" s="287" t="n"/>
      <c r="L209" s="287" t="n"/>
    </row>
    <row r="210" ht="15" customHeight="1" s="278">
      <c r="A210" s="566" t="inlineStr">
        <is>
          <t>Sources, Assumptions and Change Log</t>
        </is>
      </c>
    </row>
    <row r="211" ht="15" customHeight="1" s="278">
      <c r="A211" s="566" t="inlineStr">
        <is>
          <t>This workbook is a controlled mirror of Johnny's Edge, not a bank connection.</t>
        </is>
      </c>
    </row>
    <row r="212" ht="15" customHeight="1" s="278">
      <c r="A212" s="566" t="inlineStr">
        <is>
          <t>ID</t>
        </is>
      </c>
      <c r="B212" s="566" t="inlineStr">
        <is>
          <t>Item</t>
        </is>
      </c>
      <c r="C212" s="566" t="inlineStr">
        <is>
          <t>Value / scope</t>
        </is>
      </c>
      <c r="D212" s="566" t="inlineStr">
        <is>
          <t>Status</t>
        </is>
      </c>
      <c r="E212" s="566" t="inlineStr">
        <is>
          <t>As of</t>
        </is>
      </c>
      <c r="F212" s="566" t="inlineStr">
        <is>
          <t>Source</t>
        </is>
      </c>
      <c r="G212" s="566" t="inlineStr">
        <is>
          <t>Notes</t>
        </is>
      </c>
    </row>
    <row r="213" ht="15" customHeight="1" s="278">
      <c r="A213" s="566" t="inlineStr">
        <is>
          <t>S1</t>
        </is>
      </c>
      <c r="B213" s="566" t="inlineStr">
        <is>
          <t>Cash balances</t>
        </is>
      </c>
      <c r="C213" s="566" t="inlineStr">
        <is>
          <t>AED 4,277.19</t>
        </is>
      </c>
      <c r="D213" s="566" t="inlineStr">
        <is>
          <t>Actual</t>
        </is>
      </c>
      <c r="E213" s="568" t="n">
        <v>46245</v>
      </c>
      <c r="F213" s="566" t="inlineStr">
        <is>
          <t>Johnny-provided bank screenshots/SMS</t>
        </is>
      </c>
      <c r="G213" s="566" t="inlineStr">
        <is>
          <t>FAB, NBD and Tabby Cash components</t>
        </is>
      </c>
    </row>
    <row r="214" ht="15" customHeight="1" s="278">
      <c r="A214" s="566" t="inlineStr">
        <is>
          <t>S2</t>
        </is>
      </c>
      <c r="B214" s="566" t="inlineStr">
        <is>
          <t>Rent cheque</t>
        </is>
      </c>
      <c r="C214" s="566" t="inlineStr">
        <is>
          <t>AED 11,750</t>
        </is>
      </c>
      <c r="D214" s="566" t="inlineStr">
        <is>
          <t>Actual</t>
        </is>
      </c>
      <c r="E214" s="568" t="n">
        <v>46245</v>
      </c>
      <c r="F214" s="566" t="inlineStr">
        <is>
          <t>Johnny's lease schedule</t>
        </is>
      </c>
      <c r="G214" s="566" t="inlineStr">
        <is>
          <t>Due 22 Oct 2026</t>
        </is>
      </c>
    </row>
    <row r="215" ht="15" customHeight="1" s="278">
      <c r="A215" s="566" t="inlineStr">
        <is>
          <t>S3</t>
        </is>
      </c>
      <c r="B215" s="566" t="inlineStr">
        <is>
          <t>Rent refund</t>
        </is>
      </c>
      <c r="C215" s="566" t="inlineStr">
        <is>
          <t>AED 1,430</t>
        </is>
      </c>
      <c r="D215" s="566" t="inlineStr">
        <is>
          <t>Estimated</t>
        </is>
      </c>
      <c r="E215" s="568" t="n">
        <v>46245</v>
      </c>
      <c r="F215" s="566" t="inlineStr">
        <is>
          <t>Johnny report</t>
        </is>
      </c>
      <c r="G215" s="566" t="inlineStr">
        <is>
          <t>Not cash until received</t>
        </is>
      </c>
    </row>
    <row r="216" ht="15" customHeight="1" s="278">
      <c r="A216" s="566" t="inlineStr">
        <is>
          <t>S4</t>
        </is>
      </c>
      <c r="B216" s="566" t="inlineStr">
        <is>
          <t>Pending salary cash</t>
        </is>
      </c>
      <c r="C216" s="566" t="inlineStr">
        <is>
          <t>AED 1,540</t>
        </is>
      </c>
      <c r="D216" s="566" t="inlineStr">
        <is>
          <t>Estimated</t>
        </is>
      </c>
      <c r="E216" s="568" t="n">
        <v>46245</v>
      </c>
      <c r="F216" s="566" t="inlineStr">
        <is>
          <t>Johnny report</t>
        </is>
      </c>
      <c r="G216" s="566" t="inlineStr">
        <is>
          <t>Not cash until received</t>
        </is>
      </c>
    </row>
    <row r="217" ht="15" customHeight="1" s="278">
      <c r="A217" s="566" t="inlineStr">
        <is>
          <t>S5</t>
        </is>
      </c>
      <c r="B217" s="566" t="inlineStr">
        <is>
          <t>DEWA baseline</t>
        </is>
      </c>
      <c r="C217" s="566" t="inlineStr">
        <is>
          <t>AED 793.42</t>
        </is>
      </c>
      <c r="D217" s="566" t="inlineStr">
        <is>
          <t>Estimated</t>
        </is>
      </c>
      <c r="E217" s="568" t="n">
        <v>46229</v>
      </c>
      <c r="F217" s="566" t="inlineStr">
        <is>
          <t>Last confirmed DEWA payment</t>
        </is>
      </c>
      <c r="G217" s="566" t="inlineStr">
        <is>
          <t>Replace after actual August bill</t>
        </is>
      </c>
    </row>
    <row r="218" ht="15" customHeight="1" s="278">
      <c r="A218" s="566" t="inlineStr">
        <is>
          <t>S6</t>
        </is>
      </c>
      <c r="B218" s="566" t="inlineStr">
        <is>
          <t>du + Etisalat</t>
        </is>
      </c>
      <c r="C218" s="566" t="inlineStr">
        <is>
          <t>AED 914.93</t>
        </is>
      </c>
      <c r="D218" s="566" t="inlineStr">
        <is>
          <t>Actual paid / recurring estimate</t>
        </is>
      </c>
      <c r="E218" s="568" t="n">
        <v>46237</v>
      </c>
      <c r="F218" s="566" t="inlineStr">
        <is>
          <t>DubaiPay card record</t>
        </is>
      </c>
      <c r="G218" s="566" t="inlineStr">
        <is>
          <t>du 590.98 + Etisalat 323.95</t>
        </is>
      </c>
    </row>
    <row r="219" ht="15" customHeight="1" s="278">
      <c r="A219" s="566" t="inlineStr">
        <is>
          <t>S7</t>
        </is>
      </c>
      <c r="B219" s="566" t="inlineStr">
        <is>
          <t>Tabby September</t>
        </is>
      </c>
      <c r="C219" s="566" t="inlineStr">
        <is>
          <t>AED 1,314.50</t>
        </is>
      </c>
      <c r="D219" s="566" t="inlineStr">
        <is>
          <t>Actual statement option</t>
        </is>
      </c>
      <c r="E219" s="568" t="n">
        <v>46238</v>
      </c>
      <c r="F219" s="566" t="inlineStr">
        <is>
          <t>Tabby screenshots</t>
        </is>
      </c>
      <c r="G219" s="566" t="inlineStr">
        <is>
          <t>No-fee minimum due 03 Sep</t>
        </is>
      </c>
    </row>
    <row r="220" ht="15" customHeight="1" s="278">
      <c r="A220" s="566" t="inlineStr">
        <is>
          <t>S8</t>
        </is>
      </c>
      <c r="B220" s="566" t="inlineStr">
        <is>
          <t>Nippon SIP</t>
        </is>
      </c>
      <c r="C220" s="566" t="inlineStr">
        <is>
          <t>₹12,000 completed</t>
        </is>
      </c>
      <c r="D220" s="566" t="inlineStr">
        <is>
          <t>Actual</t>
        </is>
      </c>
      <c r="E220" s="568" t="n">
        <v>46244</v>
      </c>
      <c r="F220" s="566" t="inlineStr">
        <is>
          <t>MF Central + Nippon confirmation email</t>
        </is>
      </c>
      <c r="G220" s="566" t="inlineStr">
        <is>
          <t>Four ₹3,000 SIPs</t>
        </is>
      </c>
    </row>
    <row r="221" ht="15" customHeight="1" s="278">
      <c r="A221" s="566" t="inlineStr">
        <is>
          <t>S9</t>
        </is>
      </c>
      <c r="B221" s="566" t="inlineStr">
        <is>
          <t>Mutual funds</t>
        </is>
      </c>
      <c r="C221" s="566" t="inlineStr">
        <is>
          <t>₹245,087.15 snapshot</t>
        </is>
      </c>
      <c r="D221" s="566" t="inlineStr">
        <is>
          <t>Actual with rounding</t>
        </is>
      </c>
      <c r="E221" s="568" t="n">
        <v>46244</v>
      </c>
      <c r="F221" s="566" t="inlineStr">
        <is>
          <t>MF Central screenshots</t>
        </is>
      </c>
      <c r="G221" s="566" t="inlineStr">
        <is>
          <t>Unit rounding may create minor differences</t>
        </is>
      </c>
    </row>
    <row r="222" ht="15" customHeight="1" s="278">
      <c r="A222" s="566" t="inlineStr">
        <is>
          <t>S10</t>
        </is>
      </c>
      <c r="B222" s="566" t="inlineStr">
        <is>
          <t>Website</t>
        </is>
      </c>
      <c r="C222" s="566" t="inlineStr">
        <is>
          <t>Version 68</t>
        </is>
      </c>
      <c r="D222" s="566" t="inlineStr">
        <is>
          <t>Controlled mirror</t>
        </is>
      </c>
      <c r="E222" s="568" t="n">
        <v>46245</v>
      </c>
      <c r="F222" s="566" t="inlineStr">
        <is>
          <t>Johnny's Edge</t>
        </is>
      </c>
      <c r="G222" s="566" t="inlineStr">
        <is>
          <t>Rent closure plan added</t>
        </is>
      </c>
    </row>
    <row r="223" ht="15" customHeight="1" s="278">
      <c r="A223" s="566" t="inlineStr">
        <is>
          <t>C1</t>
        </is>
      </c>
      <c r="B223" s="566" t="inlineStr">
        <is>
          <t>Classification rule</t>
        </is>
      </c>
      <c r="C223" s="566" t="inlineStr">
        <is>
          <t>Tabby Cash ≠ Tabby Card</t>
        </is>
      </c>
      <c r="D223" s="566" t="inlineStr">
        <is>
          <t>Control</t>
        </is>
      </c>
      <c r="E223" s="568" t="n">
        <v>46245</v>
      </c>
      <c r="F223" s="566" t="inlineStr">
        <is>
          <t>Owner instruction</t>
        </is>
      </c>
      <c r="G223" s="566" t="inlineStr">
        <is>
          <t>Wallet spending never resets Card streak</t>
        </is>
      </c>
    </row>
    <row r="224" ht="15" customHeight="1" s="278">
      <c r="A224" s="566" t="inlineStr">
        <is>
          <t>C2</t>
        </is>
      </c>
      <c r="B224" s="566" t="inlineStr">
        <is>
          <t>Double-count rule</t>
        </is>
      </c>
      <c r="C224" s="566" t="inlineStr">
        <is>
          <t>Transfers/repayments excluded</t>
        </is>
      </c>
      <c r="D224" s="566" t="inlineStr">
        <is>
          <t>Control</t>
        </is>
      </c>
      <c r="E224" s="568" t="n">
        <v>46245</v>
      </c>
      <c r="F224" s="566" t="inlineStr">
        <is>
          <t>Model rule</t>
        </is>
      </c>
      <c r="G224" s="566" t="inlineStr">
        <is>
          <t>Paid items shown once</t>
        </is>
      </c>
    </row>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2026-08-11T10:23:23Z</dcterms:created>
  <dcterms:modified xsi:type="dcterms:W3CDTF">2026-08-26T17:54:34Z</dcterms:modified>
  <cp:revision>2</cp:revision>
</cp:coreProperties>
</file>