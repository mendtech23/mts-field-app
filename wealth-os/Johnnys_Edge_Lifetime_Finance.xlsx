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AI Advisor" sheetId="2" state="visible" r:id="rId2"/>
    <sheet name="Inputs" sheetId="3" state="visible" r:id="rId3"/>
    <sheet name="FX &amp; Assumptions" sheetId="4" state="visible" r:id="rId4"/>
    <sheet name="Budget" sheetId="5" state="visible" r:id="rId5"/>
    <sheet name="Spend Analysis" sheetId="6" state="visible" r:id="rId6"/>
    <sheet name="Recent Ledger" sheetId="7" state="visible" r:id="rId7"/>
    <sheet name="Monthly Plan" sheetId="8" state="visible" r:id="rId8"/>
    <sheet name="Rent Closure" sheetId="9" state="visible" r:id="rId9"/>
    <sheet name="Obligations" sheetId="10" state="visible" r:id="rId10"/>
    <sheet name="Debt Plan" sheetId="11" state="visible" r:id="rId11"/>
    <sheet name="Investments" sheetId="12" state="visible" r:id="rId12"/>
    <sheet name="Net Worth" sheetId="13" state="visible" r:id="rId13"/>
    <sheet name="Wealth Plan" sheetId="14" state="visible" r:id="rId14"/>
    <sheet name="Goals" sheetId="15" state="visible" r:id="rId15"/>
    <sheet name="Checks" sheetId="16" state="visible" r:id="rId16"/>
    <sheet name="Sources &amp; Audit" sheetId="17" state="visible" r:id="rId17"/>
  </sheets>
  <definedNames/>
  <calcPr calcId="124519" fullCalcOnLoad="1"/>
</workbook>
</file>

<file path=xl/styles.xml><?xml version="1.0" encoding="utf-8"?>
<styleSheet xmlns="http://schemas.openxmlformats.org/spreadsheetml/2006/main">
  <numFmts count="12">
    <numFmt numFmtId="164" formatCode="&quot;AED &quot;#,##0.00;[Red](&quot;AED &quot;#,##0.00);-"/>
    <numFmt numFmtId="165" formatCode="dd-mmm-yyyy"/>
    <numFmt numFmtId="166" formatCode="&quot;INR &quot;#,##0.00;[Red](&quot;INR &quot;#,##0.00);-"/>
    <numFmt numFmtId="167" formatCode="0.0%;[Red](0.0%);-"/>
    <numFmt numFmtId="168" formatCode="#,##0.0000"/>
    <numFmt numFmtId="169" formatCode="&quot;US$&quot;#,##0.00;[Red]-&quot;US$&quot;#,##0.00"/>
    <numFmt numFmtId="170" formatCode="dd-mmm hh:mm"/>
    <numFmt numFmtId="171" formatCode="dd mmm yyyy"/>
    <numFmt numFmtId="172" formatCode="dd mmm yyyy hh:mm"/>
    <numFmt numFmtId="173" formatCode="AED #,##0.00;[Red](AED #,##0.00);-"/>
    <numFmt numFmtId="174" formatCode="&quot;AED&quot; #,##0.00"/>
    <numFmt numFmtId="175" formatCode="0.00&quot;x&quot;"/>
  </numFmts>
  <fonts count="22">
    <font>
      <name val="Carlito"/>
      <sz val="11"/>
    </font>
    <font>
      <name val="Carlito"/>
      <b val="1"/>
      <color rgb="FFFFFFFF"/>
      <sz val="22"/>
    </font>
    <font>
      <name val="Carlito"/>
      <i val="1"/>
      <color rgb="FF687385"/>
      <sz val="10"/>
    </font>
    <font>
      <name val="Carlito"/>
      <b val="1"/>
      <color rgb="FFFFFFFF"/>
      <sz val="11"/>
    </font>
    <font>
      <name val="Carlito"/>
      <b val="1"/>
      <color rgb="FF101827"/>
      <sz val="11"/>
    </font>
    <font>
      <name val="Carlito"/>
      <color rgb="FF0000FF"/>
      <sz val="11"/>
    </font>
    <font>
      <name val="Carlito"/>
      <color rgb="FF101827"/>
      <sz val="11"/>
    </font>
    <font>
      <name val="Carlito"/>
      <color rgb="FF008000"/>
      <sz val="11"/>
    </font>
    <font>
      <name val="Carlito"/>
      <b val="1"/>
      <sz val="11"/>
    </font>
    <font>
      <name val="Carlito"/>
      <b val="1"/>
      <color rgb="FF008000"/>
      <sz val="11"/>
    </font>
    <font>
      <name val="Carlito"/>
      <b val="1"/>
      <color rgb="FFA43F4D"/>
      <sz val="11"/>
    </font>
    <font>
      <name val="Carlito"/>
      <b val="1"/>
      <color rgb="FF237A57"/>
      <sz val="11"/>
    </font>
    <font>
      <name val="Carlito"/>
      <b val="1"/>
      <color rgb="FFFFFFFF"/>
      <sz val="16"/>
    </font>
    <font>
      <name val="Carlito"/>
      <i val="1"/>
      <color rgb="FF687385"/>
      <sz val="9"/>
    </font>
    <font>
      <name val="Carlito"/>
      <b val="1"/>
      <color rgb="FFB45309"/>
      <sz val="11"/>
    </font>
    <font>
      <name val="Carlito"/>
      <b val="1"/>
      <color rgb="FFB45309"/>
      <sz val="12"/>
    </font>
    <font>
      <name val="Carlito"/>
      <b val="1"/>
      <i val="1"/>
      <color rgb="FF687385"/>
      <sz val="9"/>
    </font>
    <font>
      <name val="Carlito"/>
      <b val="1"/>
      <color rgb="FFFFFFFF"/>
      <sz val="13"/>
    </font>
    <font>
      <name val="Carlito"/>
      <color rgb="FF5A3300"/>
      <sz val="10"/>
    </font>
    <font>
      <name val="Carlito"/>
      <color rgb="FF687385"/>
      <sz val="10"/>
    </font>
    <font>
      <name val="Carlito"/>
      <b val="1"/>
      <color rgb="FF0000FF"/>
      <sz val="11"/>
    </font>
    <font>
      <name val="Carlito"/>
      <color rgb="FF687385"/>
      <sz val="11"/>
    </font>
  </fonts>
  <fills count="18">
    <fill>
      <patternFill/>
    </fill>
    <fill>
      <patternFill patternType="gray125"/>
    </fill>
    <fill>
      <patternFill patternType="solid">
        <fgColor rgb="FF071827"/>
      </patternFill>
    </fill>
    <fill>
      <patternFill patternType="solid">
        <fgColor rgb="FFEAF0F5"/>
      </patternFill>
    </fill>
    <fill>
      <patternFill patternType="solid">
        <fgColor rgb="FF0D3452"/>
      </patternFill>
    </fill>
    <fill>
      <patternFill patternType="solid">
        <fgColor rgb="FFFFF2CC"/>
      </patternFill>
    </fill>
    <fill>
      <patternFill patternType="solid">
        <fgColor rgb="FFE7F3ED"/>
      </patternFill>
    </fill>
    <fill>
      <patternFill patternType="solid">
        <fgColor rgb="FFF8E9EC"/>
      </patternFill>
    </fill>
    <fill>
      <patternFill patternType="solid">
        <fgColor rgb="FFFAF2E3"/>
      </patternFill>
    </fill>
    <fill>
      <patternFill patternType="solid">
        <fgColor rgb="FFFFF4CC"/>
      </patternFill>
    </fill>
    <fill>
      <patternFill patternType="solid">
        <fgColor rgb="FFFFF2CC"/>
      </patternFill>
    </fill>
    <fill>
      <patternFill patternType="solid">
        <fgColor rgb="FFFFF4CC"/>
      </patternFill>
    </fill>
    <fill>
      <patternFill patternType="solid">
        <fgColor rgb="FFF7FAFC"/>
      </patternFill>
    </fill>
    <fill>
      <patternFill patternType="solid">
        <fgColor rgb="FFFFF4CC"/>
      </patternFill>
    </fill>
    <fill>
      <patternFill patternType="solid">
        <fgColor rgb="FFF7FAFC"/>
      </patternFill>
    </fill>
    <fill>
      <patternFill patternType="solid">
        <fgColor rgb="FF16324F"/>
      </patternFill>
    </fill>
    <fill>
      <patternFill patternType="solid">
        <fgColor rgb="FFFFF4E5"/>
      </patternFill>
    </fill>
    <fill>
      <patternFill patternType="solid">
        <fgColor rgb="FFFFF7C0"/>
      </patternFill>
    </fill>
  </fills>
  <borders count="16">
    <border/>
    <border>
      <bottom style="double">
        <color rgb="FFDDE2E8"/>
      </bottom>
    </border>
    <border>
      <bottom style="double">
        <color rgb="FF0D3452"/>
      </bottom>
    </border>
    <border>
      <bottom style="double">
        <color rgb="FF237A57"/>
      </bottom>
    </border>
    <border>
      <left style="thin">
        <color rgb="FFDDE2E8"/>
      </left>
      <top style="thin">
        <color rgb="FFDDE2E8"/>
      </top>
      <bottom style="thin">
        <color rgb="FFDDE2E8"/>
      </bottom>
    </border>
    <border>
      <right style="thin">
        <color rgb="FFDDE2E8"/>
      </right>
      <top style="thin">
        <color rgb="FFDDE2E8"/>
      </top>
      <bottom style="thin">
        <color rgb="FFDDE2E8"/>
      </bottom>
    </border>
    <border>
      <left style="thin">
        <color rgb="FFDDE2E8"/>
      </left>
      <top style="thin">
        <color rgb="FFDDE2E8"/>
      </top>
    </border>
    <border>
      <top style="thin">
        <color rgb="FFDDE2E8"/>
      </top>
    </border>
    <border>
      <right style="thin">
        <color rgb="FFDDE2E8"/>
      </right>
      <top style="thin">
        <color rgb="FFDDE2E8"/>
      </top>
    </border>
    <border>
      <left style="thin">
        <color rgb="FFDDE2E8"/>
      </left>
    </border>
    <border>
      <right style="thin">
        <color rgb="FFDDE2E8"/>
      </right>
    </border>
    <border>
      <left style="thin">
        <color rgb="FFDDE2E8"/>
      </left>
      <bottom style="thin">
        <color rgb="FFDDE2E8"/>
      </bottom>
    </border>
    <border>
      <bottom style="thin">
        <color rgb="FFDDE2E8"/>
      </bottom>
    </border>
    <border>
      <right style="thin">
        <color rgb="FFDDE2E8"/>
      </right>
      <bottom style="thin">
        <color rgb="FFDDE2E8"/>
      </bottom>
    </border>
    <border>
      <left style="thin">
        <color rgb="FFD9E2EC"/>
      </left>
      <right style="thin">
        <color rgb="FFD9E2EC"/>
      </right>
      <top style="thin">
        <color rgb="FFD9E2EC"/>
      </top>
      <bottom style="thin">
        <color rgb="FFD9E2EC"/>
      </bottom>
    </border>
    <border>
      <left style="thin">
        <color rgb="FFD9E0E7"/>
      </left>
      <right style="thin">
        <color rgb="FFD9E0E7"/>
      </right>
      <top style="thin">
        <color rgb="FFD9E0E7"/>
      </top>
      <bottom style="thin">
        <color rgb="FFD9E0E7"/>
      </bottom>
    </border>
  </borders>
  <cellStyleXfs count="1">
    <xf numFmtId="0" fontId="0" fillId="0" borderId="0"/>
  </cellStyleXfs>
  <cellXfs count="311">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wrapText="1"/>
    </xf>
    <xf numFmtId="0" fontId="0" fillId="4" borderId="0" pivotButton="0" quotePrefix="0" xfId="0"/>
    <xf numFmtId="0" fontId="3" fillId="4" borderId="0" pivotButton="0" quotePrefix="0" xfId="0"/>
    <xf numFmtId="0" fontId="3" fillId="4" borderId="0" applyAlignment="1" pivotButton="0" quotePrefix="0" xfId="0">
      <alignment vertical="center"/>
    </xf>
    <xf numFmtId="0" fontId="4" fillId="3" borderId="0" pivotButton="0" quotePrefix="0" xfId="0"/>
    <xf numFmtId="0" fontId="4" fillId="3" borderId="1" pivotButton="0" quotePrefix="0" xfId="0"/>
    <xf numFmtId="0" fontId="4" fillId="3" borderId="1" applyAlignment="1" pivotButton="0" quotePrefix="0" xfId="0">
      <alignment wrapText="1"/>
    </xf>
    <xf numFmtId="0" fontId="4" fillId="3" borderId="1" applyAlignment="1" pivotButton="0" quotePrefix="0" xfId="0">
      <alignment vertical="center" wrapText="1"/>
    </xf>
    <xf numFmtId="0" fontId="4" fillId="3" borderId="2" pivotButton="0" quotePrefix="0" xfId="0"/>
    <xf numFmtId="164" fontId="4" fillId="3" borderId="2" pivotButton="0" quotePrefix="0" xfId="0"/>
    <xf numFmtId="164" fontId="0" fillId="0" borderId="0" pivotButton="0" quotePrefix="0" xfId="0"/>
    <xf numFmtId="165" fontId="0" fillId="0" borderId="0" pivotButton="0" quotePrefix="0" xfId="0"/>
    <xf numFmtId="165" fontId="4" fillId="3" borderId="2" pivotButton="0" quotePrefix="0" xfId="0"/>
    <xf numFmtId="0" fontId="0" fillId="5" borderId="0" pivotButton="0" quotePrefix="0" xfId="0"/>
    <xf numFmtId="0" fontId="5" fillId="5" borderId="0" pivotButton="0" quotePrefix="0" xfId="0"/>
    <xf numFmtId="164" fontId="5" fillId="5" borderId="0" pivotButton="0" quotePrefix="0" xfId="0"/>
    <xf numFmtId="0" fontId="6" fillId="0" borderId="0" pivotButton="0" quotePrefix="0" xfId="0"/>
    <xf numFmtId="164" fontId="6" fillId="0" borderId="0" pivotButton="0" quotePrefix="0" xfId="0"/>
    <xf numFmtId="166" fontId="5" fillId="5" borderId="0" pivotButton="0" quotePrefix="0" xfId="0"/>
    <xf numFmtId="0" fontId="7" fillId="0" borderId="0" pivotButton="0" quotePrefix="0" xfId="0"/>
    <xf numFmtId="164" fontId="7" fillId="0" borderId="0" pivotButton="0" quotePrefix="0" xfId="0"/>
    <xf numFmtId="0" fontId="0" fillId="6" borderId="0" pivotButton="0" quotePrefix="0" xfId="0"/>
    <xf numFmtId="164" fontId="7" fillId="6" borderId="0" pivotButton="0" quotePrefix="0" xfId="0"/>
    <xf numFmtId="0" fontId="8" fillId="6" borderId="0" pivotButton="0" quotePrefix="0" xfId="0"/>
    <xf numFmtId="164" fontId="9" fillId="6" borderId="0" pivotButton="0" quotePrefix="0" xfId="0"/>
    <xf numFmtId="164" fontId="7" fillId="3" borderId="0" pivotButton="0" quotePrefix="0" xfId="0"/>
    <xf numFmtId="164" fontId="4" fillId="3" borderId="0" pivotButton="0" quotePrefix="0" xfId="0"/>
    <xf numFmtId="0" fontId="0" fillId="7" borderId="0" pivotButton="0" quotePrefix="0" xfId="0"/>
    <xf numFmtId="164" fontId="7" fillId="7" borderId="0" pivotButton="0" quotePrefix="0" xfId="0"/>
    <xf numFmtId="0" fontId="10" fillId="7" borderId="0" pivotButton="0" quotePrefix="0" xfId="0"/>
    <xf numFmtId="164" fontId="10" fillId="7" borderId="0" pivotButton="0" quotePrefix="0" xfId="0"/>
    <xf numFmtId="164" fontId="6" fillId="6" borderId="0" pivotButton="0" quotePrefix="0" xfId="0"/>
    <xf numFmtId="165" fontId="0" fillId="6" borderId="0" pivotButton="0" quotePrefix="0" xfId="0"/>
    <xf numFmtId="0" fontId="11" fillId="6" borderId="0" pivotButton="0" quotePrefix="0" xfId="0"/>
    <xf numFmtId="164" fontId="11" fillId="6" borderId="0" pivotButton="0" quotePrefix="0" xfId="0"/>
    <xf numFmtId="165" fontId="11" fillId="6" borderId="0" pivotButton="0" quotePrefix="0" xfId="0"/>
    <xf numFmtId="0" fontId="11" fillId="6" borderId="3" pivotButton="0" quotePrefix="0" xfId="0"/>
    <xf numFmtId="164" fontId="11" fillId="6" borderId="3" pivotButton="0" quotePrefix="0" xfId="0"/>
    <xf numFmtId="165" fontId="11" fillId="6" borderId="3" pivotButton="0" quotePrefix="0" xfId="0"/>
    <xf numFmtId="0" fontId="4" fillId="3" borderId="2" pivotButton="0" quotePrefix="0" xfId="0"/>
    <xf numFmtId="0" fontId="10" fillId="7" borderId="0" applyAlignment="1" pivotButton="0" quotePrefix="0" xfId="0">
      <alignment wrapText="1"/>
    </xf>
    <xf numFmtId="0" fontId="10" fillId="7" borderId="0" applyAlignment="1" pivotButton="0" quotePrefix="0" xfId="0">
      <alignment vertical="center" wrapText="1"/>
    </xf>
    <xf numFmtId="166" fontId="0" fillId="0" borderId="0" pivotButton="0" quotePrefix="0" xfId="0"/>
    <xf numFmtId="166" fontId="4" fillId="3" borderId="2" pivotButton="0" quotePrefix="0" xfId="0"/>
    <xf numFmtId="167" fontId="0" fillId="0" borderId="0" pivotButton="0" quotePrefix="0" xfId="0"/>
    <xf numFmtId="167" fontId="4" fillId="3" borderId="2" pivotButton="0" quotePrefix="0" xfId="0"/>
    <xf numFmtId="168" fontId="0" fillId="0" borderId="0" pivotButton="0" quotePrefix="0" xfId="0"/>
    <xf numFmtId="169" fontId="0" fillId="0" borderId="0" pivotButton="0" quotePrefix="0" xfId="0"/>
    <xf numFmtId="1" fontId="0" fillId="0" borderId="0" pivotButton="0" quotePrefix="0" xfId="0"/>
    <xf numFmtId="170" fontId="0" fillId="0" borderId="0" pivotButton="0" quotePrefix="0" xfId="0"/>
    <xf numFmtId="4" fontId="0" fillId="0" borderId="0" pivotButton="0" quotePrefix="0" xfId="0"/>
    <xf numFmtId="0" fontId="12" fillId="2" borderId="0" pivotButton="0" quotePrefix="0" xfId="0"/>
    <xf numFmtId="0" fontId="12" fillId="2" borderId="0" applyAlignment="1" pivotButton="0" quotePrefix="0" xfId="0">
      <alignment vertical="center"/>
    </xf>
    <xf numFmtId="164" fontId="0" fillId="3" borderId="0" pivotButton="0" quotePrefix="0" xfId="0"/>
    <xf numFmtId="0" fontId="4" fillId="3" borderId="4" pivotButton="0" quotePrefix="0" xfId="0"/>
    <xf numFmtId="164" fontId="4" fillId="3" borderId="5" pivotButton="0" quotePrefix="0" xfId="0"/>
    <xf numFmtId="164" fontId="4" fillId="3" borderId="4" pivotButton="0" quotePrefix="0" xfId="0"/>
    <xf numFmtId="0" fontId="0" fillId="8" borderId="0" pivotButton="0" quotePrefix="0" xfId="0"/>
    <xf numFmtId="164" fontId="0" fillId="8" borderId="0" pivotButton="0" quotePrefix="0" xfId="0"/>
    <xf numFmtId="0" fontId="4" fillId="8" borderId="0" pivotButton="0" quotePrefix="0" xfId="0"/>
    <xf numFmtId="164" fontId="4" fillId="8" borderId="0" pivotButton="0" quotePrefix="0" xfId="0"/>
    <xf numFmtId="0" fontId="4" fillId="8" borderId="4" pivotButton="0" quotePrefix="0" xfId="0"/>
    <xf numFmtId="164" fontId="4" fillId="8" borderId="5" pivotButton="0" quotePrefix="0" xfId="0"/>
    <xf numFmtId="164" fontId="4" fillId="8" borderId="4" pivotButton="0" quotePrefix="0" xfId="0"/>
    <xf numFmtId="0" fontId="13" fillId="0" borderId="0" pivotButton="0" quotePrefix="0" xfId="0"/>
    <xf numFmtId="164" fontId="13" fillId="0" borderId="0" pivotButton="0" quotePrefix="0" xfId="0"/>
    <xf numFmtId="164" fontId="0" fillId="6" borderId="0" pivotButton="0" quotePrefix="0" xfId="0"/>
    <xf numFmtId="0" fontId="0" fillId="3" borderId="6" pivotButton="0" quotePrefix="0" xfId="0"/>
    <xf numFmtId="0" fontId="0" fillId="3" borderId="7" pivotButton="0" quotePrefix="0" xfId="0"/>
    <xf numFmtId="0" fontId="0" fillId="3" borderId="8" pivotButton="0" quotePrefix="0" xfId="0"/>
    <xf numFmtId="0" fontId="0" fillId="3" borderId="9" pivotButton="0" quotePrefix="0" xfId="0"/>
    <xf numFmtId="0" fontId="0" fillId="3" borderId="10" pivotButton="0" quotePrefix="0" xfId="0"/>
    <xf numFmtId="0" fontId="0" fillId="3" borderId="11" pivotButton="0" quotePrefix="0" xfId="0"/>
    <xf numFmtId="0" fontId="0" fillId="3" borderId="12" pivotButton="0" quotePrefix="0" xfId="0"/>
    <xf numFmtId="0" fontId="0" fillId="3" borderId="13" pivotButton="0" quotePrefix="0" xfId="0"/>
    <xf numFmtId="0" fontId="0" fillId="3" borderId="6" applyAlignment="1" pivotButton="0" quotePrefix="0" xfId="0">
      <alignment wrapText="1"/>
    </xf>
    <xf numFmtId="0" fontId="0" fillId="3" borderId="7" applyAlignment="1" pivotButton="0" quotePrefix="0" xfId="0">
      <alignment wrapText="1"/>
    </xf>
    <xf numFmtId="0" fontId="0" fillId="3" borderId="8" applyAlignment="1" pivotButton="0" quotePrefix="0" xfId="0">
      <alignment wrapText="1"/>
    </xf>
    <xf numFmtId="0" fontId="0" fillId="3" borderId="9" applyAlignment="1" pivotButton="0" quotePrefix="0" xfId="0">
      <alignment wrapText="1"/>
    </xf>
    <xf numFmtId="0" fontId="0" fillId="3" borderId="0" applyAlignment="1" pivotButton="0" quotePrefix="0" xfId="0">
      <alignment wrapText="1"/>
    </xf>
    <xf numFmtId="164" fontId="0" fillId="3" borderId="0" applyAlignment="1" pivotButton="0" quotePrefix="0" xfId="0">
      <alignment wrapText="1"/>
    </xf>
    <xf numFmtId="0" fontId="0" fillId="3" borderId="10" applyAlignment="1" pivotButton="0" quotePrefix="0" xfId="0">
      <alignment wrapText="1"/>
    </xf>
    <xf numFmtId="0" fontId="0" fillId="3" borderId="11" applyAlignment="1" pivotButton="0" quotePrefix="0" xfId="0">
      <alignment wrapText="1"/>
    </xf>
    <xf numFmtId="0" fontId="0" fillId="3" borderId="12" applyAlignment="1" pivotButton="0" quotePrefix="0" xfId="0">
      <alignment wrapText="1"/>
    </xf>
    <xf numFmtId="0" fontId="0" fillId="3" borderId="13" applyAlignment="1" pivotButton="0" quotePrefix="0" xfId="0">
      <alignment wrapText="1"/>
    </xf>
    <xf numFmtId="0" fontId="3" fillId="2" borderId="0" pivotButton="0" quotePrefix="0" xfId="0"/>
    <xf numFmtId="0" fontId="3" fillId="2" borderId="0" applyAlignment="1" pivotButton="0" quotePrefix="0" xfId="0">
      <alignment wrapText="1"/>
    </xf>
    <xf numFmtId="0" fontId="2" fillId="3" borderId="0" applyAlignment="1" pivotButton="0" quotePrefix="0" xfId="0">
      <alignment vertical="center" wrapText="1"/>
    </xf>
    <xf numFmtId="0" fontId="0" fillId="0" borderId="0" applyAlignment="1" pivotButton="0" quotePrefix="0" xfId="0">
      <alignment vertical="center"/>
    </xf>
    <xf numFmtId="0" fontId="4" fillId="3" borderId="4" applyAlignment="1" pivotButton="0" quotePrefix="0" xfId="0">
      <alignment vertical="center"/>
    </xf>
    <xf numFmtId="164" fontId="4" fillId="3" borderId="5" applyAlignment="1" pivotButton="0" quotePrefix="0" xfId="0">
      <alignment vertical="center"/>
    </xf>
    <xf numFmtId="164" fontId="4" fillId="3" borderId="4" applyAlignment="1" pivotButton="0" quotePrefix="0" xfId="0">
      <alignment vertical="center"/>
    </xf>
    <xf numFmtId="164" fontId="0" fillId="0" borderId="0" applyAlignment="1" pivotButton="0" quotePrefix="0" xfId="0">
      <alignment vertical="center"/>
    </xf>
    <xf numFmtId="0" fontId="13" fillId="0" borderId="0" applyAlignment="1" pivotButton="0" quotePrefix="0" xfId="0">
      <alignment vertical="center"/>
    </xf>
    <xf numFmtId="164" fontId="13" fillId="0" borderId="0" applyAlignment="1" pivotButton="0" quotePrefix="0" xfId="0">
      <alignment vertical="center"/>
    </xf>
    <xf numFmtId="0" fontId="4" fillId="8" borderId="4" applyAlignment="1" pivotButton="0" quotePrefix="0" xfId="0">
      <alignment vertical="center"/>
    </xf>
    <xf numFmtId="164" fontId="4" fillId="8" borderId="5" applyAlignment="1" pivotButton="0" quotePrefix="0" xfId="0">
      <alignment vertical="center"/>
    </xf>
    <xf numFmtId="164" fontId="4" fillId="8" borderId="4" applyAlignment="1" pivotButton="0" quotePrefix="0" xfId="0">
      <alignment vertical="center"/>
    </xf>
    <xf numFmtId="165" fontId="0" fillId="0" borderId="0" applyAlignment="1" pivotButton="0" quotePrefix="0" xfId="0">
      <alignment vertical="center"/>
    </xf>
    <xf numFmtId="0" fontId="11" fillId="6" borderId="0" applyAlignment="1" pivotButton="0" quotePrefix="0" xfId="0">
      <alignment vertical="center"/>
    </xf>
    <xf numFmtId="164" fontId="11" fillId="6" borderId="0" applyAlignment="1" pivotButton="0" quotePrefix="0" xfId="0">
      <alignment vertical="center"/>
    </xf>
    <xf numFmtId="165" fontId="11" fillId="6" borderId="0" applyAlignment="1" pivotButton="0" quotePrefix="0" xfId="0">
      <alignment vertical="center"/>
    </xf>
    <xf numFmtId="164" fontId="4" fillId="3" borderId="2" applyAlignment="1" pivotButton="0" quotePrefix="0" xfId="0">
      <alignment vertical="center"/>
    </xf>
    <xf numFmtId="0" fontId="0" fillId="3" borderId="6" applyAlignment="1" pivotButton="0" quotePrefix="0" xfId="0">
      <alignment vertical="center" wrapText="1"/>
    </xf>
    <xf numFmtId="0" fontId="0" fillId="3" borderId="7" applyAlignment="1" pivotButton="0" quotePrefix="0" xfId="0">
      <alignment vertical="center" wrapText="1"/>
    </xf>
    <xf numFmtId="0" fontId="0" fillId="3" borderId="8" applyAlignment="1" pivotButton="0" quotePrefix="0" xfId="0">
      <alignment vertical="center" wrapText="1"/>
    </xf>
    <xf numFmtId="0" fontId="0" fillId="3" borderId="9" applyAlignment="1" pivotButton="0" quotePrefix="0" xfId="0">
      <alignment vertical="center" wrapText="1"/>
    </xf>
    <xf numFmtId="0" fontId="0" fillId="3" borderId="0" applyAlignment="1" pivotButton="0" quotePrefix="0" xfId="0">
      <alignment vertical="center" wrapText="1"/>
    </xf>
    <xf numFmtId="164" fontId="0" fillId="3" borderId="0" applyAlignment="1" pivotButton="0" quotePrefix="0" xfId="0">
      <alignment vertical="center" wrapText="1"/>
    </xf>
    <xf numFmtId="0" fontId="0" fillId="3" borderId="10" applyAlignment="1" pivotButton="0" quotePrefix="0" xfId="0">
      <alignment vertical="center" wrapText="1"/>
    </xf>
    <xf numFmtId="0" fontId="0" fillId="3" borderId="11" applyAlignment="1" pivotButton="0" quotePrefix="0" xfId="0">
      <alignment vertical="center" wrapText="1"/>
    </xf>
    <xf numFmtId="0" fontId="0" fillId="3" borderId="12" applyAlignment="1" pivotButton="0" quotePrefix="0" xfId="0">
      <alignment vertical="center" wrapText="1"/>
    </xf>
    <xf numFmtId="0" fontId="0" fillId="3" borderId="13" applyAlignment="1" pivotButton="0" quotePrefix="0" xfId="0">
      <alignment vertical="center" wrapText="1"/>
    </xf>
    <xf numFmtId="165" fontId="4" fillId="3" borderId="2" applyAlignment="1" pivotButton="0" quotePrefix="0" xfId="0">
      <alignment vertical="center"/>
    </xf>
    <xf numFmtId="164" fontId="5" fillId="5" borderId="0" applyAlignment="1" pivotButton="0" quotePrefix="0" xfId="0">
      <alignment vertical="center"/>
    </xf>
    <xf numFmtId="164" fontId="6" fillId="0" borderId="0" applyAlignment="1" pivotButton="0" quotePrefix="0" xfId="0">
      <alignment vertical="center"/>
    </xf>
    <xf numFmtId="166" fontId="5" fillId="5" borderId="0" applyAlignment="1" pivotButton="0" quotePrefix="0" xfId="0">
      <alignment vertical="center"/>
    </xf>
    <xf numFmtId="0" fontId="3" fillId="2" borderId="0" applyAlignment="1" pivotButton="0" quotePrefix="0" xfId="0">
      <alignment vertical="center" wrapText="1"/>
    </xf>
    <xf numFmtId="164" fontId="7" fillId="0" borderId="0" applyAlignment="1" pivotButton="0" quotePrefix="0" xfId="0">
      <alignment vertical="center"/>
    </xf>
    <xf numFmtId="0" fontId="8" fillId="6" borderId="0" applyAlignment="1" pivotButton="0" quotePrefix="0" xfId="0">
      <alignment vertical="center"/>
    </xf>
    <xf numFmtId="164" fontId="9" fillId="6" borderId="0" applyAlignment="1" pivotButton="0" quotePrefix="0" xfId="0">
      <alignment vertical="center"/>
    </xf>
    <xf numFmtId="164" fontId="4" fillId="3" borderId="0" applyAlignment="1" pivotButton="0" quotePrefix="0" xfId="0">
      <alignment vertical="center"/>
    </xf>
    <xf numFmtId="0" fontId="10" fillId="7" borderId="0" applyAlignment="1" pivotButton="0" quotePrefix="0" xfId="0">
      <alignment vertical="center"/>
    </xf>
    <xf numFmtId="164" fontId="10" fillId="7" borderId="0" applyAlignment="1" pivotButton="0" quotePrefix="0" xfId="0">
      <alignment vertical="center"/>
    </xf>
    <xf numFmtId="0" fontId="11" fillId="6" borderId="3" applyAlignment="1" pivotButton="0" quotePrefix="0" xfId="0">
      <alignment vertical="center"/>
    </xf>
    <xf numFmtId="164" fontId="11" fillId="6" borderId="3" applyAlignment="1" pivotButton="0" quotePrefix="0" xfId="0">
      <alignment vertical="center"/>
    </xf>
    <xf numFmtId="165" fontId="11" fillId="6" borderId="3" applyAlignment="1" pivotButton="0" quotePrefix="0" xfId="0">
      <alignment vertical="center"/>
    </xf>
    <xf numFmtId="0" fontId="4" fillId="3" borderId="2" applyAlignment="1" pivotButton="0" quotePrefix="0" xfId="0">
      <alignment vertical="center"/>
    </xf>
    <xf numFmtId="166" fontId="0" fillId="0" borderId="0" applyAlignment="1" pivotButton="0" quotePrefix="0" xfId="0">
      <alignment vertical="center"/>
    </xf>
    <xf numFmtId="167" fontId="0" fillId="0" borderId="0" applyAlignment="1" pivotButton="0" quotePrefix="0" xfId="0">
      <alignment vertical="center"/>
    </xf>
    <xf numFmtId="168" fontId="0" fillId="0" borderId="0" applyAlignment="1" pivotButton="0" quotePrefix="0" xfId="0">
      <alignment vertical="center"/>
    </xf>
    <xf numFmtId="166" fontId="4" fillId="3" borderId="2" applyAlignment="1" pivotButton="0" quotePrefix="0" xfId="0">
      <alignment vertical="center"/>
    </xf>
    <xf numFmtId="167" fontId="4" fillId="3" borderId="2" applyAlignment="1" pivotButton="0" quotePrefix="0" xfId="0">
      <alignment vertical="center"/>
    </xf>
    <xf numFmtId="169" fontId="0" fillId="0" borderId="0" applyAlignment="1" pivotButton="0" quotePrefix="0" xfId="0">
      <alignment vertical="center"/>
    </xf>
    <xf numFmtId="1" fontId="0" fillId="0" borderId="0" applyAlignment="1" pivotButton="0" quotePrefix="0" xfId="0">
      <alignment vertical="center"/>
    </xf>
    <xf numFmtId="170" fontId="0" fillId="0" borderId="0" applyAlignment="1" pivotButton="0" quotePrefix="0" xfId="0">
      <alignment vertical="center"/>
    </xf>
    <xf numFmtId="4" fontId="0" fillId="0" borderId="0" applyAlignment="1" pivotButton="0" quotePrefix="0" xfId="0">
      <alignment vertical="center"/>
    </xf>
    <xf numFmtId="0" fontId="0" fillId="0" borderId="14" applyAlignment="1" pivotButton="0" quotePrefix="0" xfId="0">
      <alignment vertical="center"/>
    </xf>
    <xf numFmtId="164" fontId="6" fillId="0" borderId="14" applyAlignment="1" pivotButton="0" quotePrefix="0" xfId="0">
      <alignment vertical="center"/>
    </xf>
    <xf numFmtId="165" fontId="0" fillId="0" borderId="14" applyAlignment="1" pivotButton="0" quotePrefix="0" xfId="0">
      <alignment vertical="center"/>
    </xf>
    <xf numFmtId="4" fontId="6" fillId="0" borderId="14" applyAlignment="1" pivotButton="0" quotePrefix="0" xfId="0">
      <alignment vertical="center"/>
    </xf>
    <xf numFmtId="4" fontId="0" fillId="0" borderId="14" applyAlignment="1" pivotButton="0" quotePrefix="0" xfId="0">
      <alignment vertical="center"/>
    </xf>
    <xf numFmtId="171" fontId="0" fillId="0" borderId="14" applyAlignment="1" pivotButton="0" quotePrefix="0" xfId="0">
      <alignment vertical="center"/>
    </xf>
    <xf numFmtId="172" fontId="0" fillId="0" borderId="0" pivotButton="0" quotePrefix="0" xfId="0"/>
    <xf numFmtId="172" fontId="0" fillId="0" borderId="14" pivotButton="0" quotePrefix="0" xfId="0"/>
    <xf numFmtId="0" fontId="0" fillId="0" borderId="14" pivotButton="0" quotePrefix="0" xfId="0"/>
    <xf numFmtId="4" fontId="0" fillId="0" borderId="14" pivotButton="0" quotePrefix="0" xfId="0"/>
    <xf numFmtId="0" fontId="0" fillId="9" borderId="14" applyAlignment="1" pivotButton="0" quotePrefix="0" xfId="0">
      <alignment vertical="center"/>
    </xf>
    <xf numFmtId="0" fontId="14" fillId="9" borderId="14" applyAlignment="1" pivotButton="0" quotePrefix="0" xfId="0">
      <alignment vertical="center"/>
    </xf>
    <xf numFmtId="0" fontId="12" fillId="9" borderId="0" applyAlignment="1" pivotButton="0" quotePrefix="0" xfId="0">
      <alignment vertical="center"/>
    </xf>
    <xf numFmtId="0" fontId="15" fillId="9" borderId="0" applyAlignment="1" pivotButton="0" quotePrefix="0" xfId="0">
      <alignment vertical="center"/>
    </xf>
    <xf numFmtId="171" fontId="0" fillId="0" borderId="14" pivotButton="0" quotePrefix="0" xfId="0"/>
    <xf numFmtId="0" fontId="0" fillId="10" borderId="0" applyAlignment="1" pivotButton="0" quotePrefix="0" xfId="0">
      <alignment vertical="center"/>
    </xf>
    <xf numFmtId="0" fontId="5" fillId="10" borderId="0" applyAlignment="1" pivotButton="0" quotePrefix="0" xfId="0">
      <alignment vertical="center"/>
    </xf>
    <xf numFmtId="173" fontId="5" fillId="10" borderId="0" applyAlignment="1" pivotButton="0" quotePrefix="0" xfId="0">
      <alignment vertical="center"/>
    </xf>
    <xf numFmtId="171" fontId="0" fillId="0" borderId="0" applyAlignment="1" pivotButton="0" quotePrefix="0" xfId="0">
      <alignment vertical="center"/>
    </xf>
    <xf numFmtId="174" fontId="0" fillId="0" borderId="0" applyAlignment="1" pivotButton="0" quotePrefix="0" xfId="0">
      <alignment vertical="center"/>
    </xf>
    <xf numFmtId="0" fontId="0" fillId="0" borderId="15" applyAlignment="1" pivotButton="0" quotePrefix="0" xfId="0">
      <alignment vertical="center"/>
    </xf>
    <xf numFmtId="174" fontId="0" fillId="0" borderId="15" applyAlignment="1" pivotButton="0" quotePrefix="0" xfId="0">
      <alignment vertical="center"/>
    </xf>
    <xf numFmtId="171" fontId="0" fillId="0" borderId="15" applyAlignment="1" pivotButton="0" quotePrefix="0" xfId="0">
      <alignment vertical="center"/>
    </xf>
    <xf numFmtId="0" fontId="0" fillId="11" borderId="15" applyAlignment="1" pivotButton="0" quotePrefix="0" xfId="0">
      <alignment vertical="center"/>
    </xf>
    <xf numFmtId="174" fontId="0" fillId="11" borderId="15" applyAlignment="1" pivotButton="0" quotePrefix="0" xfId="0">
      <alignment vertical="center"/>
    </xf>
    <xf numFmtId="171" fontId="0" fillId="11" borderId="15" applyAlignment="1" pivotButton="0" quotePrefix="0" xfId="0">
      <alignment vertical="center"/>
    </xf>
    <xf numFmtId="174" fontId="7" fillId="0" borderId="0" applyAlignment="1" pivotButton="0" quotePrefix="0" xfId="0">
      <alignment vertical="center"/>
    </xf>
    <xf numFmtId="174" fontId="0" fillId="0" borderId="0" pivotButton="0" quotePrefix="0" xfId="0"/>
    <xf numFmtId="172" fontId="0" fillId="0" borderId="15" pivotButton="0" quotePrefix="0" xfId="0"/>
    <xf numFmtId="0" fontId="0" fillId="0" borderId="15" pivotButton="0" quotePrefix="0" xfId="0"/>
    <xf numFmtId="174" fontId="0" fillId="0" borderId="15" pivotButton="0" quotePrefix="0" xfId="0"/>
    <xf numFmtId="172" fontId="0" fillId="12" borderId="15" pivotButton="0" quotePrefix="0" xfId="0"/>
    <xf numFmtId="0" fontId="0" fillId="12" borderId="15" pivotButton="0" quotePrefix="0" xfId="0"/>
    <xf numFmtId="174" fontId="0" fillId="12" borderId="15" pivotButton="0" quotePrefix="0" xfId="0"/>
    <xf numFmtId="171" fontId="0" fillId="0" borderId="0" pivotButton="0" quotePrefix="0" xfId="0"/>
    <xf numFmtId="171" fontId="0" fillId="0" borderId="15" pivotButton="0" quotePrefix="0" xfId="0"/>
    <xf numFmtId="171" fontId="0" fillId="12" borderId="15" pivotButton="0" quotePrefix="0" xfId="0"/>
    <xf numFmtId="171" fontId="0" fillId="9" borderId="15" applyAlignment="1" pivotButton="0" quotePrefix="0" xfId="0">
      <alignment vertical="center"/>
    </xf>
    <xf numFmtId="174" fontId="0" fillId="9" borderId="15" applyAlignment="1" pivotButton="0" quotePrefix="0" xfId="0">
      <alignment vertical="center"/>
    </xf>
    <xf numFmtId="0" fontId="0" fillId="9" borderId="15" applyAlignment="1" pivotButton="0" quotePrefix="0" xfId="0">
      <alignment vertical="center"/>
    </xf>
    <xf numFmtId="0" fontId="0" fillId="13" borderId="15" applyAlignment="1" pivotButton="0" quotePrefix="0" xfId="0">
      <alignment vertical="center"/>
    </xf>
    <xf numFmtId="174" fontId="0" fillId="13" borderId="15" applyAlignment="1" pivotButton="0" quotePrefix="0" xfId="0">
      <alignment vertical="center"/>
    </xf>
    <xf numFmtId="171" fontId="0" fillId="13" borderId="15" applyAlignment="1" pivotButton="0" quotePrefix="0" xfId="0">
      <alignment vertical="center"/>
    </xf>
    <xf numFmtId="172" fontId="0" fillId="14" borderId="15" pivotButton="0" quotePrefix="0" xfId="0"/>
    <xf numFmtId="0" fontId="0" fillId="14" borderId="15" pivotButton="0" quotePrefix="0" xfId="0"/>
    <xf numFmtId="174" fontId="0" fillId="14" borderId="15" pivotButton="0" quotePrefix="0" xfId="0"/>
    <xf numFmtId="171" fontId="0" fillId="14" borderId="15" pivotButton="0" quotePrefix="0" xfId="0"/>
    <xf numFmtId="164" fontId="16" fillId="0" borderId="0" applyAlignment="1" pivotButton="0" quotePrefix="0" xfId="0">
      <alignment vertical="center"/>
    </xf>
    <xf numFmtId="0" fontId="16" fillId="0" borderId="0" applyAlignment="1" pivotButton="0" quotePrefix="0" xfId="0">
      <alignment vertical="center"/>
    </xf>
    <xf numFmtId="174" fontId="4" fillId="3" borderId="5" applyAlignment="1" pivotButton="0" quotePrefix="0" xfId="0">
      <alignment vertical="center"/>
    </xf>
    <xf numFmtId="174" fontId="4" fillId="8" borderId="5" applyAlignment="1" pivotButton="0" quotePrefix="0" xfId="0">
      <alignment vertical="center"/>
    </xf>
    <xf numFmtId="0" fontId="0" fillId="15" borderId="6" applyAlignment="1" pivotButton="0" quotePrefix="0" xfId="0">
      <alignment vertical="center" wrapText="1"/>
    </xf>
    <xf numFmtId="0" fontId="0" fillId="15" borderId="7" applyAlignment="1" pivotButton="0" quotePrefix="0" xfId="0">
      <alignment vertical="center" wrapText="1"/>
    </xf>
    <xf numFmtId="0" fontId="0" fillId="15" borderId="8" applyAlignment="1" pivotButton="0" quotePrefix="0" xfId="0">
      <alignment vertical="center" wrapText="1"/>
    </xf>
    <xf numFmtId="0" fontId="0" fillId="15" borderId="0" applyAlignment="1" pivotButton="0" quotePrefix="0" xfId="0">
      <alignment vertical="center"/>
    </xf>
    <xf numFmtId="0" fontId="17" fillId="15" borderId="6" applyAlignment="1" pivotButton="0" quotePrefix="0" xfId="0">
      <alignment vertical="center" wrapText="1"/>
    </xf>
    <xf numFmtId="0" fontId="17" fillId="15" borderId="7" applyAlignment="1" pivotButton="0" quotePrefix="0" xfId="0">
      <alignment vertical="center" wrapText="1"/>
    </xf>
    <xf numFmtId="0" fontId="17" fillId="15" borderId="8" applyAlignment="1" pivotButton="0" quotePrefix="0" xfId="0">
      <alignment vertical="center" wrapText="1"/>
    </xf>
    <xf numFmtId="0" fontId="17" fillId="15" borderId="0" applyAlignment="1" pivotButton="0" quotePrefix="0" xfId="0">
      <alignment vertical="center"/>
    </xf>
    <xf numFmtId="0" fontId="17" fillId="15" borderId="6" applyAlignment="1" pivotButton="0" quotePrefix="0" xfId="0">
      <alignment horizontal="left" vertical="center" wrapText="1"/>
    </xf>
    <xf numFmtId="0" fontId="17" fillId="15" borderId="7" applyAlignment="1" pivotButton="0" quotePrefix="0" xfId="0">
      <alignment horizontal="left" vertical="center" wrapText="1"/>
    </xf>
    <xf numFmtId="0" fontId="17" fillId="15" borderId="8" applyAlignment="1" pivotButton="0" quotePrefix="0" xfId="0">
      <alignment horizontal="left" vertical="center" wrapText="1"/>
    </xf>
    <xf numFmtId="0" fontId="17" fillId="15" borderId="0" applyAlignment="1" pivotButton="0" quotePrefix="0" xfId="0">
      <alignment horizontal="left" vertical="center"/>
    </xf>
    <xf numFmtId="0" fontId="0" fillId="16" borderId="9" applyAlignment="1" pivotButton="0" quotePrefix="0" xfId="0">
      <alignment vertical="center" wrapText="1"/>
    </xf>
    <xf numFmtId="0" fontId="0" fillId="16" borderId="0" applyAlignment="1" pivotButton="0" quotePrefix="0" xfId="0">
      <alignment vertical="center" wrapText="1"/>
    </xf>
    <xf numFmtId="164" fontId="0" fillId="16" borderId="0" applyAlignment="1" pivotButton="0" quotePrefix="0" xfId="0">
      <alignment vertical="center" wrapText="1"/>
    </xf>
    <xf numFmtId="0" fontId="0" fillId="16" borderId="10" applyAlignment="1" pivotButton="0" quotePrefix="0" xfId="0">
      <alignment vertical="center" wrapText="1"/>
    </xf>
    <xf numFmtId="0" fontId="0" fillId="16" borderId="0" applyAlignment="1" pivotButton="0" quotePrefix="0" xfId="0">
      <alignment vertical="center"/>
    </xf>
    <xf numFmtId="0" fontId="0" fillId="16" borderId="11" applyAlignment="1" pivotButton="0" quotePrefix="0" xfId="0">
      <alignment vertical="center" wrapText="1"/>
    </xf>
    <xf numFmtId="0" fontId="0" fillId="16" borderId="12" applyAlignment="1" pivotButton="0" quotePrefix="0" xfId="0">
      <alignment vertical="center" wrapText="1"/>
    </xf>
    <xf numFmtId="0" fontId="0" fillId="16" borderId="13" applyAlignment="1" pivotButton="0" quotePrefix="0" xfId="0">
      <alignment vertical="center" wrapText="1"/>
    </xf>
    <xf numFmtId="0" fontId="18" fillId="16" borderId="9" applyAlignment="1" pivotButton="0" quotePrefix="0" xfId="0">
      <alignment vertical="center" wrapText="1"/>
    </xf>
    <xf numFmtId="0" fontId="18" fillId="16" borderId="0" applyAlignment="1" pivotButton="0" quotePrefix="0" xfId="0">
      <alignment vertical="center" wrapText="1"/>
    </xf>
    <xf numFmtId="164" fontId="18" fillId="16" borderId="0" applyAlignment="1" pivotButton="0" quotePrefix="0" xfId="0">
      <alignment vertical="center" wrapText="1"/>
    </xf>
    <xf numFmtId="0" fontId="18" fillId="16" borderId="10" applyAlignment="1" pivotButton="0" quotePrefix="0" xfId="0">
      <alignment vertical="center" wrapText="1"/>
    </xf>
    <xf numFmtId="0" fontId="18" fillId="16" borderId="0" applyAlignment="1" pivotButton="0" quotePrefix="0" xfId="0">
      <alignment vertical="center"/>
    </xf>
    <xf numFmtId="0" fontId="18" fillId="16" borderId="11" applyAlignment="1" pivotButton="0" quotePrefix="0" xfId="0">
      <alignment vertical="center" wrapText="1"/>
    </xf>
    <xf numFmtId="0" fontId="18" fillId="16" borderId="12" applyAlignment="1" pivotButton="0" quotePrefix="0" xfId="0">
      <alignment vertical="center" wrapText="1"/>
    </xf>
    <xf numFmtId="0" fontId="18" fillId="16" borderId="13" applyAlignment="1" pivotButton="0" quotePrefix="0" xfId="0">
      <alignment vertical="center" wrapText="1"/>
    </xf>
    <xf numFmtId="164" fontId="0" fillId="0" borderId="0" applyAlignment="1" pivotButton="0" quotePrefix="0" xfId="0">
      <alignment vertical="center"/>
    </xf>
    <xf numFmtId="171" fontId="0" fillId="0" borderId="0" applyAlignment="1" pivotButton="0" quotePrefix="0" xfId="0">
      <alignment vertical="center"/>
    </xf>
    <xf numFmtId="165" fontId="0" fillId="0" borderId="0" applyAlignment="1" pivotButton="0" quotePrefix="0" xfId="0">
      <alignment vertical="center"/>
    </xf>
    <xf numFmtId="164" fontId="4" fillId="3" borderId="2" applyAlignment="1" pivotButton="0" quotePrefix="0" xfId="0">
      <alignment vertical="center"/>
    </xf>
    <xf numFmtId="165" fontId="4" fillId="3" borderId="2" applyAlignment="1" pivotButton="0" quotePrefix="0" xfId="0">
      <alignment vertical="center"/>
    </xf>
    <xf numFmtId="164" fontId="5" fillId="5" borderId="0" applyAlignment="1" pivotButton="0" quotePrefix="0" xfId="0">
      <alignment vertical="center"/>
    </xf>
    <xf numFmtId="164" fontId="6" fillId="0" borderId="0" applyAlignment="1" pivotButton="0" quotePrefix="0" xfId="0">
      <alignment vertical="center"/>
    </xf>
    <xf numFmtId="4" fontId="6" fillId="0" borderId="14" applyAlignment="1" pivotButton="0" quotePrefix="0" xfId="0">
      <alignment vertical="center"/>
    </xf>
    <xf numFmtId="171" fontId="0" fillId="0" borderId="14" applyAlignment="1" pivotButton="0" quotePrefix="0" xfId="0">
      <alignment vertical="center"/>
    </xf>
    <xf numFmtId="4" fontId="0" fillId="0" borderId="14" applyAlignment="1" pivotButton="0" quotePrefix="0" xfId="0">
      <alignment vertical="center"/>
    </xf>
    <xf numFmtId="166" fontId="5" fillId="5" borderId="0" applyAlignment="1" pivotButton="0" quotePrefix="0" xfId="0">
      <alignment vertical="center"/>
    </xf>
    <xf numFmtId="164" fontId="0" fillId="10" borderId="0" applyAlignment="1" pivotButton="0" quotePrefix="0" xfId="0">
      <alignment vertical="center"/>
    </xf>
    <xf numFmtId="174" fontId="0" fillId="13" borderId="15" applyAlignment="1" pivotButton="0" quotePrefix="0" xfId="0">
      <alignment vertical="center"/>
    </xf>
    <xf numFmtId="171" fontId="0" fillId="13" borderId="15" applyAlignment="1" pivotButton="0" quotePrefix="0" xfId="0">
      <alignment vertical="center"/>
    </xf>
    <xf numFmtId="0" fontId="4" fillId="3" borderId="0" applyAlignment="1" pivotButton="0" quotePrefix="0" xfId="0">
      <alignment vertical="center" wrapText="1"/>
    </xf>
    <xf numFmtId="164" fontId="5" fillId="0" borderId="0" pivotButton="0" quotePrefix="0" xfId="0"/>
    <xf numFmtId="165" fontId="0" fillId="0" borderId="0" pivotButton="0" quotePrefix="0" xfId="0"/>
    <xf numFmtId="0" fontId="0" fillId="0" borderId="0" applyAlignment="1" pivotButton="0" quotePrefix="0" xfId="0">
      <alignment vertical="center" wrapText="1"/>
    </xf>
    <xf numFmtId="164" fontId="0" fillId="0" borderId="0" pivotButton="0" quotePrefix="0" xfId="0"/>
    <xf numFmtId="164" fontId="4" fillId="3" borderId="0" pivotButton="0" quotePrefix="0" xfId="0"/>
    <xf numFmtId="165" fontId="4" fillId="3" borderId="0" pivotButton="0" quotePrefix="0" xfId="0"/>
    <xf numFmtId="174" fontId="7" fillId="0" borderId="0" applyAlignment="1" pivotButton="0" quotePrefix="0" xfId="0">
      <alignment vertical="center"/>
    </xf>
    <xf numFmtId="164" fontId="7" fillId="0" borderId="0" applyAlignment="1" pivotButton="0" quotePrefix="0" xfId="0">
      <alignment vertical="center"/>
    </xf>
    <xf numFmtId="164" fontId="9" fillId="6" borderId="0" applyAlignment="1" pivotButton="0" quotePrefix="0" xfId="0">
      <alignment vertical="center"/>
    </xf>
    <xf numFmtId="164" fontId="4" fillId="3" borderId="0" applyAlignment="1" pivotButton="0" quotePrefix="0" xfId="0">
      <alignment vertical="center"/>
    </xf>
    <xf numFmtId="164" fontId="10" fillId="7" borderId="0" applyAlignment="1" pivotButton="0" quotePrefix="0" xfId="0">
      <alignment vertical="center"/>
    </xf>
    <xf numFmtId="164" fontId="11" fillId="6" borderId="3" applyAlignment="1" pivotButton="0" quotePrefix="0" xfId="0">
      <alignment vertical="center"/>
    </xf>
    <xf numFmtId="165" fontId="11" fillId="6" borderId="3" applyAlignment="1" pivotButton="0" quotePrefix="0" xfId="0">
      <alignment vertical="center"/>
    </xf>
    <xf numFmtId="0" fontId="4" fillId="3" borderId="2" applyAlignment="1" pivotButton="0" quotePrefix="0" xfId="0">
      <alignment vertical="center"/>
    </xf>
    <xf numFmtId="165" fontId="0" fillId="3" borderId="2" applyAlignment="1" pivotButton="0" quotePrefix="0" xfId="0">
      <alignment vertical="center"/>
    </xf>
    <xf numFmtId="166" fontId="0" fillId="0" borderId="0" applyAlignment="1" pivotButton="0" quotePrefix="0" xfId="0">
      <alignment vertical="center"/>
    </xf>
    <xf numFmtId="174" fontId="0" fillId="0" borderId="0" applyAlignment="1" pivotButton="0" quotePrefix="0" xfId="0">
      <alignment vertical="center"/>
    </xf>
    <xf numFmtId="167" fontId="0" fillId="0" borderId="0" applyAlignment="1" pivotButton="0" quotePrefix="0" xfId="0">
      <alignment vertical="center"/>
    </xf>
    <xf numFmtId="168" fontId="0" fillId="0" borderId="0" applyAlignment="1" pivotButton="0" quotePrefix="0" xfId="0">
      <alignment vertical="center"/>
    </xf>
    <xf numFmtId="166" fontId="4" fillId="3" borderId="2" applyAlignment="1" pivotButton="0" quotePrefix="0" xfId="0">
      <alignment vertical="center"/>
    </xf>
    <xf numFmtId="167" fontId="4" fillId="3" borderId="2" applyAlignment="1" pivotButton="0" quotePrefix="0" xfId="0">
      <alignment vertical="center"/>
    </xf>
    <xf numFmtId="169" fontId="0" fillId="0" borderId="0" applyAlignment="1" pivotButton="0" quotePrefix="0" xfId="0">
      <alignment vertical="center"/>
    </xf>
    <xf numFmtId="1" fontId="0" fillId="0" borderId="0" applyAlignment="1" pivotButton="0" quotePrefix="0" xfId="0">
      <alignment vertical="center"/>
    </xf>
    <xf numFmtId="170" fontId="0" fillId="0" borderId="0" applyAlignment="1" pivotButton="0" quotePrefix="0" xfId="0">
      <alignment vertical="center"/>
    </xf>
    <xf numFmtId="172" fontId="0" fillId="0" borderId="14" pivotButton="0" quotePrefix="0" xfId="0"/>
    <xf numFmtId="4" fontId="0" fillId="0" borderId="14" pivotButton="0" quotePrefix="0" xfId="0"/>
    <xf numFmtId="170" fontId="0" fillId="0" borderId="0" pivotButton="0" quotePrefix="0" xfId="0"/>
    <xf numFmtId="172" fontId="0" fillId="14" borderId="15" pivotButton="0" quotePrefix="0" xfId="0"/>
    <xf numFmtId="174" fontId="0" fillId="14" borderId="15" pivotButton="0" quotePrefix="0" xfId="0"/>
    <xf numFmtId="172" fontId="0" fillId="0" borderId="0" pivotButton="0" quotePrefix="0" xfId="0"/>
    <xf numFmtId="174" fontId="0" fillId="0" borderId="0" pivotButton="0" quotePrefix="0" xfId="0"/>
    <xf numFmtId="4" fontId="0" fillId="0" borderId="0" applyAlignment="1" pivotButton="0" quotePrefix="0" xfId="0">
      <alignment vertical="center"/>
    </xf>
    <xf numFmtId="164" fontId="4" fillId="3" borderId="5" applyAlignment="1" pivotButton="0" quotePrefix="0" xfId="0">
      <alignment vertical="center"/>
    </xf>
    <xf numFmtId="164" fontId="4" fillId="3" borderId="4" applyAlignment="1" pivotButton="0" quotePrefix="0" xfId="0">
      <alignment vertical="center"/>
    </xf>
    <xf numFmtId="174" fontId="4" fillId="3" borderId="5" applyAlignment="1" pivotButton="0" quotePrefix="0" xfId="0">
      <alignment vertical="center"/>
    </xf>
    <xf numFmtId="164" fontId="13" fillId="0" borderId="0" applyAlignment="1" pivotButton="0" quotePrefix="0" xfId="0">
      <alignment vertical="center"/>
    </xf>
    <xf numFmtId="164" fontId="16" fillId="0" borderId="0" applyAlignment="1" pivotButton="0" quotePrefix="0" xfId="0">
      <alignment vertical="center"/>
    </xf>
    <xf numFmtId="164" fontId="4" fillId="8" borderId="5" applyAlignment="1" pivotButton="0" quotePrefix="0" xfId="0">
      <alignment vertical="center"/>
    </xf>
    <xf numFmtId="164" fontId="4" fillId="8" borderId="4" applyAlignment="1" pivotButton="0" quotePrefix="0" xfId="0">
      <alignment vertical="center"/>
    </xf>
    <xf numFmtId="174" fontId="4" fillId="8" borderId="5" applyAlignment="1" pivotButton="0" quotePrefix="0" xfId="0">
      <alignment vertical="center"/>
    </xf>
    <xf numFmtId="164" fontId="11" fillId="6" borderId="0" applyAlignment="1" pivotButton="0" quotePrefix="0" xfId="0">
      <alignment vertical="center"/>
    </xf>
    <xf numFmtId="165" fontId="11" fillId="6" borderId="0" applyAlignment="1" pivotButton="0" quotePrefix="0" xfId="0">
      <alignment vertical="center"/>
    </xf>
    <xf numFmtId="0" fontId="0" fillId="0" borderId="7" pivotButton="0" quotePrefix="0" xfId="0"/>
    <xf numFmtId="0" fontId="0" fillId="0" borderId="12" pivotButton="0" quotePrefix="0" xfId="0"/>
    <xf numFmtId="171" fontId="0" fillId="0" borderId="14" pivotButton="0" quotePrefix="0" xfId="0"/>
    <xf numFmtId="171" fontId="0" fillId="14" borderId="15" pivotButton="0" quotePrefix="0" xfId="0"/>
    <xf numFmtId="0" fontId="0" fillId="14" borderId="15" applyAlignment="1" pivotButton="0" quotePrefix="0" xfId="0">
      <alignment vertical="center" wrapText="1"/>
    </xf>
    <xf numFmtId="0" fontId="21" fillId="0" borderId="0" pivotButton="0" quotePrefix="0" xfId="0"/>
    <xf numFmtId="1" fontId="21" fillId="0" borderId="0" pivotButton="0" quotePrefix="0" xfId="0"/>
    <xf numFmtId="0" fontId="19" fillId="3" borderId="0" applyAlignment="1" pivotButton="0" quotePrefix="0" xfId="0">
      <alignment vertical="center" wrapText="1"/>
    </xf>
    <xf numFmtId="168" fontId="20" fillId="17" borderId="0" pivotButton="0" quotePrefix="0" xfId="0"/>
    <xf numFmtId="167" fontId="20" fillId="17" borderId="0" pivotButton="0" quotePrefix="0" xfId="0"/>
    <xf numFmtId="1" fontId="20" fillId="17" borderId="0" pivotButton="0" quotePrefix="0" xfId="0"/>
    <xf numFmtId="175" fontId="0" fillId="0" borderId="0" pivotButton="0" quotePrefix="0" xfId="0"/>
    <xf numFmtId="165" fontId="20" fillId="17" borderId="0" pivotButton="0" quotePrefix="0" xfId="0"/>
    <xf numFmtId="0" fontId="19" fillId="3" borderId="0" applyAlignment="1" pivotButton="0" quotePrefix="0" xfId="0">
      <alignment vertical="top" wrapText="1"/>
    </xf>
    <xf numFmtId="164" fontId="21" fillId="0" borderId="0" pivotButton="0" quotePrefix="0" xfId="0"/>
    <xf numFmtId="167" fontId="4" fillId="3" borderId="0" pivotButton="0" quotePrefix="0" xfId="0"/>
    <xf numFmtId="0" fontId="4" fillId="0" borderId="0" pivotButton="0" quotePrefix="0" xfId="0"/>
    <xf numFmtId="167" fontId="5" fillId="0" borderId="0" pivotButton="0" quotePrefix="0" xfId="0"/>
    <xf numFmtId="166" fontId="7" fillId="0" borderId="0" pivotButton="0" quotePrefix="0" xfId="0"/>
    <xf numFmtId="168" fontId="7" fillId="0" borderId="0" pivotButton="0" quotePrefix="0" xfId="0"/>
    <xf numFmtId="169" fontId="7" fillId="0" borderId="0" pivotButton="0" quotePrefix="0" xfId="0"/>
    <xf numFmtId="164" fontId="3" fillId="4" borderId="0" pivotButton="0" quotePrefix="0" xfId="0"/>
    <xf numFmtId="0" fontId="3" fillId="4" borderId="0" applyAlignment="1" pivotButton="0" quotePrefix="0" xfId="0">
      <alignment vertical="center" wrapText="1"/>
    </xf>
    <xf numFmtId="4" fontId="5" fillId="0" borderId="0" pivotButton="0" quotePrefix="0" xfId="0"/>
    <xf numFmtId="164" fontId="20" fillId="17" borderId="0" pivotButton="0" quotePrefix="0" xfId="0"/>
    <xf numFmtId="4" fontId="4" fillId="3" borderId="0" pivotButton="0" quotePrefix="0" xfId="0"/>
    <xf numFmtId="167" fontId="5" fillId="17" borderId="0" pivotButton="0" quotePrefix="0" xfId="0"/>
    <xf numFmtId="1" fontId="5" fillId="0" borderId="0" pivotButton="0" quotePrefix="0" xfId="0"/>
    <xf numFmtId="164" fontId="0" fillId="9" borderId="14" applyAlignment="1" pivotButton="0" quotePrefix="0" xfId="0">
      <alignment vertical="center"/>
    </xf>
    <xf numFmtId="4" fontId="0" fillId="9" borderId="14" applyAlignment="1" pivotButton="0" quotePrefix="0" xfId="0">
      <alignment vertical="center"/>
    </xf>
    <xf numFmtId="0" fontId="14" fillId="9" borderId="0" applyAlignment="1" pivotButton="0" quotePrefix="0" xfId="0">
      <alignment vertical="center" wrapText="1"/>
    </xf>
    <xf numFmtId="1" fontId="4" fillId="3" borderId="0" pivotButton="0" quotePrefix="0" xfId="0"/>
  </cellXfs>
  <cellStyles count="1">
    <cellStyle name="Normal" xfId="0"/>
  </cellStyles>
  <dxfs count="6">
    <dxf>
      <font>
        <b val="1"/>
        <color rgb="FF237A57"/>
      </font>
      <fill>
        <patternFill>
          <bgColor rgb="FFE7F3ED"/>
        </patternFill>
      </fill>
    </dxf>
    <dxf>
      <font>
        <color rgb="FFBD9452"/>
      </font>
      <fill>
        <patternFill>
          <bgColor rgb="FFFAF2E3"/>
        </patternFill>
      </fill>
    </dxf>
    <dxf>
      <font>
        <color rgb="FF0D3452"/>
      </font>
      <fill>
        <patternFill>
          <bgColor rgb="FFEAF0F5"/>
        </patternFill>
      </fill>
    </dxf>
    <dxf>
      <font>
        <b val="1"/>
        <color rgb="FF237A57"/>
      </font>
      <fill>
        <patternFill>
          <bgColor rgb="FFE7F3ED"/>
        </patternFill>
      </fill>
    </dxf>
    <dxf>
      <font>
        <b val="1"/>
        <color rgb="FFA43F4D"/>
      </font>
      <fill>
        <patternFill>
          <bgColor rgb="FFF8E9EC"/>
        </patternFill>
      </fill>
    </dxf>
    <dxf>
      <font>
        <b val="1"/>
        <color rgb="FF237A57"/>
      </font>
      <fill>
        <patternFill>
          <bgColor rgb="FFE7F3ED"/>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charts/chart1.xml><?xml version="1.0" encoding="utf-8"?>
<chartSpace xmlns:a="http://schemas.openxmlformats.org/drawingml/2006/main" xmlns="http://schemas.openxmlformats.org/drawingml/2006/chart">
  <chart>
    <title>
      <tx>
        <rich>
          <a:bodyPr/>
          <a:lstStyle/>
          <a:p>
            <a:r>
              <a:t>Income vs required cash outflow (AED)</a:t>
            </a:r>
          </a:p>
        </rich>
      </tx>
      <overlay val="0"/>
    </title>
    <plotArea>
      <barChart>
        <barDir val="col"/>
        <grouping val="clustered"/>
        <varyColors val="0"/>
        <ser>
          <idx val="0"/>
          <order val="0"/>
          <tx>
            <v>Income</v>
          </tx>
          <spPr>
            <a:ln>
              <a:prstDash val="solid"/>
            </a:ln>
          </spPr>
          <cat>
            <strRef>
              <f>'Dashboard'!$J$6:$J$9</f>
              <strCache>
                <ptCount val="0"/>
              </strCache>
            </strRef>
          </cat>
          <val>
            <numRef>
              <f>'Dashboard'!$K$6:$K$9</f>
              <numCache>
                <formatCode>"AED "#,##0.00;[Red]("AED "#,##0.00);-</formatCode>
                <ptCount val="0"/>
              </numCache>
            </numRef>
          </val>
        </ser>
        <ser>
          <idx val="1"/>
          <order val="1"/>
          <tx>
            <v>Costs</v>
          </tx>
          <spPr>
            <a:ln>
              <a:prstDash val="solid"/>
            </a:ln>
          </spPr>
          <cat>
            <strRef>
              <f>'Dashboard'!$J$6:$J$9</f>
              <strCache>
                <ptCount val="0"/>
              </strCache>
            </strRef>
          </cat>
          <val>
            <numRef>
              <f>'Dashboard'!$L$6:$L$9</f>
              <numCache>
                <formatCode>"AED "#,##0.00;[Red]("AED "#,##0.00);-</formatCode>
                <ptCount val="0"/>
              </numCache>
            </numRef>
          </val>
        </ser>
        <gapWidth val="150"/>
        <axId val="48650112"/>
        <axId val="48672768"/>
      </barChart>
      <catAx>
        <axId val="48650112"/>
        <scaling>
          <orientation val="minMax"/>
        </scaling>
        <delete val="0"/>
        <axPos val="b"/>
        <majorGridlines>
          <spPr>
            <a:ln w="9525">
              <a:solidFill>
                <a:srgbClr val="CCCCCC"/>
              </a:solidFill>
              <a:prstDash val="dash"/>
            </a:ln>
          </spPr>
        </majorGridlines>
        <numFmt formatCode="General" sourceLinked="0"/>
        <majorTickMark val="none"/>
        <minorTickMark val="none"/>
        <tickLblPos val="nextTo"/>
        <txPr>
          <a:bodyPr anchorCtr="1"/>
          <a:lstStyle/>
          <a:p>
            <a:pPr>
              <a:defRPr sz="675"/>
            </a:pPr>
            <a:r>
              <a:t>None</a:t>
            </a:r>
          </a:p>
        </txPr>
        <crossAx val="48672768"/>
        <lblOffset val="100"/>
      </catAx>
      <valAx>
        <axId val="48672768"/>
        <scaling>
          <orientation val="minMax"/>
        </scaling>
        <delete val="0"/>
        <axPos val="l"/>
        <majorGridlines>
          <spPr>
            <a:ln w="9525">
              <a:solidFill>
                <a:srgbClr val="CCCCCC"/>
              </a:solidFill>
              <a:prstDash val="dash"/>
            </a:ln>
          </spPr>
        </majorGridlines>
        <numFmt formatCode="&quot;AED &quot;#,##0" sourceLinked="0"/>
        <majorTickMark val="none"/>
        <minorTickMark val="none"/>
        <crossAx val="48650112"/>
        <crossBetween val="between"/>
      </valAx>
    </plotArea>
    <legend>
      <legendPos val="b"/>
      <overlay val="0"/>
    </legend>
    <plotVisOnly val="1"/>
    <dispBlanksAs val="gap"/>
  </chart>
  <spPr>
    <a:ln w="9525">
      <a:solidFill>
        <a:srgbClr val="D9D9D9"/>
      </a:solidFill>
      <a:prstDash val="solid"/>
    </a:ln>
  </spPr>
</chartSpace>
</file>

<file path=xl/comments/comment1.xml><?xml version="1.0" encoding="utf-8"?>
<comments xmlns="http://schemas.openxmlformats.org/spreadsheetml/2006/main">
  <authors>
    <author>tc={FC1B855B-282A-7345-C1BF-9C06DC3A50CA}</author>
  </authors>
  <commentList>
    <comment ref="B14" authorId="0" shapeId="0">
      <text>
        <t>[Threaded comment]
Your version of Excel allows you to read this threaded comment; however, any edits to it will get removed if the file is opened in a newer version of Excel. Learn more: https://go.microsoft.com/fwlink/?linkid=870924
Comment:
    Control total: FAB AED 4,271.37 + NBD AED 4.93 + Tabby Cash AED 0.89 = AED 4,277.19.</t>
      </text>
    </comment>
  </commentList>
</comments>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9</col>
      <colOff>0</colOff>
      <row>10</row>
      <rowOff>0</rowOff>
    </from>
    <to>
      <col>14</col>
      <colOff>0</colOff>
      <row>26</row>
      <rowOff>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xmlns:r="http://schemas.openxmlformats.org/officeDocument/2006/relationships">
  <sheetPr>
    <tabColor rgb="FF071827"/>
    <outlinePr summaryBelow="1" summaryRight="1"/>
    <pageSetUpPr/>
  </sheetPr>
  <dimension ref="A1:N39"/>
  <sheetViews>
    <sheetView showGridLines="0" workbookViewId="0">
      <selection activeCell="A1" sqref="A1"/>
    </sheetView>
  </sheetViews>
  <sheetFormatPr baseColWidth="8" defaultRowHeight="15"/>
  <cols>
    <col width="25" customWidth="1" min="1" max="1"/>
    <col width="17" customWidth="1" min="2" max="2"/>
    <col width="20" customWidth="1" min="3" max="3"/>
    <col width="17" customWidth="1" min="4" max="4"/>
    <col width="22" customWidth="1" min="5" max="5"/>
    <col width="17" customWidth="1" min="6" max="6"/>
    <col width="18" customWidth="1" min="7" max="7"/>
    <col width="17" customWidth="1" min="8" max="8"/>
    <col width="3" customWidth="1" min="9" max="9"/>
    <col width="16" customWidth="1" min="10" max="10"/>
    <col width="16" customWidth="1" min="11" max="11"/>
    <col width="16" customWidth="1" min="12" max="12"/>
    <col width="4" customWidth="1" min="13" max="13"/>
    <col width="4" customWidth="1" min="14" max="14"/>
  </cols>
  <sheetData>
    <row r="1" ht="29" customHeight="1">
      <c r="A1" s="3" t="inlineStr">
        <is>
          <t>Johnny's Edge — Lifetime Finance Command Centre</t>
        </is>
      </c>
    </row>
    <row r="2" ht="29" customHeight="1"/>
    <row r="3" ht="30" customHeight="1">
      <c r="A3" s="93" t="inlineStr">
        <is>
          <t>Controlled mirror · Expected salary is never treated as banked cash · Budget, Net Worth, Wealth Plan, Goals and the AI Advisor all recalculate from the Inputs and Recent Ledger sheets</t>
        </is>
      </c>
    </row>
    <row r="4">
      <c r="A4" s="94" t="n"/>
      <c r="B4" s="94" t="n"/>
      <c r="C4" s="94" t="n"/>
      <c r="D4" s="94" t="n"/>
      <c r="E4" s="94" t="n"/>
      <c r="F4" s="94" t="n"/>
      <c r="G4" s="94" t="n"/>
      <c r="H4" s="94" t="n"/>
      <c r="I4" s="94" t="n"/>
      <c r="J4" s="94" t="n"/>
      <c r="K4" s="94" t="n"/>
      <c r="L4" s="94" t="n"/>
      <c r="M4" s="94" t="n"/>
      <c r="N4" s="94" t="n"/>
    </row>
    <row r="5" ht="23" customHeight="1">
      <c r="A5" s="9" t="inlineStr">
        <is>
          <t>CURRENT POSITION</t>
        </is>
      </c>
      <c r="I5" s="94" t="n"/>
      <c r="J5" s="94" t="inlineStr">
        <is>
          <t>Month</t>
        </is>
      </c>
      <c r="K5" s="94" t="inlineStr">
        <is>
          <t>Income</t>
        </is>
      </c>
      <c r="L5" s="94" t="inlineStr">
        <is>
          <t>Costs</t>
        </is>
      </c>
      <c r="M5" s="94" t="n"/>
      <c r="N5" s="94" t="n"/>
    </row>
    <row r="6" ht="24" customHeight="1">
      <c r="A6" s="95" t="inlineStr">
        <is>
          <t>Liquid cash</t>
        </is>
      </c>
      <c r="B6" s="269">
        <f>'Inputs'!B14</f>
        <v>6105.64</v>
      </c>
      <c r="C6" s="270" t="inlineStr">
        <is>
          <t>Rent protected</t>
        </is>
      </c>
      <c r="D6" s="269">
        <f>'Inputs'!B31</f>
        <v>5990.45</v>
      </c>
      <c r="E6" s="270" t="inlineStr">
        <is>
          <t>Emergency fund</t>
        </is>
      </c>
      <c r="F6" s="269">
        <f>'Inputs'!B32</f>
        <v>7.67</v>
      </c>
      <c r="G6" s="270" t="inlineStr">
        <is>
          <t>Protection shortfall</t>
        </is>
      </c>
      <c r="H6" s="271" t="n">
        <v>705.76</v>
      </c>
      <c r="I6" s="94" t="n"/>
      <c r="J6" s="94" t="inlineStr">
        <is>
          <t>Aug</t>
        </is>
      </c>
      <c r="K6" s="222">
        <f>B19</f>
        <v>2906.0</v>
      </c>
      <c r="L6" s="222">
        <f>C19</f>
        <v>843.28</v>
      </c>
      <c r="M6" s="94" t="n"/>
      <c r="N6" s="94" t="n"/>
    </row>
    <row r="7" ht="24" customHeight="1">
      <c r="A7" s="99" t="inlineStr">
        <is>
          <t>Actual</t>
        </is>
      </c>
      <c r="B7" s="272" t="n"/>
      <c r="C7" s="272" t="inlineStr">
        <is>
          <t>Actual</t>
        </is>
      </c>
      <c r="D7" s="272" t="n"/>
      <c r="E7" s="272" t="inlineStr">
        <is>
          <t>Actual</t>
        </is>
      </c>
      <c r="F7" s="272" t="n"/>
      <c r="G7" s="273" t="inlineStr">
        <is>
          <t>Before salary</t>
        </is>
      </c>
      <c r="H7" s="272" t="n"/>
      <c r="I7" s="94" t="n"/>
      <c r="J7" s="94" t="inlineStr">
        <is>
          <t>Sep</t>
        </is>
      </c>
      <c r="K7" s="222">
        <f>B20</f>
        <v>7914.88</v>
      </c>
      <c r="L7" s="222">
        <f>C20</f>
        <v>3655.11</v>
      </c>
      <c r="M7" s="94" t="n"/>
      <c r="N7" s="94" t="n"/>
    </row>
    <row r="8" ht="24" customHeight="1">
      <c r="A8" s="101" t="inlineStr">
        <is>
          <t>Rent cheque</t>
        </is>
      </c>
      <c r="B8" s="274">
        <f>'Inputs'!B30</f>
        <v>11750.0</v>
      </c>
      <c r="C8" s="275" t="inlineStr">
        <is>
          <t>Projected rent money</t>
        </is>
      </c>
      <c r="D8" s="274">
        <f>'Monthly Plan'!D23</f>
        <v>10222.8</v>
      </c>
      <c r="E8" s="275" t="inlineStr">
        <is>
          <t>Current projected gap</t>
        </is>
      </c>
      <c r="F8" s="274">
        <f>'Monthly Plan'!D24</f>
        <v>1527.2</v>
      </c>
      <c r="G8" s="275" t="inlineStr">
        <is>
          <t>Actual rent gap</t>
        </is>
      </c>
      <c r="H8" s="276" t="n">
        <v>5759.55</v>
      </c>
      <c r="I8" s="94" t="n"/>
      <c r="J8" s="94" t="inlineStr">
        <is>
          <t>Oct 1–22</t>
        </is>
      </c>
      <c r="K8" s="222">
        <f>B21</f>
        <v>0.0</v>
      </c>
      <c r="L8" s="222">
        <f>C21</f>
        <v>13955.33</v>
      </c>
      <c r="M8" s="94" t="n"/>
      <c r="N8" s="94" t="n"/>
    </row>
    <row r="9" ht="24" customHeight="1">
      <c r="A9" s="99" t="inlineStr">
        <is>
          <t>Actual</t>
        </is>
      </c>
      <c r="B9" s="99" t="n"/>
      <c r="C9" s="99" t="inlineStr">
        <is>
          <t>Before closure actions</t>
        </is>
      </c>
      <c r="D9" s="99" t="n"/>
      <c r="E9" s="99" t="inlineStr">
        <is>
          <t>Before closure actions</t>
        </is>
      </c>
      <c r="F9" s="99" t="n"/>
      <c r="G9" s="191" t="inlineStr">
        <is>
          <t>AED 11,750 less protected rent</t>
        </is>
      </c>
      <c r="H9" s="99" t="n"/>
      <c r="I9" s="94" t="n"/>
      <c r="J9" s="94" t="inlineStr">
        <is>
          <t>Rent cheque</t>
        </is>
      </c>
      <c r="K9" s="222" t="n">
        <v>0</v>
      </c>
      <c r="L9" s="222" t="n">
        <v>11750</v>
      </c>
      <c r="M9" s="94" t="n"/>
      <c r="N9" s="94" t="n"/>
    </row>
    <row r="10">
      <c r="A10" s="94" t="n"/>
      <c r="B10" s="94" t="n"/>
      <c r="C10" s="94" t="n"/>
      <c r="D10" s="94" t="n"/>
      <c r="E10" s="94" t="n"/>
      <c r="F10" s="94" t="n"/>
      <c r="G10" s="94" t="n"/>
      <c r="H10" s="94" t="n"/>
      <c r="I10" s="94" t="n"/>
      <c r="J10" s="94" t="n"/>
      <c r="K10" s="94" t="n"/>
      <c r="L10" s="94" t="n"/>
      <c r="M10" s="94" t="n"/>
      <c r="N10" s="94" t="n"/>
    </row>
    <row r="11" ht="23" customHeight="1">
      <c r="A11" s="9" t="inlineStr">
        <is>
          <t>RENT CLOSURE ACTIONS</t>
        </is>
      </c>
      <c r="I11" s="94" t="n"/>
      <c r="J11" s="94" t="n"/>
      <c r="K11" s="94" t="n"/>
      <c r="L11" s="94" t="n"/>
      <c r="M11" s="94" t="n"/>
      <c r="N11" s="94" t="n"/>
    </row>
    <row r="12">
      <c r="A12" s="13" t="inlineStr">
        <is>
          <t>Action</t>
        </is>
      </c>
      <c r="B12" s="13" t="inlineStr">
        <is>
          <t>Amount</t>
        </is>
      </c>
      <c r="C12" s="13" t="inlineStr">
        <is>
          <t>Deadline</t>
        </is>
      </c>
      <c r="D12" s="13" t="inlineStr">
        <is>
          <t>Evidence</t>
        </is>
      </c>
      <c r="E12" s="13" t="inlineStr">
        <is>
          <t>Action</t>
        </is>
      </c>
      <c r="F12" s="13" t="inlineStr">
        <is>
          <t>Amount</t>
        </is>
      </c>
      <c r="G12" s="13" t="inlineStr">
        <is>
          <t>Deadline</t>
        </is>
      </c>
      <c r="H12" s="13" t="inlineStr">
        <is>
          <t>Evidence</t>
        </is>
      </c>
      <c r="I12" s="94" t="n"/>
      <c r="J12" s="94" t="n"/>
      <c r="K12" s="94" t="n"/>
      <c r="L12" s="94" t="n"/>
      <c r="M12" s="94" t="n"/>
      <c r="N12" s="94" t="n"/>
    </row>
    <row r="13">
      <c r="A13" s="94" t="inlineStr">
        <is>
          <t>Salary estimate reduction</t>
        </is>
      </c>
      <c r="B13" s="222">
        <f>'Rent Closure'!B8</f>
        <v>24.0</v>
      </c>
      <c r="C13" s="224" t="n">
        <v>46265</v>
      </c>
      <c r="D13" s="94" t="inlineStr">
        <is>
          <t>AED 2,906 expected; verify credit</t>
        </is>
      </c>
      <c r="E13" s="94" t="inlineStr">
        <is>
          <t>Additional income required</t>
        </is>
      </c>
      <c r="F13" s="222">
        <f>'Rent Closure'!B9</f>
        <v>1527.2</v>
      </c>
      <c r="G13" s="224" t="n">
        <v>46295</v>
      </c>
      <c r="H13" s="94" t="inlineStr">
        <is>
          <t>Banked cash only</t>
        </is>
      </c>
      <c r="I13" s="94" t="n"/>
      <c r="J13" s="94" t="n"/>
      <c r="K13" s="94" t="n"/>
      <c r="L13" s="94" t="n"/>
      <c r="M13" s="94" t="n"/>
      <c r="N13" s="94" t="n"/>
    </row>
    <row r="14">
      <c r="A14" s="94" t="inlineStr">
        <is>
          <t>Earn additional income</t>
        </is>
      </c>
      <c r="B14" s="222">
        <f>'Rent Closure'!B10</f>
        <v>0.0</v>
      </c>
      <c r="C14" s="224" t="n">
        <v>46316</v>
      </c>
      <c r="D14" s="94" t="inlineStr">
        <is>
          <t>Banked cash only</t>
        </is>
      </c>
      <c r="E14" s="94" t="inlineStr">
        <is>
          <t>Survival spending cap</t>
        </is>
      </c>
      <c r="F14" s="222">
        <f>'Rent Closure'!B12</f>
        <v>285.0</v>
      </c>
      <c r="G14" s="224" t="n">
        <v>46316</v>
      </c>
      <c r="H14" s="94" t="inlineStr">
        <is>
          <t>AED 5/day; AED 35/week</t>
        </is>
      </c>
      <c r="I14" s="94" t="n"/>
      <c r="J14" s="94" t="n"/>
      <c r="K14" s="94" t="n"/>
      <c r="L14" s="94" t="n"/>
      <c r="M14" s="94" t="n"/>
      <c r="N14" s="94" t="n"/>
    </row>
    <row r="15">
      <c r="A15" s="105" t="inlineStr">
        <is>
          <t>Final conditional rent gap</t>
        </is>
      </c>
      <c r="B15" s="277">
        <f>'Rent Closure'!B11</f>
        <v>0.0</v>
      </c>
      <c r="C15" s="278" t="n">
        <v>46316</v>
      </c>
      <c r="D15" s="105" t="inlineStr">
        <is>
          <t>Must equal zero</t>
        </is>
      </c>
      <c r="E15" s="94" t="inlineStr">
        <is>
          <t>Rent cheque</t>
        </is>
      </c>
      <c r="F15" s="222">
        <f>'Inputs'!B30</f>
        <v>11750.0</v>
      </c>
      <c r="G15" s="224" t="n">
        <v>46317</v>
      </c>
      <c r="H15" s="94" t="inlineStr">
        <is>
          <t>Fund by 21 Oct</t>
        </is>
      </c>
      <c r="I15" s="94" t="n"/>
      <c r="J15" s="94" t="n"/>
      <c r="K15" s="94" t="n"/>
      <c r="L15" s="94" t="n"/>
      <c r="M15" s="94" t="n"/>
      <c r="N15" s="94" t="n"/>
    </row>
    <row r="16">
      <c r="A16" s="94" t="n"/>
      <c r="B16" s="94" t="n"/>
      <c r="C16" s="94" t="n"/>
      <c r="D16" s="94" t="n"/>
      <c r="E16" s="94" t="n"/>
      <c r="F16" s="94" t="n"/>
      <c r="G16" s="94" t="n"/>
      <c r="H16" s="94" t="n"/>
      <c r="I16" s="94" t="n"/>
      <c r="J16" s="94" t="n"/>
      <c r="K16" s="94" t="n"/>
      <c r="L16" s="94" t="n"/>
      <c r="M16" s="94" t="n"/>
      <c r="N16" s="94" t="n"/>
    </row>
    <row r="17" ht="23" customHeight="1">
      <c r="A17" s="9" t="inlineStr">
        <is>
          <t>MONTHLY CASH FLOW TO RENT</t>
        </is>
      </c>
      <c r="I17" s="94" t="n"/>
      <c r="J17" s="94" t="n"/>
      <c r="K17" s="94" t="n"/>
      <c r="L17" s="94" t="n"/>
      <c r="M17" s="94" t="n"/>
      <c r="N17" s="94" t="n"/>
    </row>
    <row r="18">
      <c r="A18" s="13" t="inlineStr">
        <is>
          <t>Period</t>
        </is>
      </c>
      <c r="B18" s="13" t="inlineStr">
        <is>
          <t>Income</t>
        </is>
      </c>
      <c r="C18" s="13" t="inlineStr">
        <is>
          <t>Costs before rent</t>
        </is>
      </c>
      <c r="D18" s="13" t="inlineStr">
        <is>
          <t>Rent available</t>
        </is>
      </c>
      <c r="E18" s="94" t="n"/>
      <c r="F18" s="94" t="n"/>
      <c r="G18" s="94" t="n"/>
      <c r="H18" s="94" t="n"/>
      <c r="I18" s="94" t="n"/>
      <c r="J18" s="94" t="n"/>
      <c r="K18" s="94" t="n"/>
      <c r="L18" s="94" t="n"/>
      <c r="M18" s="94" t="n"/>
      <c r="N18" s="94" t="n"/>
    </row>
    <row r="19">
      <c r="A19" s="94" t="inlineStr">
        <is>
          <t>Aug 2026</t>
        </is>
      </c>
      <c r="B19" s="222">
        <f>SUM('Monthly Plan'!B9:B10)</f>
        <v>2906.0</v>
      </c>
      <c r="C19" s="222">
        <f>'Monthly Plan'!B21</f>
        <v>843.28</v>
      </c>
      <c r="D19" s="222">
        <f>'Monthly Plan'!B22</f>
        <v>8168.36</v>
      </c>
      <c r="E19" s="94" t="n"/>
      <c r="F19" s="94" t="n"/>
      <c r="G19" s="94" t="n"/>
      <c r="H19" s="94" t="n"/>
      <c r="I19" s="94" t="n"/>
      <c r="J19" s="94" t="n"/>
      <c r="K19" s="94" t="n"/>
      <c r="L19" s="94" t="n"/>
      <c r="M19" s="94" t="n"/>
      <c r="N19" s="94" t="n"/>
    </row>
    <row r="20">
      <c r="A20" s="94" t="inlineStr">
        <is>
          <t>Sep 2026</t>
        </is>
      </c>
      <c r="B20" s="222">
        <f>'Monthly Plan'!C11</f>
        <v>7914.88</v>
      </c>
      <c r="C20" s="222">
        <f>'Monthly Plan'!C21</f>
        <v>3655.11</v>
      </c>
      <c r="D20" s="222">
        <f>'Monthly Plan'!C22</f>
        <v>12428.13</v>
      </c>
      <c r="E20" s="94" t="n"/>
      <c r="F20" s="94" t="n"/>
      <c r="G20" s="94" t="n"/>
      <c r="H20" s="94" t="n"/>
      <c r="I20" s="94" t="n"/>
      <c r="J20" s="94" t="n"/>
      <c r="K20" s="94" t="n"/>
      <c r="L20" s="94" t="n"/>
      <c r="M20" s="94" t="n"/>
      <c r="N20" s="94" t="n"/>
    </row>
    <row r="21">
      <c r="A21" s="94" t="inlineStr">
        <is>
          <t>Oct 1–22</t>
        </is>
      </c>
      <c r="B21" s="222">
        <f>0</f>
        <v>0.0</v>
      </c>
      <c r="C21" s="222">
        <f>'Monthly Plan'!D21</f>
        <v>13955.33</v>
      </c>
      <c r="D21" s="222">
        <f>'Monthly Plan'!D23</f>
        <v>10222.8</v>
      </c>
      <c r="E21" s="94" t="n"/>
      <c r="F21" s="94" t="n"/>
      <c r="G21" s="94" t="n"/>
      <c r="H21" s="94" t="n"/>
      <c r="I21" s="94" t="n"/>
      <c r="J21" s="94" t="n"/>
      <c r="K21" s="94" t="n"/>
      <c r="L21" s="94" t="n"/>
      <c r="M21" s="94" t="n"/>
      <c r="N21" s="94" t="n"/>
    </row>
    <row r="22">
      <c r="A22" s="225" t="inlineStr">
        <is>
          <t>Total available for rent</t>
        </is>
      </c>
      <c r="B22" s="225" t="n"/>
      <c r="C22" s="225" t="n"/>
      <c r="D22" s="225">
        <f>'Monthly Plan'!D23</f>
        <v>10222.8</v>
      </c>
      <c r="E22" s="94" t="n"/>
      <c r="F22" s="94" t="n"/>
      <c r="G22" s="94" t="n"/>
      <c r="H22" s="94" t="n"/>
      <c r="I22" s="94" t="n"/>
      <c r="J22" s="94" t="n"/>
      <c r="K22" s="94" t="n"/>
      <c r="L22" s="94" t="n"/>
      <c r="M22" s="94" t="n"/>
      <c r="N22" s="94" t="n"/>
    </row>
    <row r="23">
      <c r="A23" s="94" t="n"/>
      <c r="B23" s="94" t="n"/>
      <c r="C23" s="94" t="n"/>
      <c r="D23" s="94" t="n"/>
      <c r="E23" s="94" t="n"/>
      <c r="F23" s="94" t="n"/>
      <c r="G23" s="94" t="n"/>
      <c r="H23" s="94" t="n"/>
      <c r="I23" s="94" t="n"/>
      <c r="J23" s="94" t="n"/>
      <c r="K23" s="94" t="n"/>
      <c r="L23" s="94" t="n"/>
      <c r="M23" s="94" t="n"/>
      <c r="N23" s="94" t="n"/>
    </row>
    <row r="24" ht="23" customHeight="1">
      <c r="A24" s="9" t="inlineStr">
        <is>
          <t>CONTROL STATUS</t>
        </is>
      </c>
      <c r="I24" s="94" t="n"/>
      <c r="J24" s="94" t="n"/>
      <c r="K24" s="94" t="n"/>
      <c r="L24" s="94" t="n"/>
      <c r="M24" s="94" t="n"/>
      <c r="N24" s="94" t="n"/>
    </row>
    <row r="25" ht="24" customHeight="1">
      <c r="A25" s="202" t="inlineStr">
        <is>
          <t>PAYDAY DAMAGE CONTROL · AED 2,906 EXPECTED</t>
        </is>
      </c>
      <c r="B25" s="279" t="n"/>
      <c r="C25" s="279" t="n"/>
      <c r="D25" s="279" t="n"/>
      <c r="E25" s="279" t="n"/>
      <c r="F25" s="279" t="n"/>
      <c r="G25" s="279" t="n"/>
      <c r="H25" s="279" t="n"/>
      <c r="I25" s="279" t="n"/>
      <c r="J25" s="279" t="n"/>
      <c r="K25" s="279" t="n"/>
      <c r="L25" s="279" t="n"/>
      <c r="M25" s="94" t="n"/>
      <c r="N25" s="94" t="n"/>
    </row>
    <row r="26" ht="36" customHeight="1">
      <c r="A26" s="214" t="inlineStr">
        <is>
          <t>Allocate: DEWA AED 713.03 from salary + AED 100.25 already above rent · Tabby AED 1,314.50 · Survival AED 160 · du/Etisalat AED 718.47. Telecom remains AED 196.46 short from salary, reduced to AED 189.19 after current loose cash.</t>
        </is>
      </c>
      <c r="M26" s="94" t="n"/>
      <c r="N26" s="94" t="n"/>
    </row>
    <row r="27" ht="36" customHeight="1">
      <c r="A27" s="219" t="inlineStr">
        <is>
          <t>September SIP AED 462 is not funded. Total extra cash needed: AED 651.19. If unavailable, pause SIP before borrowing. Keep AED 5,990.45 rent untouched and Tabby frozen.</t>
        </is>
      </c>
      <c r="B27" s="280" t="n"/>
      <c r="C27" s="280" t="n"/>
      <c r="D27" s="280" t="n"/>
      <c r="E27" s="280" t="n"/>
      <c r="F27" s="280" t="n"/>
      <c r="G27" s="280" t="n"/>
      <c r="H27" s="280" t="n"/>
      <c r="I27" s="280" t="n"/>
      <c r="J27" s="280" t="n"/>
      <c r="K27" s="280" t="n"/>
      <c r="L27" s="280" t="n"/>
      <c r="M27" s="94" t="n"/>
      <c r="N27" s="94" t="n"/>
    </row>
    <row r="29" ht="23" customHeight="1">
      <c r="A29" s="9" t="inlineStr">
        <is>
          <t>WEALTH POSITION</t>
        </is>
      </c>
    </row>
    <row r="30" ht="23" customHeight="1">
      <c r="A30" s="236" t="inlineStr">
        <is>
          <t>Metric</t>
        </is>
      </c>
      <c r="B30" s="236" t="inlineStr">
        <is>
          <t>Value</t>
        </is>
      </c>
      <c r="C30" s="236" t="inlineStr">
        <is>
          <t>Metric</t>
        </is>
      </c>
      <c r="D30" s="236" t="inlineStr">
        <is>
          <t>Value</t>
        </is>
      </c>
      <c r="E30" s="236" t="inlineStr">
        <is>
          <t>Metric</t>
        </is>
      </c>
      <c r="F30" s="236" t="inlineStr">
        <is>
          <t>Value</t>
        </is>
      </c>
      <c r="G30" s="236" t="inlineStr">
        <is>
          <t>Metric</t>
        </is>
      </c>
      <c r="H30" s="236" t="inlineStr">
        <is>
          <t>Value</t>
        </is>
      </c>
      <c r="I30" s="236" t="inlineStr"/>
      <c r="J30" s="236" t="inlineStr">
        <is>
          <t>Metric</t>
        </is>
      </c>
      <c r="K30" s="236" t="inlineStr">
        <is>
          <t>Value</t>
        </is>
      </c>
      <c r="L30" s="236" t="inlineStr"/>
      <c r="M30" s="236" t="inlineStr"/>
      <c r="N30" s="236" t="inlineStr"/>
    </row>
    <row r="31">
      <c r="A31" t="inlineStr">
        <is>
          <t>Net worth</t>
        </is>
      </c>
      <c r="B31" s="240">
        <f>'Net Worth'!F28</f>
        <v>16053.318699478</v>
      </c>
      <c r="C31" t="inlineStr">
        <is>
          <t>Total assets</t>
        </is>
      </c>
      <c r="D31" s="240">
        <f>'Net Worth'!F25</f>
        <v>18740.678699478</v>
      </c>
      <c r="E31" t="inlineStr">
        <is>
          <t>Total liabilities</t>
        </is>
      </c>
      <c r="F31" s="240">
        <f>'Net Worth'!F27</f>
        <v>2687.36</v>
      </c>
      <c r="G31" t="inlineStr">
        <is>
          <t>Investments (AED)</t>
        </is>
      </c>
      <c r="H31" s="240">
        <f>'Net Worth'!F21</f>
        <v>12635.038699478</v>
      </c>
      <c r="J31" t="inlineStr">
        <is>
          <t>Health score</t>
        </is>
      </c>
      <c r="K31" s="56">
        <f>'AI Advisor'!C13</f>
        <v>35.8585645535</v>
      </c>
    </row>
    <row r="32">
      <c r="A32" t="inlineStr">
        <is>
          <t>Free net worth after commitments</t>
        </is>
      </c>
      <c r="B32" s="240">
        <f>'Net Worth'!F36</f>
        <v>9642.178699478</v>
      </c>
      <c r="C32" t="inlineStr">
        <is>
          <t>Free cash today</t>
        </is>
      </c>
      <c r="D32" s="240">
        <f>'Inputs'!B43</f>
        <v>107.52</v>
      </c>
      <c r="E32" t="inlineStr">
        <is>
          <t>Emergency cover (months)</t>
        </is>
      </c>
      <c r="F32" s="56">
        <f>'Net Worth'!B46</f>
        <v>0.0011900926</v>
      </c>
      <c r="G32" t="inlineStr">
        <is>
          <t>Debt to assets</t>
        </is>
      </c>
      <c r="H32" s="50">
        <f>'Net Worth'!B42</f>
        <v>0.1433971546</v>
      </c>
      <c r="J32" t="inlineStr">
        <is>
          <t>Grade</t>
        </is>
      </c>
      <c r="K32" t="str">
        <f>'AI Advisor'!E13</f>
        <v>D</v>
      </c>
    </row>
    <row r="33">
      <c r="A33" t="inlineStr">
        <is>
          <t>Monthly plan surplus</t>
        </is>
      </c>
      <c r="B33" s="240">
        <f>Budget!B39</f>
        <v>-881.8966666667</v>
      </c>
      <c r="C33" t="inlineStr">
        <is>
          <t>Savings rate achieved</t>
        </is>
      </c>
      <c r="D33" s="50">
        <f>Budget!B42</f>
        <v>0.0836904666</v>
      </c>
      <c r="E33" t="inlineStr">
        <is>
          <t>Lifestyle run rate</t>
        </is>
      </c>
      <c r="F33" s="240">
        <f>Budget!D27</f>
        <v>3849.3629913043</v>
      </c>
      <c r="G33" t="inlineStr">
        <is>
          <t>Daily burn</t>
        </is>
      </c>
      <c r="H33" s="240">
        <f>'Spend Analysis'!B39</f>
        <v>95.7626086957</v>
      </c>
      <c r="J33" t="inlineStr">
        <is>
          <t>Checks passing</t>
        </is>
      </c>
      <c r="K33" s="54">
        <f>Checks!B41</f>
        <v>30.0</v>
      </c>
    </row>
    <row r="34">
      <c r="A34" t="inlineStr">
        <is>
          <t>Capital at 20-year horizon</t>
        </is>
      </c>
      <c r="B34" s="240">
        <f>'Wealth Plan'!F38</f>
        <v>775778.8266303365</v>
      </c>
      <c r="C34" t="inlineStr">
        <is>
          <t>In today's money</t>
        </is>
      </c>
      <c r="D34" s="240">
        <f>'Wealth Plan'!G38</f>
        <v>473435.2759776129</v>
      </c>
      <c r="E34" t="inlineStr">
        <is>
          <t>Independence target</t>
        </is>
      </c>
      <c r="F34" s="240">
        <f>'Wealth Plan'!B54</f>
        <v>1933463.0</v>
      </c>
      <c r="G34" t="inlineStr">
        <is>
          <t>Years to independence</t>
        </is>
      </c>
      <c r="H34" t="str">
        <f>'Wealth Plan'!B55</f>
        <v>beyond horizon</v>
      </c>
      <c r="J34" t="inlineStr">
        <is>
          <t>Checks expected</t>
        </is>
      </c>
      <c r="K34" s="54">
        <f>Checks!C41</f>
        <v>30.0</v>
      </c>
    </row>
    <row r="36" ht="23" customHeight="1">
      <c r="A36" s="9" t="inlineStr">
        <is>
          <t>WHAT TO DO NEXT — TOP ACTIONS FROM THE AI ADVISOR</t>
        </is>
      </c>
    </row>
    <row r="37" ht="92" customHeight="1">
      <c r="A37" s="236" t="str">
        <f>'AI Advisor'!A47</f>
        <v>Health score 36 out of 100, grade D. Net worth is AED 16,053.32, of which AED 12,635.04 actually compounds. The balance sheet is not the problem — the calendar is. AED 5,759.55 of rent still has to be found before 21 Oct, AED 651.59 before 15 Sep, and free cash outside rent and emergency stands at AED 107.52. Do four things in order: hold the rent ring-fence, close the September gap by earning or by pausing the SIP, let the Tabby minimums run to zero by 3 Nov without ever paying a fee, and start accruing rent monthly so October 2027 is a transfer instead of a crisis. Then, and only then, raise the SIP.</v>
      </c>
    </row>
    <row r="39" ht="40" customHeight="1">
      <c r="A39" s="292" t="inlineStr">
        <is>
          <t>This dashboard now mirrors two things at once: the ninety-day survival plan above, and the long-term wealth position below. Read the top half when deciding what to do this week, and the bottom half when deciding whether the week mattered.</t>
        </is>
      </c>
    </row>
  </sheetData>
  <mergeCells count="13">
    <mergeCell ref="A26:L26"/>
    <mergeCell ref="A1:N2"/>
    <mergeCell ref="A3:N3"/>
    <mergeCell ref="A25:L25"/>
    <mergeCell ref="A39:N39"/>
    <mergeCell ref="A5:H5"/>
    <mergeCell ref="A24:H24"/>
    <mergeCell ref="A29:N29"/>
    <mergeCell ref="A11:H11"/>
    <mergeCell ref="A27:L27"/>
    <mergeCell ref="A37:N37"/>
    <mergeCell ref="A36:N36"/>
    <mergeCell ref="A17:H17"/>
  </mergeCells>
  <conditionalFormatting sqref="A26">
    <cfRule type="containsText" priority="1" operator="containsText" dxfId="0" text="OK"/>
  </conditionalFormatting>
  <pageMargins left="0.7" right="0.7" top="0.75" bottom="0.75" header="0.3" footer="0.3"/>
  <drawing r:id="rId1"/>
</worksheet>
</file>

<file path=xl/worksheets/sheet2.xml><?xml version="1.0" encoding="utf-8"?>
<worksheet xmlns="http://schemas.openxmlformats.org/spreadsheetml/2006/main">
  <sheetPr>
    <tabColor rgb="FF0D3452"/>
    <outlinePr summaryBelow="1" summaryRight="1"/>
    <pageSetUpPr/>
  </sheetPr>
  <dimension ref="A1:H47"/>
  <sheetViews>
    <sheetView showGridLines="0" workbookViewId="0">
      <selection activeCell="A1" sqref="A1"/>
    </sheetView>
  </sheetViews>
  <sheetFormatPr baseColWidth="8" defaultRowHeight="15"/>
  <cols>
    <col width="9" customWidth="1" min="1" max="1"/>
    <col width="44" customWidth="1" min="2" max="2"/>
    <col width="16" customWidth="1" min="3" max="3"/>
    <col width="15" customWidth="1" min="4" max="4"/>
    <col width="17" customWidth="1" min="5" max="5"/>
    <col width="12" customWidth="1" min="6" max="6"/>
    <col width="15" customWidth="1" min="7" max="7"/>
    <col width="62" customWidth="1" min="8" max="8"/>
  </cols>
  <sheetData>
    <row r="1" ht="29" customHeight="1">
      <c r="A1" s="3" t="inlineStr">
        <is>
          <t>AI Advisor — Live Recommendations</t>
        </is>
      </c>
    </row>
    <row r="2" ht="29" customHeight="1"/>
    <row r="3" ht="30" customHeight="1">
      <c r="A3" s="286" t="inlineStr">
        <is>
          <t>Every recommendation below is wired to a live condition in this workbook. Change a balance on Inputs or add a line to the ledger and the status column re-decides itself — an item closes when the data says it is closed, not when someone ticks it off. Impact is the dirham value of acting, stated per month unless the note says otherwise.</t>
        </is>
      </c>
    </row>
    <row r="5" ht="23" customHeight="1">
      <c r="A5" s="9" t="inlineStr">
        <is>
          <t>HEALTH SCORE</t>
        </is>
      </c>
    </row>
    <row r="6" ht="23" customHeight="1">
      <c r="A6" s="236" t="inlineStr">
        <is>
          <t>#</t>
        </is>
      </c>
      <c r="B6" s="236" t="inlineStr">
        <is>
          <t>Component</t>
        </is>
      </c>
      <c r="C6" s="236" t="inlineStr">
        <is>
          <t>Score</t>
        </is>
      </c>
      <c r="D6" s="236" t="inlineStr">
        <is>
          <t>Weight</t>
        </is>
      </c>
      <c r="E6" s="236" t="inlineStr">
        <is>
          <t>Weighted</t>
        </is>
      </c>
      <c r="F6" s="236" t="inlineStr"/>
      <c r="G6" s="236" t="inlineStr"/>
      <c r="H6" s="236" t="inlineStr">
        <is>
          <t>How it is measured</t>
        </is>
      </c>
    </row>
    <row r="7">
      <c r="A7" s="54" t="n">
        <v>1</v>
      </c>
      <c r="B7" s="239" t="inlineStr">
        <is>
          <t>Liquidity — free cash against one month of essentials</t>
        </is>
      </c>
      <c r="C7" s="56">
        <f>MIN(100,MAX(0,IF(Budget!B17=0,0,'Inputs'!B43/Budget!B17)*100))</f>
        <v>1.6683019018</v>
      </c>
      <c r="D7" s="296" t="n">
        <v>0.2</v>
      </c>
      <c r="E7" s="56">
        <f>C7*D7</f>
        <v>0.3336603804</v>
      </c>
      <c r="H7" s="239" t="inlineStr">
        <is>
          <t>Free cash outside rent and emergency, divided by monthly essentials, capped at 100.</t>
        </is>
      </c>
    </row>
    <row r="8">
      <c r="A8" s="54" t="n">
        <v>2</v>
      </c>
      <c r="B8" s="239" t="inlineStr">
        <is>
          <t>Emergency cover — months held against the six-month target</t>
        </is>
      </c>
      <c r="C8" s="56">
        <f>MIN(100,MAX(0,IF(Budget!B17=0,0,'Inputs'!B32/(Budget!B17*'FX &amp; Assumptions'!B33))*100))</f>
        <v>0.0198348766</v>
      </c>
      <c r="D8" s="296" t="n">
        <v>0.2</v>
      </c>
      <c r="E8" s="56">
        <f>C8*D8</f>
        <v>0.0039669753</v>
      </c>
      <c r="H8" s="239" t="inlineStr">
        <is>
          <t>Emergency fund against six months of essentials.</t>
        </is>
      </c>
    </row>
    <row r="9">
      <c r="A9" s="54" t="n">
        <v>3</v>
      </c>
      <c r="B9" s="239" t="inlineStr">
        <is>
          <t>Debt — exposure against total assets</t>
        </is>
      </c>
      <c r="C9" s="56">
        <f>MIN(100,MAX(0,(1-IF('Net Worth'!F25=0,1,'Net Worth'!F27/'Net Worth'!F25))*100))</f>
        <v>85.6602845442</v>
      </c>
      <c r="D9" s="296" t="n">
        <v>0.15</v>
      </c>
      <c r="E9" s="56">
        <f>C9*D9</f>
        <v>12.8490426816</v>
      </c>
      <c r="H9" s="239" t="inlineStr">
        <is>
          <t>One hundred means debt free.</t>
        </is>
      </c>
    </row>
    <row r="10">
      <c r="A10" s="54" t="n">
        <v>4</v>
      </c>
      <c r="B10" s="239" t="inlineStr">
        <is>
          <t>Savings rate — achieved against target</t>
        </is>
      </c>
      <c r="C10" s="56">
        <f>MIN(100,MAX(0,IF('FX &amp; Assumptions'!B30=0,0,Budget!B42/'FX &amp; Assumptions'!B30)*100))</f>
        <v>41.8452332821</v>
      </c>
      <c r="D10" s="296" t="n">
        <v>0.2</v>
      </c>
      <c r="E10" s="56">
        <f>C10*D10</f>
        <v>8.3690466564</v>
      </c>
      <c r="H10" s="239" t="inlineStr">
        <is>
          <t>Investing and emergency top-ups against the target savings rate.</t>
        </is>
      </c>
    </row>
    <row r="11">
      <c r="A11" s="54" t="n">
        <v>5</v>
      </c>
      <c r="B11" s="239" t="inlineStr">
        <is>
          <t>Budget balance — does the plan fit the salary</t>
        </is>
      </c>
      <c r="C11" s="56">
        <f>IF(Budget!B39&gt;=0,100,MAX(0,100+Budget!B39/MAX(1,Budget!B8)*100))</f>
        <v>88.857737999</v>
      </c>
      <c r="D11" s="296" t="n">
        <v>0.15</v>
      </c>
      <c r="E11" s="56">
        <f>C11*D11</f>
        <v>13.3286606998</v>
      </c>
      <c r="H11" s="239" t="inlineStr">
        <is>
          <t>One hundred when the plan balances; falls as the deficit widens.</t>
        </is>
      </c>
    </row>
    <row r="12">
      <c r="A12" s="54" t="n">
        <v>6</v>
      </c>
      <c r="B12" s="239" t="inlineStr">
        <is>
          <t>Spending discipline — run rate against plan</t>
        </is>
      </c>
      <c r="C12" s="56">
        <f>MIN(100,MAX(0,IF(Budget!D27=0,100,Budget!B27/Budget!D27*100)))</f>
        <v>9.7418715992</v>
      </c>
      <c r="D12" s="296" t="n">
        <v>0.1</v>
      </c>
      <c r="E12" s="56">
        <f>C12*D12</f>
        <v>0.9741871599</v>
      </c>
      <c r="H12" s="239" t="inlineStr">
        <is>
          <t>Planned lifestyle spending divided by the actual lifestyle run rate.</t>
        </is>
      </c>
    </row>
    <row r="13">
      <c r="A13" s="4" t="n"/>
      <c r="B13" s="10" t="inlineStr">
        <is>
          <t>FINANCIAL HEALTH SCORE</t>
        </is>
      </c>
      <c r="C13" s="304">
        <f>SUM(E7:E12)</f>
        <v>35.8585645535</v>
      </c>
      <c r="D13" s="294">
        <f>SUM(D7:D12)</f>
        <v>1.0</v>
      </c>
      <c r="E13" s="10" t="str">
        <f>IF(C13&gt;=80,"A",IF(C13&gt;=65,"B",IF(C13&gt;=50,"C",IF(C13&gt;=35,"D","E"))))</f>
        <v>D</v>
      </c>
      <c r="H13" s="236" t="inlineStr">
        <is>
          <t>Weights are levers — adjust them if you disagree with the emphasis. The grade in column E is the honest headline: an E or a D means the next ninety days are about survival, not strategy.</t>
        </is>
      </c>
    </row>
    <row r="15" ht="23" customHeight="1">
      <c r="A15" s="9" t="inlineStr">
        <is>
          <t>URGENT — DO THIS WEEK</t>
        </is>
      </c>
    </row>
    <row r="16" ht="23" customHeight="1">
      <c r="A16" s="236" t="inlineStr">
        <is>
          <t>#</t>
        </is>
      </c>
      <c r="B16" s="236" t="inlineStr">
        <is>
          <t>Recommendation</t>
        </is>
      </c>
      <c r="C16" s="236" t="inlineStr">
        <is>
          <t>Status</t>
        </is>
      </c>
      <c r="D16" s="236" t="inlineStr">
        <is>
          <t>Effort</t>
        </is>
      </c>
      <c r="E16" s="236" t="inlineStr">
        <is>
          <t>Impact (AED)</t>
        </is>
      </c>
      <c r="F16" s="236" t="inlineStr">
        <is>
          <t>Priority</t>
        </is>
      </c>
      <c r="G16" s="236" t="inlineStr">
        <is>
          <t>By when</t>
        </is>
      </c>
      <c r="H16" s="236" t="inlineStr">
        <is>
          <t>Why this, and why now</t>
        </is>
      </c>
    </row>
    <row r="17">
      <c r="A17" s="54" t="n">
        <v>1</v>
      </c>
      <c r="B17" s="239" t="inlineStr">
        <is>
          <t>Bank the AED 189.19 bills-and-survival gap before 15 Sep</t>
        </is>
      </c>
      <c r="C17" s="295" t="str">
        <f>IF('Inputs'!B51&gt;0.01,"OPEN","CLOSED")</f>
        <v>OPEN</v>
      </c>
      <c r="D17" t="inlineStr">
        <is>
          <t>High</t>
        </is>
      </c>
      <c r="E17" s="240">
        <f>'Inputs'!B51</f>
        <v>189.19</v>
      </c>
      <c r="F17" t="str">
        <f>IF(E17&gt;=500,"1 — Critical",IF(E17&gt;=100,"2 — High",IF(E17&gt;=25,"3 — Useful","4 — Housekeeping")))</f>
        <v>2 — High</v>
      </c>
      <c r="G17" s="238" t="n">
        <v>46280</v>
      </c>
      <c r="H17" s="239" t="inlineStr">
        <is>
          <t>Confirmed bills plus the survival allowance exceed loose cash plus the expected payday. This is the one number that decides whether September is calm or improvised. Earn it, or pause the SIP — in that order.</t>
        </is>
      </c>
    </row>
    <row r="18">
      <c r="A18" s="54" t="n">
        <v>2</v>
      </c>
      <c r="B18" s="239" t="inlineStr">
        <is>
          <t>Do not touch the protected rent in FAB 4002</t>
        </is>
      </c>
      <c r="C18" s="295" t="str">
        <f>IF('Inputs'!B31&gt;0,"IN FORCE","Released")</f>
        <v>IN FORCE</v>
      </c>
      <c r="D18" t="inlineStr">
        <is>
          <t>None</t>
        </is>
      </c>
      <c r="E18" s="240">
        <f>'Inputs'!B31</f>
        <v>5990.45</v>
      </c>
      <c r="F18" t="str">
        <f>IF(E18&gt;=500,"1 — Critical",IF(E18&gt;=100,"2 — High",IF(E18&gt;=25,"3 — Useful","4 — Housekeeping")))</f>
        <v>1 — Critical</v>
      </c>
      <c r="G18" s="238" t="n">
        <v>46316</v>
      </c>
      <c r="H18" s="239" t="inlineStr">
        <is>
          <t>FAB 4002 shows AED 6,090.70 but only AED 100.25 of it is yours to spend. Treating the account balance as available is the single most likely way this plan fails.</t>
        </is>
      </c>
    </row>
    <row r="19">
      <c r="A19" s="54" t="n">
        <v>3</v>
      </c>
      <c r="B19" s="239" t="inlineStr">
        <is>
          <t>Let the AED 1,314.50 Tabby autopay run on 3 Sep — do not pay the full statement</t>
        </is>
      </c>
      <c r="C19" s="295" t="str">
        <f>IF('Inputs'!B36&gt;0,"SCHEDULED","Done")</f>
        <v>SCHEDULED</v>
      </c>
      <c r="D19" t="inlineStr">
        <is>
          <t>None</t>
        </is>
      </c>
      <c r="E19" s="240">
        <f>'Inputs'!B37-'Inputs'!B36</f>
        <v>657.53</v>
      </c>
      <c r="F19" t="str">
        <f>IF(E19&gt;=500,"1 — Critical",IF(E19&gt;=100,"2 — High",IF(E19&gt;=25,"3 — Useful","4 — Housekeeping")))</f>
        <v>1 — Critical</v>
      </c>
      <c r="G19" s="238" t="n">
        <v>46268</v>
      </c>
      <c r="H19" s="239" t="inlineStr">
        <is>
          <t>Paying the full August statement costs AED 657.53 more in the month you can least afford it, and saves no fee at all. The Debt Plan proves it.</t>
        </is>
      </c>
    </row>
    <row r="20">
      <c r="A20" s="54" t="n">
        <v>4</v>
      </c>
      <c r="B20" s="239" t="inlineStr">
        <is>
          <t>Confirm the AED 2,906 salary actually credits on 26 Aug</t>
        </is>
      </c>
      <c r="C20" s="295" t="str">
        <f>IF('Inputs'!C22="Estimated","UNCONFIRMED","Confirmed")</f>
        <v>UNCONFIRMED</v>
      </c>
      <c r="D20" t="inlineStr">
        <is>
          <t>Low</t>
        </is>
      </c>
      <c r="E20" s="240">
        <f>'Inputs'!B22</f>
        <v>2906.0</v>
      </c>
      <c r="F20" t="str">
        <f>IF(E20&gt;=500,"1 — Critical",IF(E20&gt;=100,"2 — High",IF(E20&gt;=25,"3 — Useful","4 — Housekeeping")))</f>
        <v>1 — Critical</v>
      </c>
      <c r="G20" s="238" t="n">
        <v>46260</v>
      </c>
      <c r="H20" s="239" t="inlineStr">
        <is>
          <t>Every downstream number in this workbook assumes it arrives. Until it is on a statement it is a hope, and the model deliberately refuses to call it cash.</t>
        </is>
      </c>
    </row>
    <row r="22" ht="23" customHeight="1">
      <c r="A22" s="9" t="inlineStr">
        <is>
          <t>SPENDING — WHERE THE MONEY IS LEAKING</t>
        </is>
      </c>
    </row>
    <row r="23" ht="23" customHeight="1">
      <c r="A23" s="236" t="inlineStr">
        <is>
          <t>#</t>
        </is>
      </c>
      <c r="B23" s="236" t="inlineStr">
        <is>
          <t>Recommendation</t>
        </is>
      </c>
      <c r="C23" s="236" t="inlineStr">
        <is>
          <t>Status</t>
        </is>
      </c>
      <c r="D23" s="236" t="inlineStr">
        <is>
          <t>Effort</t>
        </is>
      </c>
      <c r="E23" s="236" t="inlineStr">
        <is>
          <t>Impact (AED)</t>
        </is>
      </c>
      <c r="F23" s="236" t="inlineStr">
        <is>
          <t>Priority</t>
        </is>
      </c>
      <c r="G23" s="236" t="inlineStr">
        <is>
          <t>By when</t>
        </is>
      </c>
      <c r="H23" s="236" t="inlineStr">
        <is>
          <t>Why this, and why now</t>
        </is>
      </c>
    </row>
    <row r="24">
      <c r="A24" s="54" t="n">
        <v>1</v>
      </c>
      <c r="B24" s="239" t="inlineStr">
        <is>
          <t>Bring dining back to the plan</t>
        </is>
      </c>
      <c r="C24" s="295" t="str">
        <f>IF(Budget!D21&gt;Budget!B21,"OVER PLAN","OK")</f>
        <v>OVER PLAN</v>
      </c>
      <c r="D24" t="inlineStr">
        <is>
          <t>Medium</t>
        </is>
      </c>
      <c r="E24" s="240">
        <f>MAX(0,Budget!D21-Budget!B21)</f>
        <v>839.3010086957</v>
      </c>
      <c r="F24" t="str">
        <f>IF(E24&gt;=500,"1 — Critical",IF(E24&gt;=100,"2 — High",IF(E24&gt;=25,"3 — Useful","4 — Housekeeping")))</f>
        <v>1 — Critical</v>
      </c>
      <c r="G24" s="238" t="n">
        <v>46295</v>
      </c>
      <c r="H24" s="239" t="inlineStr">
        <is>
          <t>Dining is the largest genuinely controllable category in the ledger. The impact column is the monthly saving from simply hitting the number already written in the Budget.</t>
        </is>
      </c>
    </row>
    <row r="25">
      <c r="A25" s="54" t="n">
        <v>2</v>
      </c>
      <c r="B25" s="239" t="inlineStr">
        <is>
          <t>Cancel one of the two telecom lines</t>
        </is>
      </c>
      <c r="C25" s="295" t="str">
        <f>IF(AND('Inputs'!B34&gt;0,'Inputs'!B35&gt;0),"TWO LINES ACTIVE","Consolidated")</f>
        <v>TWO LINES ACTIVE</v>
      </c>
      <c r="D25" t="inlineStr">
        <is>
          <t>Low</t>
        </is>
      </c>
      <c r="E25" s="240">
        <f>MIN('Inputs'!B34,'Inputs'!B35)</f>
        <v>323.95</v>
      </c>
      <c r="F25" t="str">
        <f>IF(E25&gt;=500,"1 — Critical",IF(E25&gt;=100,"2 — High",IF(E25&gt;=25,"3 — Useful","4 — Housekeeping")))</f>
        <v>2 — High</v>
      </c>
      <c r="G25" s="238" t="n">
        <v>46295</v>
      </c>
      <c r="H25" s="239" t="inlineStr">
        <is>
          <t>du and Etisalat are both being paid every month for one person. Cancelling the smaller line is a permanent saving that requires no willpower at all — the best kind.</t>
        </is>
      </c>
    </row>
    <row r="26">
      <c r="A26" s="54" t="n">
        <v>3</v>
      </c>
      <c r="B26" s="239" t="inlineStr">
        <is>
          <t>Bring the daily burn under the damage-control cap</t>
        </is>
      </c>
      <c r="C26" s="295" t="str">
        <f>IF('Spend Analysis'!B31&gt;'Spend Analysis'!C31,"ABOVE CAP","WITHIN CAP")</f>
        <v>ABOVE CAP</v>
      </c>
      <c r="D26" t="inlineStr">
        <is>
          <t>High</t>
        </is>
      </c>
      <c r="E26" s="240">
        <f>MAX(0,('Spend Analysis'!B39-'Spend Analysis'!C39)*30.44)</f>
        <v>2762.8138086957</v>
      </c>
      <c r="F26" t="str">
        <f>IF(E26&gt;=500,"1 — Critical",IF(E26&gt;=100,"2 — High",IF(E26&gt;=25,"3 — Useful","4 — Housekeeping")))</f>
        <v>1 — Critical</v>
      </c>
      <c r="G26" s="238" t="n">
        <v>46290</v>
      </c>
      <c r="H26" s="239" t="inlineStr">
        <is>
          <t>The plan caps living costs at AED 5 a day. The confirmed ledger shows day-to-day living running at a large multiple of that. This gap, compounded over eight weeks, is roughly the size of the rent shortfall.</t>
        </is>
      </c>
    </row>
    <row r="27">
      <c r="A27" s="54" t="n">
        <v>4</v>
      </c>
      <c r="B27" s="239" t="inlineStr">
        <is>
          <t>Kill the Netflix retry</t>
        </is>
      </c>
      <c r="C27" s="295" t="str">
        <f>IF('Obligations'!C18&gt;0,"OPEN","Closed")</f>
        <v>OPEN</v>
      </c>
      <c r="D27" t="inlineStr">
        <is>
          <t>None</t>
        </is>
      </c>
      <c r="E27" s="240">
        <f>'Obligations'!C18</f>
        <v>35.0</v>
      </c>
      <c r="F27" t="str">
        <f>IF(E27&gt;=500,"1 — Critical",IF(E27&gt;=100,"2 — High",IF(E27&gt;=25,"3 — Useful","4 — Housekeeping")))</f>
        <v>3 — Useful</v>
      </c>
      <c r="G27" s="238" t="n">
        <v>46266</v>
      </c>
      <c r="H27" s="239" t="inlineStr">
        <is>
          <t>The charge was declined, not paid. Cancel it properly rather than leaving it to retry against an account that is holding rent money.</t>
        </is>
      </c>
    </row>
    <row r="28">
      <c r="A28" s="54" t="n">
        <v>5</v>
      </c>
      <c r="B28" s="239" t="inlineStr">
        <is>
          <t>Stop paying transfer fees</t>
        </is>
      </c>
      <c r="C28" s="295" t="str">
        <f>IF(Budget!D25&gt;0,"LEAKING","Clean")</f>
        <v>LEAKING</v>
      </c>
      <c r="D28" t="inlineStr">
        <is>
          <t>Low</t>
        </is>
      </c>
      <c r="E28" s="240">
        <f>Budget!D25</f>
        <v>0.6485043478</v>
      </c>
      <c r="F28" t="str">
        <f>IF(E28&gt;=500,"1 — Critical",IF(E28&gt;=100,"2 — High",IF(E28&gt;=25,"3 — Useful","4 — Housekeeping")))</f>
        <v>4 — Housekeeping</v>
      </c>
      <c r="G28" s="238" t="n">
        <v>46295</v>
      </c>
      <c r="H28" s="239" t="inlineStr">
        <is>
          <t>Small, but it is pure leakage: a fee buys nothing. Batch transfers instead of moving money several times a week.</t>
        </is>
      </c>
    </row>
    <row r="29">
      <c r="A29" s="54" t="n">
        <v>6</v>
      </c>
      <c r="B29" s="239" t="inlineStr">
        <is>
          <t>Give the AED 14 unreconciled movement a name</t>
        </is>
      </c>
      <c r="C29" s="295" t="str">
        <f>IF(COUNTIFS('Recent Ledger'!$I$6:$I$101,"Unreconciled")&gt;0,"OPEN","Clean")</f>
        <v>OPEN</v>
      </c>
      <c r="D29" t="inlineStr">
        <is>
          <t>Low</t>
        </is>
      </c>
      <c r="E29" s="240">
        <f>SUMIFS('Recent Ledger'!$D$6:$D$101,'Recent Ledger'!$I$6:$I$101,"Unreconciled")</f>
        <v>64.0</v>
      </c>
      <c r="F29" t="str">
        <f>IF(E29&gt;=500,"1 — Critical",IF(E29&gt;=100,"2 — High",IF(E29&gt;=25,"3 — Useful","4 — Housekeeping")))</f>
        <v>3 — Useful</v>
      </c>
      <c r="G29" s="238" t="n">
        <v>46272</v>
      </c>
      <c r="H29" s="239" t="inlineStr">
        <is>
          <t>A control item rather than a money item. A ledger where every dirham has a merchant is a ledger you can trust when it matters.</t>
        </is>
      </c>
    </row>
    <row r="31" ht="23" customHeight="1">
      <c r="A31" s="9" t="inlineStr">
        <is>
          <t>STRUCTURE — STOP THE CRISIS REPEATING</t>
        </is>
      </c>
    </row>
    <row r="32" ht="23" customHeight="1">
      <c r="A32" s="236" t="inlineStr">
        <is>
          <t>#</t>
        </is>
      </c>
      <c r="B32" s="236" t="inlineStr">
        <is>
          <t>Recommendation</t>
        </is>
      </c>
      <c r="C32" s="236" t="inlineStr">
        <is>
          <t>Status</t>
        </is>
      </c>
      <c r="D32" s="236" t="inlineStr">
        <is>
          <t>Effort</t>
        </is>
      </c>
      <c r="E32" s="236" t="inlineStr">
        <is>
          <t>Impact (AED)</t>
        </is>
      </c>
      <c r="F32" s="236" t="inlineStr">
        <is>
          <t>Priority</t>
        </is>
      </c>
      <c r="G32" s="236" t="inlineStr">
        <is>
          <t>By when</t>
        </is>
      </c>
      <c r="H32" s="236" t="inlineStr">
        <is>
          <t>Why this, and why now</t>
        </is>
      </c>
    </row>
    <row r="33">
      <c r="A33" s="54" t="n">
        <v>1</v>
      </c>
      <c r="B33" s="239" t="inlineStr">
        <is>
          <t>Start a monthly rent accrual</t>
        </is>
      </c>
      <c r="C33" s="295" t="str">
        <f>IF('Net Worth'!F34&gt;0.01,"NOT STARTED","Funded")</f>
        <v>NOT STARTED</v>
      </c>
      <c r="D33" t="inlineStr">
        <is>
          <t>Medium</t>
        </is>
      </c>
      <c r="E33" s="240">
        <f>'FX &amp; Assumptions'!B29</f>
        <v>3916.6666666667</v>
      </c>
      <c r="F33" t="str">
        <f>IF(E33&gt;=500,"1 — Critical",IF(E33&gt;=100,"2 — High",IF(E33&gt;=25,"3 — Useful","4 — Housekeeping")))</f>
        <v>1 — Critical</v>
      </c>
      <c r="G33" s="238" t="n">
        <v>46327</v>
      </c>
      <c r="H33" s="239" t="inlineStr">
        <is>
          <t>The rent cheque is not an emergency, it is a subscription that arrives on a known date. Moving the monthly accrual into FAB 4002 on payday converts every future cheque from a crisis into a transfer. This is the highest-value structural change in the workbook.</t>
        </is>
      </c>
    </row>
    <row r="34">
      <c r="A34" s="54" t="n">
        <v>2</v>
      </c>
      <c r="B34" s="239" t="inlineStr">
        <is>
          <t>Confirm how many rent cheques the lease actually requires</t>
        </is>
      </c>
      <c r="C34" s="295" t="str">
        <f>IF('FX &amp; Assumptions'!B27=4,"ASSUMED — CONFIRM","Confirmed")</f>
        <v>ASSUMED — CONFIRM</v>
      </c>
      <c r="D34" t="inlineStr">
        <is>
          <t>None</t>
        </is>
      </c>
      <c r="E34" s="240">
        <f>'FX &amp; Assumptions'!B28</f>
        <v>47000.0</v>
      </c>
      <c r="F34" t="str">
        <f>IF(E34&gt;=500,"1 — Critical",IF(E34&gt;=100,"2 — High",IF(E34&gt;=25,"3 — Useful","4 — Housekeeping")))</f>
        <v>1 — Critical</v>
      </c>
      <c r="G34" s="238" t="n">
        <v>46272</v>
      </c>
      <c r="H34" s="239" t="inlineStr">
        <is>
          <t>The whole rent accrual, the Budget essentials ratio and the emergency-fund target all rest on four cheques a year. It is an assumption, not a fact, and it is one phone call to settle.</t>
        </is>
      </c>
    </row>
    <row r="35">
      <c r="A35" s="54" t="n">
        <v>3</v>
      </c>
      <c r="B35" s="239" t="inlineStr">
        <is>
          <t>Get the emergency fund to AED 1,000</t>
        </is>
      </c>
      <c r="C35" s="295" t="str">
        <f>IF('Inputs'!B32&lt;1000,"UNFUNDED","Milestone reached")</f>
        <v>UNFUNDED</v>
      </c>
      <c r="D35" t="inlineStr">
        <is>
          <t>Medium</t>
        </is>
      </c>
      <c r="E35" s="240">
        <f>MAX(0,1000-'Inputs'!B32)</f>
        <v>992.33</v>
      </c>
      <c r="F35" t="str">
        <f>IF(E35&gt;=500,"1 — Critical",IF(E35&gt;=100,"2 — High",IF(E35&gt;=25,"3 — Useful","4 — Housekeeping")))</f>
        <v>1 — Critical</v>
      </c>
      <c r="G35" s="238" t="n">
        <v>46477</v>
      </c>
      <c r="H35" s="239" t="inlineStr">
        <is>
          <t>AED 7.67 is not a buffer. Until there is a real one, every unexpected cost lands on the card or on the rent money.</t>
        </is>
      </c>
    </row>
    <row r="36">
      <c r="A36" s="54" t="n">
        <v>4</v>
      </c>
      <c r="B36" s="239" t="inlineStr">
        <is>
          <t>Move to a single spending account with a weekly allowance</t>
        </is>
      </c>
      <c r="C36" s="295" t="str">
        <f>"RECOMMENDED"</f>
        <v>RECOMMENDED</v>
      </c>
      <c r="D36" t="inlineStr">
        <is>
          <t>Low</t>
        </is>
      </c>
      <c r="E36" s="240">
        <f>0</f>
        <v>0.0</v>
      </c>
      <c r="F36" t="str">
        <f>IF(E36&gt;=500,"1 — Critical",IF(E36&gt;=100,"2 — High",IF(E36&gt;=25,"3 — Useful","4 — Housekeeping")))</f>
        <v>4 — Housekeeping</v>
      </c>
      <c r="G36" s="238" t="n">
        <v>46296</v>
      </c>
      <c r="H36" s="239" t="inlineStr">
        <is>
          <t>The ledger shows constant small transfers from 4002 into 4001. Each one is a decision, and each one erodes the ring-fence. One weekly transfer, then spend only what landed.</t>
        </is>
      </c>
    </row>
    <row r="38" ht="23" customHeight="1">
      <c r="A38" s="9" t="inlineStr">
        <is>
          <t>INVESTING — THE PART THAT COMPOUNDS</t>
        </is>
      </c>
    </row>
    <row r="39" ht="23" customHeight="1">
      <c r="A39" s="236" t="inlineStr">
        <is>
          <t>#</t>
        </is>
      </c>
      <c r="B39" s="236" t="inlineStr">
        <is>
          <t>Recommendation</t>
        </is>
      </c>
      <c r="C39" s="236" t="inlineStr">
        <is>
          <t>Status</t>
        </is>
      </c>
      <c r="D39" s="236" t="inlineStr">
        <is>
          <t>Effort</t>
        </is>
      </c>
      <c r="E39" s="236" t="inlineStr">
        <is>
          <t>Impact (AED)</t>
        </is>
      </c>
      <c r="F39" s="236" t="inlineStr">
        <is>
          <t>Priority</t>
        </is>
      </c>
      <c r="G39" s="236" t="inlineStr">
        <is>
          <t>By when</t>
        </is>
      </c>
      <c r="H39" s="236" t="inlineStr">
        <is>
          <t>Why this, and why now</t>
        </is>
      </c>
    </row>
    <row r="40">
      <c r="A40" s="54" t="n">
        <v>1</v>
      </c>
      <c r="B40" s="239" t="inlineStr">
        <is>
          <t>Sweep the idle rupee cash into the next SIP</t>
        </is>
      </c>
      <c r="C40" s="295" t="str">
        <f>IF('Net Worth'!F19&gt;1,"IDLE","Swept")</f>
        <v>IDLE</v>
      </c>
      <c r="D40" t="inlineStr">
        <is>
          <t>None</t>
        </is>
      </c>
      <c r="E40" s="240">
        <f>'Net Worth'!F19</f>
        <v>14.970572383</v>
      </c>
      <c r="F40" t="str">
        <f>IF(E40&gt;=500,"1 — Critical",IF(E40&gt;=100,"2 — High",IF(E40&gt;=25,"3 — Useful","4 — Housekeeping")))</f>
        <v>4 — Housekeeping</v>
      </c>
      <c r="G40" s="238" t="n">
        <v>46275</v>
      </c>
      <c r="H40" s="239" t="inlineStr">
        <is>
          <t>Settlement cash sitting in the broker account earns nothing. It is small, but sweeping it costs nothing and is the only free money in the file.</t>
        </is>
      </c>
    </row>
    <row r="41">
      <c r="A41" s="54" t="n">
        <v>2</v>
      </c>
      <c r="B41" s="239" t="inlineStr">
        <is>
          <t>Reduce single-fund-house concentration</t>
        </is>
      </c>
      <c r="C41" s="295" t="str">
        <f>IF('Investments'!B16&gt;0.8,"CONCENTRATED","Diversified")</f>
        <v>CONCENTRATED</v>
      </c>
      <c r="D41" t="inlineStr">
        <is>
          <t>Medium</t>
        </is>
      </c>
      <c r="E41" s="240">
        <f>MAX(0,('Investments'!B16-0.8)*'Investments'!E12*'FX &amp; Assumptions'!B7)</f>
        <v>1456.971431643</v>
      </c>
      <c r="F41" t="str">
        <f>IF(E41&gt;=500,"1 — Critical",IF(E41&gt;=100,"2 — High",IF(E41&gt;=25,"3 — Useful","4 — Housekeeping")))</f>
        <v>1 — Critical</v>
      </c>
      <c r="G41" s="238" t="n">
        <v>46477</v>
      </c>
      <c r="H41" s="239" t="inlineStr">
        <is>
          <t>Almost the entire mutual-fund portfolio sits with one fund house. That is an operational risk as much as a market one. Direct future SIP instalments elsewhere rather than selling — no exit load, no capital gains event.</t>
        </is>
      </c>
    </row>
    <row r="42">
      <c r="A42" s="54" t="n">
        <v>3</v>
      </c>
      <c r="B42" s="239" t="inlineStr">
        <is>
          <t>Do not pause the SIP unless the September gap is still open on 8 Sep</t>
        </is>
      </c>
      <c r="C42" s="295" t="str">
        <f>IF('Inputs'!B51&gt;0.01,"CONDITIONAL","Safe to continue")</f>
        <v>CONDITIONAL</v>
      </c>
      <c r="D42" t="inlineStr">
        <is>
          <t>None</t>
        </is>
      </c>
      <c r="E42" s="240">
        <f>'Inputs'!B39</f>
        <v>462.4</v>
      </c>
      <c r="F42" t="str">
        <f>IF(E42&gt;=500,"1 — Critical",IF(E42&gt;=100,"2 — High",IF(E42&gt;=25,"3 — Useful","4 — Housekeeping")))</f>
        <v>2 — High</v>
      </c>
      <c r="G42" s="238" t="n">
        <v>46273</v>
      </c>
      <c r="H42" s="239" t="inlineStr">
        <is>
          <t>A paused SIP is cheap to restart; a missed rent cheque is not. But pausing early, when the gap might still be closed by earning, gives up compounding for nothing. Decide on 8 Sep with real balances, not on 26 Aug with estimates.</t>
        </is>
      </c>
    </row>
    <row r="43">
      <c r="A43" s="54" t="n">
        <v>4</v>
      </c>
      <c r="B43" s="239" t="inlineStr">
        <is>
          <t>Review the 41 open Amana positions</t>
        </is>
      </c>
      <c r="C43" s="295" t="str">
        <f>IF('Investments'!B25&lt;0,"FLOATING LOSS","In profit")</f>
        <v>FLOATING LOSS</v>
      </c>
      <c r="D43" t="inlineStr">
        <is>
          <t>Medium</t>
        </is>
      </c>
      <c r="E43" s="240">
        <f>('Investments'!B26+'Investments'!B27)*-1*'FX &amp; Assumptions'!B9</f>
        <v>75.176075</v>
      </c>
      <c r="F43" t="str">
        <f>IF(E43&gt;=500,"1 — Critical",IF(E43&gt;=100,"2 — High",IF(E43&gt;=25,"3 — Useful","4 — Housekeeping")))</f>
        <v>3 — Useful</v>
      </c>
      <c r="G43" s="238" t="n">
        <v>46295</v>
      </c>
      <c r="H43" s="239" t="inlineStr">
        <is>
          <t>Forty-one open positions on an account worth under AED 3,200 is a lot of moving parts, and the statement shows floating and overnight fees quietly working against you. Fewer, larger, longer-held positions would cost less to carry.</t>
        </is>
      </c>
    </row>
    <row r="44">
      <c r="A44" s="54" t="n">
        <v>5</v>
      </c>
      <c r="B44" s="239" t="inlineStr">
        <is>
          <t>Raise the SIP by 10% every year, automatically</t>
        </is>
      </c>
      <c r="C44" s="295" t="str">
        <f>IF('FX &amp; Assumptions'!B32&gt;0,"IN PLAN","Not set")</f>
        <v>IN PLAN</v>
      </c>
      <c r="D44" t="inlineStr">
        <is>
          <t>None</t>
        </is>
      </c>
      <c r="E44" s="240">
        <f>'Wealth Plan'!H45</f>
        <v>394157.3548949264</v>
      </c>
      <c r="F44" t="str">
        <f>IF(E44&gt;=500,"1 — Critical",IF(E44&gt;=100,"2 — High",IF(E44&gt;=25,"3 — Useful","4 — Housekeeping")))</f>
        <v>1 — Critical</v>
      </c>
      <c r="G44" s="238" t="n">
        <v>46388</v>
      </c>
      <c r="H44" s="239" t="inlineStr">
        <is>
          <t>The impact column is what the step-up is worth at the twenty-year horizon compared with a flat contribution. It costs nothing today because the increase comes out of next year's raise.</t>
        </is>
      </c>
    </row>
    <row r="46" ht="23" customHeight="1">
      <c r="A46" s="9" t="inlineStr">
        <is>
          <t>THE ONE-PARAGRAPH VERDICT</t>
        </is>
      </c>
    </row>
    <row r="47" ht="92" customHeight="1">
      <c r="A47" s="236" t="str">
        <f>"Health score "&amp;TEXT(C13,"0")&amp;" out of 100, grade "&amp;E13&amp;". Net worth is AED "&amp;TEXT('Net Worth'!F28,"#,##0.00")&amp;", of which AED "&amp;TEXT('Net Worth'!F21,"#,##0.00")&amp;" actually compounds. The balance sheet is not the problem — the calendar is. AED "&amp;TEXT('Net Worth'!F34,"#,##0.00")&amp;" of rent still has to be found before 21 Oct, AED "&amp;TEXT('Inputs'!B53,"#,##0.00")&amp;" before 15 Sep, and free cash outside rent and emergency stands at AED "&amp;TEXT('Inputs'!B43,"#,##0.00")&amp;". Do four things in order: hold the rent ring-fence, close the September gap by earning or by pausing the SIP, let the Tabby minimums run to zero by 3 Nov without ever paying a fee, and start accruing rent monthly so October 2027 is a transfer instead of a crisis. Then, and only then, raise the SIP."</f>
        <v>Health score 36 out of 100, grade D. Net worth is AED 16,053.32, of which AED 12,635.04 actually compounds. The balance sheet is not the problem — the calendar is. AED 5,759.55 of rent still has to be found before 21 Oct, AED 651.59 before 15 Sep, and free cash outside rent and emergency stands at AED 107.52. Do four things in order: hold the rent ring-fence, close the September gap by earning or by pausing the SIP, let the Tabby minimums run to zero by 3 Nov without ever paying a fee, and start accruing rent monthly so October 2027 is a transfer instead of a crisis. Then, and only then, raise the SIP.</v>
      </c>
    </row>
  </sheetData>
  <mergeCells count="9">
    <mergeCell ref="A3:H3"/>
    <mergeCell ref="A15:H15"/>
    <mergeCell ref="A38:H38"/>
    <mergeCell ref="A47:H47"/>
    <mergeCell ref="A5:H5"/>
    <mergeCell ref="A46:H46"/>
    <mergeCell ref="A1:H2"/>
    <mergeCell ref="A31:H31"/>
    <mergeCell ref="A22:H22"/>
  </mergeCells>
  <pageMargins left="0.75" right="0.75" top="1" bottom="1" header="0.5" footer="0.5"/>
</worksheet>
</file>

<file path=xl/worksheets/sheet3.xml><?xml version="1.0" encoding="utf-8"?>
<worksheet xmlns="http://schemas.openxmlformats.org/spreadsheetml/2006/main" xmlns:r="http://schemas.openxmlformats.org/officeDocument/2006/relationships">
  <sheetPr>
    <tabColor rgb="FF1F6FEB"/>
    <outlinePr summaryBelow="1" summaryRight="1"/>
    <pageSetUpPr/>
  </sheetPr>
  <dimension ref="A1:F53"/>
  <sheetViews>
    <sheetView showGridLines="0" workbookViewId="0">
      <selection activeCell="A1" sqref="A1"/>
    </sheetView>
  </sheetViews>
  <sheetFormatPr baseColWidth="8" defaultRowHeight="15"/>
  <cols>
    <col width="32" customWidth="1" min="1" max="1"/>
    <col width="18" customWidth="1" min="2" max="2"/>
    <col width="20" customWidth="1" min="3" max="3"/>
    <col width="16" customWidth="1" min="4" max="4"/>
    <col width="24" customWidth="1" min="5" max="5"/>
    <col width="54" customWidth="1" min="6" max="6"/>
  </cols>
  <sheetData>
    <row r="1" ht="29" customHeight="1">
      <c r="A1" s="3" t="inlineStr">
        <is>
          <t>Johnny's Edge — Authoritative Inputs</t>
        </is>
      </c>
    </row>
    <row r="2" ht="29" customHeight="1"/>
    <row r="3" ht="30" customHeight="1">
      <c r="A3" s="93" t="inlineStr">
        <is>
          <t>As of 25 Aug 2026 · Confirmed balances are separated from estimates. Salary AED 2,906 is expected, not banked.</t>
        </is>
      </c>
    </row>
    <row r="4">
      <c r="A4" s="94" t="n"/>
      <c r="B4" s="94" t="n"/>
      <c r="C4" s="94" t="n"/>
      <c r="D4" s="94" t="n"/>
      <c r="E4" s="94" t="n"/>
      <c r="F4" s="94" t="n"/>
    </row>
    <row r="5" ht="23" customHeight="1">
      <c r="A5" s="9" t="inlineStr">
        <is>
          <t>CURRENT LIQUID BALANCES — CONFIRMED ACTUAL</t>
        </is>
      </c>
    </row>
    <row r="6">
      <c r="A6" s="13" t="inlineStr">
        <is>
          <t>Item</t>
        </is>
      </c>
      <c r="B6" s="13" t="inlineStr">
        <is>
          <t>Amount</t>
        </is>
      </c>
      <c r="C6" s="13" t="inlineStr">
        <is>
          <t>Currency</t>
        </is>
      </c>
      <c r="D6" s="13" t="inlineStr">
        <is>
          <t>Status</t>
        </is>
      </c>
      <c r="E6" s="13" t="inlineStr">
        <is>
          <t>As of</t>
        </is>
      </c>
      <c r="F6" s="13" t="inlineStr">
        <is>
          <t>Audit note</t>
        </is>
      </c>
    </row>
    <row r="7">
      <c r="A7" s="94" t="inlineStr">
        <is>
          <t>FAB 4001</t>
        </is>
      </c>
      <c r="B7" s="222" t="n">
        <v>3.45</v>
      </c>
      <c r="C7" s="94" t="inlineStr">
        <is>
          <t>AED</t>
        </is>
      </c>
      <c r="D7" s="223" t="inlineStr">
        <is>
          <t>Actual</t>
        </is>
      </c>
      <c r="E7" s="224" t="n">
        <v>46259.275</v>
      </c>
      <c r="F7" s="94" t="inlineStr">
        <is>
          <t>Confirmed FAB app/SMS balance after AED 13.50 ENOC purchase</t>
        </is>
      </c>
    </row>
    <row r="8">
      <c r="A8" s="94" t="inlineStr">
        <is>
          <t>FAB 4002</t>
        </is>
      </c>
      <c r="B8" s="222" t="n">
        <v>6090.7</v>
      </c>
      <c r="C8" s="94" t="inlineStr">
        <is>
          <t>AED</t>
        </is>
      </c>
      <c r="D8" s="94" t="inlineStr">
        <is>
          <t>Actual</t>
        </is>
      </c>
      <c r="E8" s="224" t="n">
        <v>46257.90069444444</v>
      </c>
      <c r="F8" s="94" t="inlineStr">
        <is>
          <t>Confirmed FAB app/SMS balance; contains AED 5,990.45 rent plus only AED 100.25 toward DEWA</t>
        </is>
      </c>
    </row>
    <row r="9">
      <c r="A9" s="94" t="inlineStr">
        <is>
          <t>FAB emergency</t>
        </is>
      </c>
      <c r="B9" s="222" t="n">
        <v>7.67</v>
      </c>
      <c r="C9" s="94" t="inlineStr">
        <is>
          <t>AED</t>
        </is>
      </c>
      <c r="D9" s="94" t="inlineStr">
        <is>
          <t>Actual</t>
        </is>
      </c>
      <c r="E9" s="224" t="n">
        <v>46259.48194444444</v>
      </c>
      <c r="F9" s="94" t="inlineStr">
        <is>
          <t>Confirmed FAB app emergency-fund balance; do not spend</t>
        </is>
      </c>
    </row>
    <row r="10">
      <c r="A10" s="94" t="inlineStr">
        <is>
          <t>NBD current</t>
        </is>
      </c>
      <c r="B10" s="222" t="n">
        <v>0.2</v>
      </c>
      <c r="C10" s="94" t="inlineStr">
        <is>
          <t>AED</t>
        </is>
      </c>
      <c r="D10" s="94" t="inlineStr">
        <is>
          <t>Actual</t>
        </is>
      </c>
      <c r="E10" s="224" t="n">
        <v>46251.63472222222</v>
      </c>
      <c r="F10" s="94" t="inlineStr">
        <is>
          <t>Confirmed NBD card-linked balance after AED 2 SRN Supermarket purchase</t>
        </is>
      </c>
    </row>
    <row r="11">
      <c r="A11" s="94" t="inlineStr">
        <is>
          <t>NBD Plus Saver</t>
        </is>
      </c>
      <c r="B11" s="222" t="n">
        <v>2.73</v>
      </c>
      <c r="C11" s="94" t="inlineStr">
        <is>
          <t>AED</t>
        </is>
      </c>
      <c r="D11" s="94" t="inlineStr">
        <is>
          <t>Last reported</t>
        </is>
      </c>
      <c r="E11" s="224" t="n">
        <v>46248</v>
      </c>
      <c r="F11" s="94" t="inlineStr">
        <is>
          <t>NBD Plus Saver last reported; refresh required if changed</t>
        </is>
      </c>
    </row>
    <row r="12">
      <c r="A12" s="94" t="inlineStr">
        <is>
          <t>Tabby Cash</t>
        </is>
      </c>
      <c r="B12" s="222" t="n">
        <v>0.89</v>
      </c>
      <c r="C12" s="94" t="inlineStr">
        <is>
          <t>AED</t>
        </is>
      </c>
      <c r="D12" s="94" t="inlineStr">
        <is>
          <t>Last reported</t>
        </is>
      </c>
      <c r="E12" s="224" t="n">
        <v>46248</v>
      </c>
      <c r="F12" s="94" t="inlineStr">
        <is>
          <t>Tabby Cash wallet; separate from Tabby Card borrowing</t>
        </is>
      </c>
    </row>
    <row r="13">
      <c r="A13" s="94" t="inlineStr">
        <is>
          <t>Cash/Wio</t>
        </is>
      </c>
      <c r="B13" s="222" t="n">
        <v>0</v>
      </c>
      <c r="C13" s="94" t="inlineStr">
        <is>
          <t>AED</t>
        </is>
      </c>
      <c r="D13" s="94" t="inlineStr">
        <is>
          <t>Actual</t>
        </is>
      </c>
      <c r="E13" s="224" t="n">
        <v>46259</v>
      </c>
      <c r="F13" s="94" t="inlineStr">
        <is>
          <t>No other cash balance reported</t>
        </is>
      </c>
    </row>
    <row r="14">
      <c r="A14" s="225" t="inlineStr">
        <is>
          <t>TOTAL LIQUID CASH</t>
        </is>
      </c>
      <c r="B14" s="225">
        <f>SUM(B7:B13)</f>
        <v>6105.64</v>
      </c>
      <c r="C14" s="225" t="inlineStr">
        <is>
          <t>AED</t>
        </is>
      </c>
      <c r="D14" s="225" t="inlineStr">
        <is>
          <t>Formula</t>
        </is>
      </c>
      <c r="E14" s="226" t="n">
        <v>46246</v>
      </c>
      <c r="F14" s="225" t="inlineStr">
        <is>
          <t>Formula check: AED 6,105.64 = FAB 6,101.82 + NBD 2.93 + Tabby Cash 0.89</t>
        </is>
      </c>
    </row>
    <row r="15">
      <c r="A15" s="94" t="n"/>
      <c r="B15" s="94" t="n"/>
      <c r="C15" s="94" t="n"/>
      <c r="D15" s="94" t="n"/>
      <c r="E15" s="94" t="n"/>
      <c r="F15" s="94" t="n"/>
    </row>
    <row r="16" ht="23" customHeight="1">
      <c r="A16" s="9" t="inlineStr">
        <is>
          <t>INCOME, REFUNDS AND TIMING</t>
        </is>
      </c>
    </row>
    <row r="17">
      <c r="A17" s="13" t="inlineStr">
        <is>
          <t>Driver</t>
        </is>
      </c>
      <c r="B17" s="13" t="inlineStr">
        <is>
          <t>Amount</t>
        </is>
      </c>
      <c r="C17" s="13" t="inlineStr">
        <is>
          <t>Status</t>
        </is>
      </c>
      <c r="D17" s="13" t="inlineStr">
        <is>
          <t>Expected date</t>
        </is>
      </c>
      <c r="E17" s="13" t="inlineStr">
        <is>
          <t>Treatment</t>
        </is>
      </c>
      <c r="F17" s="13" t="inlineStr">
        <is>
          <t>Audit note</t>
        </is>
      </c>
    </row>
    <row r="18">
      <c r="A18" s="94" t="inlineStr">
        <is>
          <t>Normal monthly salary</t>
        </is>
      </c>
      <c r="B18" s="227" t="n">
        <v>7914.88</v>
      </c>
      <c r="C18" s="94" t="inlineStr">
        <is>
          <t>Actual baseline</t>
        </is>
      </c>
      <c r="D18" s="224" t="n">
        <v>46260</v>
      </c>
      <c r="E18" s="94" t="inlineStr">
        <is>
          <t>Salary</t>
        </is>
      </c>
      <c r="F18" s="94" t="inlineStr">
        <is>
          <t>July salary baseline</t>
        </is>
      </c>
    </row>
    <row r="19">
      <c r="A19" s="94" t="inlineStr">
        <is>
          <t>Two-ticket salary recovery</t>
        </is>
      </c>
      <c r="B19" s="227" t="n">
        <v>3740</v>
      </c>
      <c r="C19" s="94" t="inlineStr">
        <is>
          <t>Actual</t>
        </is>
      </c>
      <c r="D19" s="224" t="n">
        <v>46241</v>
      </c>
      <c r="E19" s="94" t="inlineStr">
        <is>
          <t>Already in cash</t>
        </is>
      </c>
      <c r="F19" s="94" t="inlineStr">
        <is>
          <t>Two × AED 1,870 deducted from salary; principal portion of AED 4,000 received</t>
        </is>
      </c>
    </row>
    <row r="20">
      <c r="A20" s="94" t="inlineStr">
        <is>
          <t>Two-ticket profit</t>
        </is>
      </c>
      <c r="B20" s="227" t="n">
        <v>260</v>
      </c>
      <c r="C20" s="94" t="inlineStr">
        <is>
          <t>Actual</t>
        </is>
      </c>
      <c r="D20" s="224" t="n">
        <v>46241</v>
      </c>
      <c r="E20" s="94" t="inlineStr">
        <is>
          <t>Already in cash</t>
        </is>
      </c>
      <c r="F20" s="94" t="inlineStr">
        <is>
          <t>AED 4,000 received less AED 3,740 salary deduction</t>
        </is>
      </c>
    </row>
    <row r="21">
      <c r="A21" s="94" t="inlineStr">
        <is>
          <t>Third-ticket salary recovery</t>
        </is>
      </c>
      <c r="B21" s="227" t="n">
        <v>1540</v>
      </c>
      <c r="C21" s="94" t="inlineStr">
        <is>
          <t>Actual</t>
        </is>
      </c>
      <c r="D21" s="224" t="n">
        <v>46246</v>
      </c>
      <c r="E21" s="94" t="inlineStr">
        <is>
          <t>Already in cash</t>
        </is>
      </c>
      <c r="F21" s="94" t="inlineStr">
        <is>
          <t>AED 1,540 salary advance received on 12 Aug; removed from 26 Aug receivables</t>
        </is>
      </c>
    </row>
    <row r="22">
      <c r="A22" s="94" t="inlineStr">
        <is>
          <t>Remaining payday cash</t>
        </is>
      </c>
      <c r="B22" s="228" t="n">
        <v>2906</v>
      </c>
      <c r="C22" s="94" t="inlineStr">
        <is>
          <t>Estimated</t>
        </is>
      </c>
      <c r="D22" s="224" t="n">
        <v>46260</v>
      </c>
      <c r="E22" s="94" t="inlineStr">
        <is>
          <t>Expected inflow</t>
        </is>
      </c>
      <c r="F22" s="94" t="inlineStr">
        <is>
          <t>AED 2,906 expected 26 Aug; do not count until credited</t>
        </is>
      </c>
    </row>
    <row r="23">
      <c r="A23" s="94" t="inlineStr">
        <is>
          <t>Separate additional income</t>
        </is>
      </c>
      <c r="B23" s="227" t="n">
        <v>0</v>
      </c>
      <c r="C23" s="94" t="inlineStr">
        <is>
          <t>None</t>
        </is>
      </c>
      <c r="D23" s="224" t="n">
        <v>46260</v>
      </c>
      <c r="E23" s="94" t="inlineStr">
        <is>
          <t>No separate inflow</t>
        </is>
      </c>
      <c r="F23" s="94" t="inlineStr">
        <is>
          <t>AED 8,500 estimate already includes ticket profits</t>
        </is>
      </c>
    </row>
    <row r="24">
      <c r="A24" s="94" t="inlineStr">
        <is>
          <t>Prior-month salary received</t>
        </is>
      </c>
      <c r="B24" s="227" t="n">
        <v>1430</v>
      </c>
      <c r="C24" s="94" t="inlineStr">
        <is>
          <t>Actual</t>
        </is>
      </c>
      <c r="D24" s="224" t="n">
        <v>46246</v>
      </c>
      <c r="E24" s="94" t="inlineStr">
        <is>
          <t>Allocate to rent</t>
        </is>
      </c>
      <c r="F24" s="94" t="inlineStr">
        <is>
          <t>Separate from the coming AED 8,500 salary cycle</t>
        </is>
      </c>
    </row>
    <row r="25">
      <c r="A25" s="94" t="inlineStr">
        <is>
          <t>Coming salary-cycle total</t>
        </is>
      </c>
      <c r="B25" s="227" t="n">
        <v>8476</v>
      </c>
      <c r="C25" s="94" t="inlineStr">
        <is>
          <t>Estimated target</t>
        </is>
      </c>
      <c r="D25" s="224" t="n">
        <v>46260</v>
      </c>
      <c r="E25" s="94" t="inlineStr">
        <is>
          <t>Projection</t>
        </is>
      </c>
      <c r="F25" s="94" t="inlineStr">
        <is>
          <t>AED 5,570 already received plus approximately AED 2,906 expected</t>
        </is>
      </c>
    </row>
    <row r="26">
      <c r="A26" s="143" t="inlineStr">
        <is>
          <t>Third-ticket profit</t>
        </is>
      </c>
      <c r="B26" s="229" t="n">
        <v>30</v>
      </c>
      <c r="C26" s="143" t="inlineStr">
        <is>
          <t>Actual</t>
        </is>
      </c>
      <c r="D26" s="230" t="n">
        <v>46246</v>
      </c>
      <c r="E26" s="143" t="inlineStr">
        <is>
          <t>Already in cash</t>
        </is>
      </c>
      <c r="F26" s="143" t="inlineStr">
        <is>
          <t>AED 30 ticket profit received on 12 Aug; removed from 26 Aug receivables</t>
        </is>
      </c>
    </row>
    <row r="27">
      <c r="A27" s="143" t="inlineStr">
        <is>
          <t>Current expected salary-cycle income</t>
        </is>
      </c>
      <c r="B27" s="231">
        <f>SUM(B19:B22)+B26</f>
        <v>8476.0</v>
      </c>
      <c r="C27" s="143" t="inlineStr">
        <is>
          <t>Formula</t>
        </is>
      </c>
      <c r="D27" s="230" t="n">
        <v>46260</v>
      </c>
      <c r="E27" s="143" t="inlineStr">
        <is>
          <t>Projection</t>
        </is>
      </c>
      <c r="F27" s="143" t="inlineStr">
        <is>
          <t>Formula: AED 5,570 already received + AED 2,906 expected = AED 8,476 cycle</t>
        </is>
      </c>
    </row>
    <row r="28" ht="23" customHeight="1">
      <c r="A28" s="9" t="inlineStr">
        <is>
          <t>OBLIGATIONS AND CONTROL ASSUMPTIONS</t>
        </is>
      </c>
    </row>
    <row r="29">
      <c r="A29" s="13" t="inlineStr">
        <is>
          <t>Item</t>
        </is>
      </c>
      <c r="B29" s="13" t="inlineStr">
        <is>
          <t>Amount</t>
        </is>
      </c>
      <c r="C29" s="13" t="inlineStr">
        <is>
          <t>Status</t>
        </is>
      </c>
      <c r="D29" s="13" t="inlineStr">
        <is>
          <t>Date / cadence</t>
        </is>
      </c>
      <c r="E29" s="13" t="inlineStr">
        <is>
          <t>Rule</t>
        </is>
      </c>
      <c r="F29" s="13" t="inlineStr">
        <is>
          <t>Audit note</t>
        </is>
      </c>
    </row>
    <row r="30">
      <c r="A30" s="94" t="inlineStr">
        <is>
          <t>October rent cheque</t>
        </is>
      </c>
      <c r="B30" s="227" t="n">
        <v>11750</v>
      </c>
      <c r="C30" s="94" t="inlineStr">
        <is>
          <t>Actual</t>
        </is>
      </c>
      <c r="D30" s="224" t="n">
        <v>46317</v>
      </c>
      <c r="E30" s="94" t="inlineStr">
        <is>
          <t>Must be fully funded by 21 Oct</t>
        </is>
      </c>
      <c r="F30" s="94" t="inlineStr">
        <is>
          <t>26 Oct salary is too late</t>
        </is>
      </c>
    </row>
    <row r="31">
      <c r="A31" s="94" t="inlineStr">
        <is>
          <t>Rent protected now</t>
        </is>
      </c>
      <c r="B31" s="227" t="n">
        <v>5990.45</v>
      </c>
      <c r="C31" s="94" t="inlineStr">
        <is>
          <t>Actual</t>
        </is>
      </c>
      <c r="D31" s="224" t="n">
        <v>46246</v>
      </c>
      <c r="E31" s="94" t="inlineStr">
        <is>
          <t>Do not spend</t>
        </is>
      </c>
      <c r="F31" s="94" t="inlineStr">
        <is>
          <t>True protected rent after excluding AED 1,020.25 required for bills and living</t>
        </is>
      </c>
    </row>
    <row r="32">
      <c r="A32" s="94" t="inlineStr">
        <is>
          <t>Emergency fund</t>
        </is>
      </c>
      <c r="B32" s="227" t="n">
        <v>7.67</v>
      </c>
      <c r="C32" s="94" t="inlineStr">
        <is>
          <t>Actual</t>
        </is>
      </c>
      <c r="D32" s="224" t="n">
        <v>46245</v>
      </c>
      <c r="E32" s="94" t="inlineStr">
        <is>
          <t>Do not spend</t>
        </is>
      </c>
      <c r="F32" s="94" t="inlineStr">
        <is>
          <t>Next milestone AED 1,000</t>
        </is>
      </c>
    </row>
    <row r="33">
      <c r="A33" s="94" t="inlineStr">
        <is>
          <t>DEWA monthly baseline</t>
        </is>
      </c>
      <c r="B33" s="227" t="n">
        <v>813.28</v>
      </c>
      <c r="C33" s="94" t="inlineStr">
        <is>
          <t>Actual bill</t>
        </is>
      </c>
      <c r="D33" s="224" t="n">
        <v>46265</v>
      </c>
      <c r="E33" s="94" t="inlineStr">
        <is>
          <t>Pay by due date</t>
        </is>
      </c>
      <c r="F33" s="94" t="inlineStr">
        <is>
          <t>Actual August DEWA bill supplied 25 Aug; replaces AED 793.42 estimate</t>
        </is>
      </c>
    </row>
    <row r="34">
      <c r="A34" s="94" t="inlineStr">
        <is>
          <t>du recurring baseline</t>
        </is>
      </c>
      <c r="B34" s="227" t="n">
        <v>590.98</v>
      </c>
      <c r="C34" s="94" t="inlineStr">
        <is>
          <t>Estimated</t>
        </is>
      </c>
      <c r="D34" s="224" t="n">
        <v>46268</v>
      </c>
      <c r="E34" s="94" t="inlineStr">
        <is>
          <t>Monthly</t>
        </is>
      </c>
      <c r="F34" s="94" t="inlineStr">
        <is>
          <t>September estimate; replace with actual du bill when generated</t>
        </is>
      </c>
    </row>
    <row r="35">
      <c r="A35" s="94" t="inlineStr">
        <is>
          <t>Etisalat recurring baseline</t>
        </is>
      </c>
      <c r="B35" s="227" t="n">
        <v>323.95</v>
      </c>
      <c r="C35" s="94" t="inlineStr">
        <is>
          <t>Estimated</t>
        </is>
      </c>
      <c r="D35" s="224" t="n">
        <v>46268</v>
      </c>
      <c r="E35" s="94" t="inlineStr">
        <is>
          <t>Monthly</t>
        </is>
      </c>
      <c r="F35" s="94" t="inlineStr">
        <is>
          <t>September estimate; replace with actual Etisalat bill when generated</t>
        </is>
      </c>
    </row>
    <row r="36">
      <c r="A36" s="94" t="inlineStr">
        <is>
          <t>Tabby no-fee minimum</t>
        </is>
      </c>
      <c r="B36" s="227" t="n">
        <v>1314.5</v>
      </c>
      <c r="C36" s="94" t="inlineStr">
        <is>
          <t>Actual due</t>
        </is>
      </c>
      <c r="D36" s="224" t="n">
        <v>46268</v>
      </c>
      <c r="E36" s="94" t="inlineStr">
        <is>
          <t>Autopay / no-fee minimum</t>
        </is>
      </c>
      <c r="F36" s="94" t="inlineStr">
        <is>
          <t>Confirmed August Tabby amount due; card must remain frozen</t>
        </is>
      </c>
    </row>
    <row r="37">
      <c r="A37" s="94" t="inlineStr">
        <is>
          <t>Tabby full statement</t>
        </is>
      </c>
      <c r="B37" s="227" t="n">
        <v>1972.03</v>
      </c>
      <c r="C37" s="94" t="inlineStr">
        <is>
          <t>Actual statement</t>
        </is>
      </c>
      <c r="D37" s="224" t="n">
        <v>46268</v>
      </c>
      <c r="E37" s="94" t="inlineStr">
        <is>
          <t>Optional full statement</t>
        </is>
      </c>
      <c r="F37" s="94" t="inlineStr">
        <is>
          <t>Do not choose if it compromises rent or essential bills</t>
        </is>
      </c>
    </row>
    <row r="38">
      <c r="A38" s="94" t="inlineStr">
        <is>
          <t>Tabby outstanding exposure</t>
        </is>
      </c>
      <c r="B38" s="227" t="n">
        <v>2687.36</v>
      </c>
      <c r="C38" s="94" t="inlineStr">
        <is>
          <t>Actual confirmed exposure</t>
        </is>
      </c>
      <c r="D38" s="224" t="n">
        <v>46298</v>
      </c>
      <c r="E38" s="94" t="inlineStr">
        <is>
          <t>Card frozen</t>
        </is>
      </c>
      <c r="F38" s="94" t="inlineStr">
        <is>
          <t>AED 1,972.03 August statement + AED 715.33 September statement</t>
        </is>
      </c>
    </row>
    <row r="39">
      <c r="A39" s="94" t="inlineStr">
        <is>
          <t>September SIP funding</t>
        </is>
      </c>
      <c r="B39" s="227" t="n">
        <v>462.4</v>
      </c>
      <c r="C39" s="94" t="inlineStr">
        <is>
          <t>Estimated</t>
        </is>
      </c>
      <c r="D39" s="224" t="n">
        <v>46275</v>
      </c>
      <c r="E39" s="94" t="inlineStr">
        <is>
          <t>Keep active</t>
        </is>
      </c>
      <c r="F39" s="94" t="inlineStr">
        <is>
          <t>₹12,000 at last confirmed transfer rate</t>
        </is>
      </c>
    </row>
    <row r="40">
      <c r="A40" s="94" t="inlineStr">
        <is>
          <t>ICICI post-Aug SIP cash</t>
        </is>
      </c>
      <c r="B40" s="232" t="n">
        <v>388.51</v>
      </c>
      <c r="C40" s="94" t="inlineStr">
        <is>
          <t>Actual</t>
        </is>
      </c>
      <c r="D40" s="224" t="n">
        <v>46244</v>
      </c>
      <c r="E40" s="94" t="inlineStr">
        <is>
          <t>INR</t>
        </is>
      </c>
      <c r="F40" s="94" t="inlineStr">
        <is>
          <t>August four SIPs completed</t>
        </is>
      </c>
    </row>
    <row r="41">
      <c r="A41" s="94" t="inlineStr">
        <is>
          <t>Living cap to rent cheque</t>
        </is>
      </c>
      <c r="B41" s="228" t="n">
        <v>285</v>
      </c>
      <c r="C41" s="94" t="inlineStr">
        <is>
          <t>Control cap</t>
        </is>
      </c>
      <c r="D41" s="224" t="n">
        <v>46316</v>
      </c>
      <c r="E41" s="94" t="inlineStr">
        <is>
          <t>AED 5/day; AED 35/week</t>
        </is>
      </c>
      <c r="F41" s="94" t="inlineStr">
        <is>
          <t>AED 5/day or AED 35/week through 21 Oct; AED 160 reserved first through 25 Sep</t>
        </is>
      </c>
    </row>
    <row r="42">
      <c r="A42" s="94" t="inlineStr">
        <is>
          <t>October Tabby payment</t>
        </is>
      </c>
      <c r="B42" s="233" t="n">
        <v>715.33</v>
      </c>
      <c r="C42" s="94" t="inlineStr">
        <is>
          <t>Actual generated</t>
        </is>
      </c>
      <c r="D42" s="224" t="n">
        <v>46298</v>
      </c>
      <c r="E42" s="223" t="inlineStr">
        <is>
          <t>Pay by due date</t>
        </is>
      </c>
      <c r="F42" s="94" t="inlineStr">
        <is>
          <t>September Tabby statement; confirmed amount due 3 Oct 2026. Cell repaired: the amount had been typed as a date and displayed as 15-Dec-1901.</t>
        </is>
      </c>
    </row>
    <row r="43">
      <c r="A43" s="183" t="inlineStr">
        <is>
          <t>Current loose cash outside rent/emergency</t>
        </is>
      </c>
      <c r="B43" s="234" t="n">
        <v>107.52</v>
      </c>
      <c r="C43" s="183" t="inlineStr">
        <is>
          <t>Actual</t>
        </is>
      </c>
      <c r="D43" s="235" t="n">
        <v>46259.31527777778</v>
      </c>
      <c r="E43" s="183" t="inlineStr">
        <is>
          <t>Protected calculation</t>
        </is>
      </c>
      <c r="F43" s="183" t="inlineStr">
        <is>
          <t>AED 6,105.64 liquidity less AED 5,990.45 rent and AED 7.67 emergency</t>
        </is>
      </c>
    </row>
    <row r="44" ht="46" customHeight="1">
      <c r="A44" s="123" t="str">
        <f>"Extra cash required before 15 Sep: AED "&amp;TEXT(B53,"#,##0.00")&amp;" — AED "&amp;TEXT(B51,"#,##0.00")&amp;" to close the bills-and-survival gap plus AED "&amp;TEXT(B52,"#,##0.00")&amp;" to fund the 10 Sep Nippon SIP. Bank it as real cash or pause the SIP; never take it from the AED "&amp;TEXT(B31,"#,##0.00")&amp;" protected rent or from the emergency fund."</f>
        <v>Extra cash required before 15 Sep: AED 651.59 — AED 189.19 to close the bills-and-survival gap plus AED 462.40 to fund the 10 Sep Nippon SIP. Bank it as real cash or pause the SIP; never take it from the AED 5,990.45 protected rent or from the emergency fund.</v>
      </c>
    </row>
    <row r="46" ht="23" customHeight="1">
      <c r="A46" s="9" t="inlineStr">
        <is>
          <t>NEAR-TERM FUNDING GAP — CASH NEEDED BEFORE 15 SEP</t>
        </is>
      </c>
    </row>
    <row r="47" ht="23" customHeight="1">
      <c r="A47" s="236" t="inlineStr">
        <is>
          <t>Item</t>
        </is>
      </c>
      <c r="B47" s="236" t="inlineStr">
        <is>
          <t>Amount</t>
        </is>
      </c>
      <c r="C47" s="236" t="inlineStr">
        <is>
          <t>Status</t>
        </is>
      </c>
      <c r="D47" s="236" t="inlineStr">
        <is>
          <t>Date</t>
        </is>
      </c>
      <c r="E47" s="236" t="inlineStr">
        <is>
          <t>Rule</t>
        </is>
      </c>
      <c r="F47" s="236" t="inlineStr">
        <is>
          <t>Audit note</t>
        </is>
      </c>
    </row>
    <row r="48">
      <c r="A48" t="inlineStr">
        <is>
          <t>Survival allowance to 25 Sep</t>
        </is>
      </c>
      <c r="B48" s="237" t="n">
        <v>160</v>
      </c>
      <c r="C48" t="inlineStr">
        <is>
          <t>Control cap</t>
        </is>
      </c>
      <c r="D48" s="238" t="n">
        <v>46290</v>
      </c>
      <c r="E48" t="inlineStr">
        <is>
          <t>AED 5/day; AED 35/week</t>
        </is>
      </c>
      <c r="F48" s="239" t="inlineStr">
        <is>
          <t>Damage-control cap held from 26 Aug to 25 Sep. Editable lever: raising it widens the gap one-for-one.</t>
        </is>
      </c>
    </row>
    <row r="49">
      <c r="A49" t="inlineStr">
        <is>
          <t>Near-term bills to 15 Sep</t>
        </is>
      </c>
      <c r="B49" s="240">
        <f>B33+B36+B34+B35</f>
        <v>3042.71</v>
      </c>
      <c r="C49" t="inlineStr">
        <is>
          <t>Formula</t>
        </is>
      </c>
      <c r="D49" s="238" t="n">
        <v>46280</v>
      </c>
      <c r="E49" t="inlineStr">
        <is>
          <t>Essential bills only</t>
        </is>
      </c>
      <c r="F49" s="239" t="inlineStr">
        <is>
          <t>DEWA AED 813.28 + Tabby no-fee minimum AED 1,314.50 + du AED 590.98 + Etisalat AED 323.95.</t>
        </is>
      </c>
    </row>
    <row r="50">
      <c r="A50" t="inlineStr">
        <is>
          <t>Cash available incl. expected payday</t>
        </is>
      </c>
      <c r="B50" s="240">
        <f>B43+B22</f>
        <v>3013.52</v>
      </c>
      <c r="C50" t="inlineStr">
        <is>
          <t>Formula</t>
        </is>
      </c>
      <c r="D50" s="238" t="n">
        <v>46260</v>
      </c>
      <c r="E50" t="inlineStr">
        <is>
          <t>Only banked cash closes the gap</t>
        </is>
      </c>
      <c r="F50" s="239" t="inlineStr">
        <is>
          <t>Loose cash outside rent and emergency (AED 107.52) plus the AED 2,906 expected 26 Aug payday.</t>
        </is>
      </c>
    </row>
    <row r="51">
      <c r="A51" t="inlineStr">
        <is>
          <t>Bills + survival funding gap</t>
        </is>
      </c>
      <c r="B51" s="240">
        <f>MAX(0,B49+B48-B50)</f>
        <v>189.19</v>
      </c>
      <c r="C51" t="inlineStr">
        <is>
          <t>Formula</t>
        </is>
      </c>
      <c r="D51" s="238" t="n">
        <v>46280</v>
      </c>
      <c r="E51" t="inlineStr">
        <is>
          <t>Close before 15 Sep</t>
        </is>
      </c>
      <c r="F51" s="239" t="inlineStr">
        <is>
          <t>Requirement AED 3,202.71 against AED 3,013.52 available.</t>
        </is>
      </c>
    </row>
    <row r="52">
      <c r="A52" t="inlineStr">
        <is>
          <t>September SIP funding</t>
        </is>
      </c>
      <c r="B52" s="240">
        <f>B39</f>
        <v>462.4</v>
      </c>
      <c r="C52" t="inlineStr">
        <is>
          <t>Link</t>
        </is>
      </c>
      <c r="D52" s="238" t="n">
        <v>46275</v>
      </c>
      <c r="E52" t="inlineStr">
        <is>
          <t>Pause before borrowing</t>
        </is>
      </c>
      <c r="F52" s="239" t="inlineStr">
        <is>
          <t>Mirrors the SIP funding row above so the total below moves when the SIP estimate changes.</t>
        </is>
      </c>
    </row>
    <row r="53">
      <c r="A53" s="10" t="inlineStr">
        <is>
          <t>EXTRA CASH REQUIRED BEFORE 15 SEP</t>
        </is>
      </c>
      <c r="B53" s="241">
        <f>B51+B52</f>
        <v>651.59</v>
      </c>
      <c r="C53" s="10" t="inlineStr">
        <is>
          <t>Formula</t>
        </is>
      </c>
      <c r="D53" s="242" t="n">
        <v>46280</v>
      </c>
      <c r="E53" s="10" t="inlineStr">
        <is>
          <t>Bank it or pause the SIP</t>
        </is>
      </c>
      <c r="F53" s="236" t="inlineStr">
        <is>
          <t>Gap plus SIP. Note: earlier notes in this file quoted AED 651.19; the correct arithmetic is AED 189.19 + AED 462.40 = AED 651.59.</t>
        </is>
      </c>
    </row>
  </sheetData>
  <mergeCells count="7">
    <mergeCell ref="A16:F16"/>
    <mergeCell ref="A28:F28"/>
    <mergeCell ref="A46:F46"/>
    <mergeCell ref="A44:F44"/>
    <mergeCell ref="A5:F5"/>
    <mergeCell ref="A1:F2"/>
    <mergeCell ref="A3:F3"/>
  </mergeCells>
  <pageMargins left="0.7" right="0.7" top="0.75" bottom="0.75" header="0.3" footer="0.3"/>
  <legacyDrawing r:id="anysvml"/>
</worksheet>
</file>

<file path=xl/worksheets/sheet4.xml><?xml version="1.0" encoding="utf-8"?>
<worksheet xmlns="http://schemas.openxmlformats.org/spreadsheetml/2006/main">
  <sheetPr>
    <tabColor rgb="FF1F6FEB"/>
    <outlinePr summaryBelow="1" summaryRight="1"/>
    <pageSetUpPr/>
  </sheetPr>
  <dimension ref="A1:F44"/>
  <sheetViews>
    <sheetView showGridLines="0" workbookViewId="0">
      <selection activeCell="A1" sqref="A1"/>
    </sheetView>
  </sheetViews>
  <sheetFormatPr baseColWidth="8" defaultRowHeight="15"/>
  <cols>
    <col width="38" customWidth="1" min="1" max="1"/>
    <col width="18" customWidth="1" min="2" max="2"/>
    <col width="16" customWidth="1" min="3" max="3"/>
    <col width="30" customWidth="1" min="4" max="4"/>
    <col width="14" customWidth="1" min="5" max="5"/>
    <col width="56" customWidth="1" min="6" max="6"/>
  </cols>
  <sheetData>
    <row r="1" ht="29" customHeight="1">
      <c r="A1" s="3" t="inlineStr">
        <is>
          <t>Rates, Returns and Planning Assumptions</t>
        </is>
      </c>
    </row>
    <row r="2" ht="29" customHeight="1"/>
    <row r="3" ht="30" customHeight="1">
      <c r="A3" s="286" t="inlineStr">
        <is>
          <t>Every lever the rest of the workbook depends on lives here. Blue figures on a yellow fill are the only cells meant to be edited by hand; black figures are calculated. Change a lever here and Budget, Net Worth, Wealth Plan, Goals and AI Advisor all move together.</t>
        </is>
      </c>
    </row>
    <row r="5" ht="23" customHeight="1">
      <c r="A5" s="9" t="inlineStr">
        <is>
          <t>CURRENCY</t>
        </is>
      </c>
    </row>
    <row r="6" ht="23" customHeight="1">
      <c r="A6" s="236" t="inlineStr">
        <is>
          <t>Assumption</t>
        </is>
      </c>
      <c r="B6" s="236" t="inlineStr">
        <is>
          <t>Value</t>
        </is>
      </c>
      <c r="C6" s="236" t="inlineStr">
        <is>
          <t>Unit</t>
        </is>
      </c>
      <c r="D6" s="236" t="inlineStr">
        <is>
          <t>Basis</t>
        </is>
      </c>
      <c r="E6" s="236" t="inlineStr">
        <is>
          <t>Type</t>
        </is>
      </c>
      <c r="F6" s="236" t="inlineStr">
        <is>
          <t>Note</t>
        </is>
      </c>
    </row>
    <row r="7">
      <c r="A7" t="inlineStr">
        <is>
          <t>AED per INR</t>
        </is>
      </c>
      <c r="B7" s="287" t="n">
        <v>0.0385333</v>
      </c>
      <c r="C7" t="inlineStr">
        <is>
          <t>AED / INR</t>
        </is>
      </c>
      <c r="D7" t="inlineStr">
        <is>
          <t>Derived from the last confirmed SIP transfer</t>
        </is>
      </c>
      <c r="E7" t="inlineStr">
        <is>
          <t>Lever</t>
        </is>
      </c>
      <c r="F7" s="239" t="inlineStr">
        <is>
          <t>AED 462.40 funded INR 12,000 on 10 Aug 2026, so 462.40 / 12,000 = 0.0385333. Refresh this whenever a new transfer settles at a different rate.</t>
        </is>
      </c>
    </row>
    <row r="8">
      <c r="A8" t="inlineStr">
        <is>
          <t>INR per AED</t>
        </is>
      </c>
      <c r="B8" s="52">
        <f>IF(B7=0,0,1/B7)</f>
        <v>25.9515795429</v>
      </c>
      <c r="C8" t="inlineStr">
        <is>
          <t>INR / AED</t>
        </is>
      </c>
      <c r="D8" t="inlineStr">
        <is>
          <t>Reciprocal of the row above</t>
        </is>
      </c>
      <c r="E8" t="inlineStr">
        <is>
          <t>Formula</t>
        </is>
      </c>
      <c r="F8" s="239" t="inlineStr">
        <is>
          <t>Roughly INR 25.95 per dirham at the last confirmed transfer rate.</t>
        </is>
      </c>
    </row>
    <row r="9">
      <c r="A9" t="inlineStr">
        <is>
          <t>AED per USD</t>
        </is>
      </c>
      <c r="B9" s="287" t="n">
        <v>3.6725</v>
      </c>
      <c r="C9" t="inlineStr">
        <is>
          <t>AED / USD</t>
        </is>
      </c>
      <c r="D9" t="inlineStr">
        <is>
          <t>UAE dirham peg to the US dollar</t>
        </is>
      </c>
      <c r="E9" t="inlineStr">
        <is>
          <t>Lever</t>
        </is>
      </c>
      <c r="F9" s="239" t="inlineStr">
        <is>
          <t>The dirham has been pegged at 3.6725 since 1997; treat as fixed unless the peg changes.</t>
        </is>
      </c>
    </row>
    <row r="10">
      <c r="A10" t="inlineStr">
        <is>
          <t>USD per AED</t>
        </is>
      </c>
      <c r="B10" s="52">
        <f>IF(B9=0,0,1/B9)</f>
        <v>0.2722940776</v>
      </c>
      <c r="C10" t="inlineStr">
        <is>
          <t>USD / AED</t>
        </is>
      </c>
      <c r="D10" t="inlineStr">
        <is>
          <t>Reciprocal of the row above</t>
        </is>
      </c>
      <c r="E10" t="inlineStr">
        <is>
          <t>Formula</t>
        </is>
      </c>
      <c r="F10" s="239" t="inlineStr">
        <is>
          <t>Used to read the Amana statement back into dirhams.</t>
        </is>
      </c>
    </row>
    <row r="12" ht="23" customHeight="1">
      <c r="A12" s="9" t="inlineStr">
        <is>
          <t>RETURN, INFLATION AND RISK ASSUMPTIONS</t>
        </is>
      </c>
    </row>
    <row r="13" ht="23" customHeight="1">
      <c r="A13" s="236" t="inlineStr">
        <is>
          <t>Assumption</t>
        </is>
      </c>
      <c r="B13" s="236" t="inlineStr">
        <is>
          <t>Value</t>
        </is>
      </c>
      <c r="C13" s="236" t="inlineStr">
        <is>
          <t>Unit</t>
        </is>
      </c>
      <c r="D13" s="236" t="inlineStr">
        <is>
          <t>Basis</t>
        </is>
      </c>
      <c r="E13" s="236" t="inlineStr">
        <is>
          <t>Type</t>
        </is>
      </c>
      <c r="F13" s="236" t="inlineStr">
        <is>
          <t>Note</t>
        </is>
      </c>
    </row>
    <row r="14">
      <c r="A14" t="inlineStr">
        <is>
          <t>Indian equity mutual funds — expected return</t>
        </is>
      </c>
      <c r="B14" s="288" t="n">
        <v>0.11</v>
      </c>
      <c r="C14" t="inlineStr">
        <is>
          <t>p.a. nominal</t>
        </is>
      </c>
      <c r="D14" t="inlineStr">
        <is>
          <t>Long-run planning assumption</t>
        </is>
      </c>
      <c r="E14" t="inlineStr">
        <is>
          <t>Lever</t>
        </is>
      </c>
      <c r="F14" s="239" t="inlineStr">
        <is>
          <t>Nominal INR return before currency effects. Deliberately below the trailing returns shown on the Investments sheet: a snapshot gain is not a forecast.</t>
        </is>
      </c>
    </row>
    <row r="15">
      <c r="A15" t="inlineStr">
        <is>
          <t>Global equity (Amana) — expected return</t>
        </is>
      </c>
      <c r="B15" s="288" t="n">
        <v>0.08</v>
      </c>
      <c r="C15" t="inlineStr">
        <is>
          <t>p.a. nominal</t>
        </is>
      </c>
      <c r="D15" t="inlineStr">
        <is>
          <t>Long-run planning assumption</t>
        </is>
      </c>
      <c r="E15" t="inlineStr">
        <is>
          <t>Lever</t>
        </is>
      </c>
      <c r="F15" s="239" t="inlineStr">
        <is>
          <t>Broad developed-market equity assumption in USD.</t>
        </is>
      </c>
    </row>
    <row r="16">
      <c r="A16" t="inlineStr">
        <is>
          <t>Cash and savings — expected return</t>
        </is>
      </c>
      <c r="B16" s="288" t="n">
        <v>0.02</v>
      </c>
      <c r="C16" t="inlineStr">
        <is>
          <t>p.a. nominal</t>
        </is>
      </c>
      <c r="D16" t="inlineStr">
        <is>
          <t>UAE savings account range</t>
        </is>
      </c>
      <c r="E16" t="inlineStr">
        <is>
          <t>Lever</t>
        </is>
      </c>
      <c r="F16" s="239" t="inlineStr">
        <is>
          <t>FAB and NBD balances earn close to nothing; 2% is generous.</t>
        </is>
      </c>
    </row>
    <row r="17">
      <c r="A17" t="inlineStr">
        <is>
          <t>Silver / commodity — expected return</t>
        </is>
      </c>
      <c r="B17" s="288" t="n">
        <v>0.05</v>
      </c>
      <c r="C17" t="inlineStr">
        <is>
          <t>p.a. nominal</t>
        </is>
      </c>
      <c r="D17" t="inlineStr">
        <is>
          <t>Long-run planning assumption</t>
        </is>
      </c>
      <c r="E17" t="inlineStr">
        <is>
          <t>Lever</t>
        </is>
      </c>
      <c r="F17" s="239" t="inlineStr">
        <is>
          <t>Applies to the Nippon Silver ETF FoF holding only.</t>
        </is>
      </c>
    </row>
    <row r="18">
      <c r="A18" t="inlineStr">
        <is>
          <t>UAE inflation</t>
        </is>
      </c>
      <c r="B18" s="288" t="n">
        <v>0.025</v>
      </c>
      <c r="C18" t="inlineStr">
        <is>
          <t>p.a.</t>
        </is>
      </c>
      <c r="D18" t="inlineStr">
        <is>
          <t>Planning assumption</t>
        </is>
      </c>
      <c r="E18" t="inlineStr">
        <is>
          <t>Lever</t>
        </is>
      </c>
      <c r="F18" s="239" t="inlineStr">
        <is>
          <t>Used to restate the Wealth Plan into today's money.</t>
        </is>
      </c>
    </row>
    <row r="19">
      <c r="A19" t="inlineStr">
        <is>
          <t>Scenario adjustment to returns</t>
        </is>
      </c>
      <c r="B19" s="288" t="n">
        <v>0</v>
      </c>
      <c r="C19" t="inlineStr">
        <is>
          <t>p.a.</t>
        </is>
      </c>
      <c r="D19" t="inlineStr">
        <is>
          <t>Owner-set stress lever</t>
        </is>
      </c>
      <c r="E19" t="inlineStr">
        <is>
          <t>Lever</t>
        </is>
      </c>
      <c r="F19" s="239" t="inlineStr">
        <is>
          <t>Set to 0 for the base case, -0.03 for a bear case, +0.02 for a bull case. Applies to every growth assumption in the Wealth Plan.</t>
        </is>
      </c>
    </row>
    <row r="20">
      <c r="A20" t="inlineStr">
        <is>
          <t>Blended portfolio planning return</t>
        </is>
      </c>
      <c r="B20" s="50">
        <f>IF('Investments'!B50=0,B14,(('Investments'!B43+'Investments'!B44+'Investments'!B45+'Investments'!B46)*B14+'Investments'!B47*B17+'Investments'!B48*B15+'Investments'!B49*B16)/'Investments'!B50)+B19</f>
        <v>0.1016118077</v>
      </c>
      <c r="C20" t="inlineStr">
        <is>
          <t>p.a. nominal</t>
        </is>
      </c>
      <c r="D20" t="inlineStr">
        <is>
          <t>Weighted by the asset-allocation table on Investments</t>
        </is>
      </c>
      <c r="E20" t="inlineStr">
        <is>
          <t>Formula</t>
        </is>
      </c>
      <c r="F20" s="239" t="inlineStr">
        <is>
          <t>Each sleeve is weighted by its present value at its own expected return: Indian equity funds at the equity rate, the silver holding at the commodity rate, Amana at the global rate and idle broker cash at the cash rate. The scenario adjustment is then added.</t>
        </is>
      </c>
    </row>
    <row r="21">
      <c r="A21" t="inlineStr">
        <is>
          <t>Real (after-inflation) planning return</t>
        </is>
      </c>
      <c r="B21" s="50">
        <f>(1+B20)/(1+B18)-1</f>
        <v>0.074743227</v>
      </c>
      <c r="C21" t="inlineStr">
        <is>
          <t>p.a. real</t>
        </is>
      </c>
      <c r="D21" t="inlineStr">
        <is>
          <t>Blended return deflated by inflation</t>
        </is>
      </c>
      <c r="E21" t="inlineStr">
        <is>
          <t>Formula</t>
        </is>
      </c>
      <c r="F21" s="239" t="inlineStr">
        <is>
          <t>The number that actually matters for buying power.</t>
        </is>
      </c>
    </row>
    <row r="23" ht="23" customHeight="1">
      <c r="A23" s="9" t="inlineStr">
        <is>
          <t>INCOME, HOUSING AND SAVINGS ASSUMPTIONS</t>
        </is>
      </c>
    </row>
    <row r="24" ht="23" customHeight="1">
      <c r="A24" s="236" t="inlineStr">
        <is>
          <t>Assumption</t>
        </is>
      </c>
      <c r="B24" s="236" t="inlineStr">
        <is>
          <t>Value</t>
        </is>
      </c>
      <c r="C24" s="236" t="inlineStr">
        <is>
          <t>Unit</t>
        </is>
      </c>
      <c r="D24" s="236" t="inlineStr">
        <is>
          <t>Basis</t>
        </is>
      </c>
      <c r="E24" s="236" t="inlineStr">
        <is>
          <t>Type</t>
        </is>
      </c>
      <c r="F24" s="236" t="inlineStr">
        <is>
          <t>Note</t>
        </is>
      </c>
    </row>
    <row r="25">
      <c r="A25" t="inlineStr">
        <is>
          <t>Net monthly salary</t>
        </is>
      </c>
      <c r="B25" s="240">
        <f>'Inputs'!B18</f>
        <v>7914.88</v>
      </c>
      <c r="C25" t="inlineStr">
        <is>
          <t>AED</t>
        </is>
      </c>
      <c r="D25" t="inlineStr">
        <is>
          <t>Inputs sheet, July salary baseline</t>
        </is>
      </c>
      <c r="E25" t="inlineStr">
        <is>
          <t>Formula</t>
        </is>
      </c>
      <c r="F25" s="239" t="inlineStr">
        <is>
          <t>Linked, not typed. Update the baseline on Inputs and every sheet follows.</t>
        </is>
      </c>
    </row>
    <row r="26">
      <c r="A26" t="inlineStr">
        <is>
          <t>Annual salary increment</t>
        </is>
      </c>
      <c r="B26" s="288" t="n">
        <v>0.04</v>
      </c>
      <c r="C26" t="inlineStr">
        <is>
          <t>p.a.</t>
        </is>
      </c>
      <c r="D26" t="inlineStr">
        <is>
          <t>Planning assumption</t>
        </is>
      </c>
      <c r="E26" t="inlineStr">
        <is>
          <t>Lever</t>
        </is>
      </c>
      <c r="F26" s="239" t="inlineStr">
        <is>
          <t>Applied from the first full plan year onward.</t>
        </is>
      </c>
    </row>
    <row r="27">
      <c r="A27" t="inlineStr">
        <is>
          <t>Rent cheques per year</t>
        </is>
      </c>
      <c r="B27" s="289" t="n">
        <v>4</v>
      </c>
      <c r="C27" t="inlineStr">
        <is>
          <t>cheques</t>
        </is>
      </c>
      <c r="D27" t="inlineStr">
        <is>
          <t>ASSUMPTION — CONFIRM AGAINST THE LEASE</t>
        </is>
      </c>
      <c r="E27" t="inlineStr">
        <is>
          <t>Lever</t>
        </is>
      </c>
      <c r="F27" s="239" t="inlineStr">
        <is>
          <t>The lease schedule in this file shows one cheque of AED 11,750 due 22 Oct 2026 but not the cadence. Four cheques a year is the common Dubai arrangement and is what the monthly rent accrual on Budget uses. If the real schedule is different, change this one cell.</t>
        </is>
      </c>
    </row>
    <row r="28">
      <c r="A28" t="inlineStr">
        <is>
          <t>Annual rent</t>
        </is>
      </c>
      <c r="B28" s="240">
        <f>'Inputs'!B30*B27</f>
        <v>47000.0</v>
      </c>
      <c r="C28" t="inlineStr">
        <is>
          <t>AED</t>
        </is>
      </c>
      <c r="D28" t="inlineStr">
        <is>
          <t>Cheque value times cheques per year</t>
        </is>
      </c>
      <c r="E28" t="inlineStr">
        <is>
          <t>Formula</t>
        </is>
      </c>
      <c r="F28" s="239" t="inlineStr">
        <is>
          <t>Drives the monthly rent accrual used in the Budget.</t>
        </is>
      </c>
    </row>
    <row r="29">
      <c r="A29" t="inlineStr">
        <is>
          <t>Monthly rent accrual</t>
        </is>
      </c>
      <c r="B29" s="240">
        <f>B28/12</f>
        <v>3916.6666666667</v>
      </c>
      <c r="C29" t="inlineStr">
        <is>
          <t>AED</t>
        </is>
      </c>
      <c r="D29" t="inlineStr">
        <is>
          <t>Annual rent spread evenly</t>
        </is>
      </c>
      <c r="E29" t="inlineStr">
        <is>
          <t>Formula</t>
        </is>
      </c>
      <c r="F29" s="239" t="inlineStr">
        <is>
          <t>Setting money aside every month is what turns the next cheque from a crisis into a transfer.</t>
        </is>
      </c>
    </row>
    <row r="30">
      <c r="A30" t="inlineStr">
        <is>
          <t>Target savings rate</t>
        </is>
      </c>
      <c r="B30" s="288" t="n">
        <v>0.2</v>
      </c>
      <c r="C30" t="inlineStr">
        <is>
          <t>of net income</t>
        </is>
      </c>
      <c r="D30" t="inlineStr">
        <is>
          <t>Wealth-building target</t>
        </is>
      </c>
      <c r="E30" t="inlineStr">
        <is>
          <t>Lever</t>
        </is>
      </c>
      <c r="F30" s="239" t="inlineStr">
        <is>
          <t>Everything invested plus emergency-fund top-ups, as a share of net income.</t>
        </is>
      </c>
    </row>
    <row r="31">
      <c r="A31" t="inlineStr">
        <is>
          <t>Current monthly SIP</t>
        </is>
      </c>
      <c r="B31" s="240">
        <f>'Inputs'!B39</f>
        <v>462.4</v>
      </c>
      <c r="C31" t="inlineStr">
        <is>
          <t>AED</t>
        </is>
      </c>
      <c r="D31" t="inlineStr">
        <is>
          <t>Inputs sheet</t>
        </is>
      </c>
      <c r="E31" t="inlineStr">
        <is>
          <t>Formula</t>
        </is>
      </c>
      <c r="F31" s="239" t="inlineStr">
        <is>
          <t>INR 12,000 at the last confirmed transfer rate.</t>
        </is>
      </c>
    </row>
    <row r="32">
      <c r="A32" t="inlineStr">
        <is>
          <t>Annual SIP step-up</t>
        </is>
      </c>
      <c r="B32" s="288" t="n">
        <v>0.1</v>
      </c>
      <c r="C32" t="inlineStr">
        <is>
          <t>p.a.</t>
        </is>
      </c>
      <c r="D32" t="inlineStr">
        <is>
          <t>Wealth-building lever</t>
        </is>
      </c>
      <c r="E32" t="inlineStr">
        <is>
          <t>Lever</t>
        </is>
      </c>
      <c r="F32" s="239" t="inlineStr">
        <is>
          <t>Raising the SIP by 10% a year is the single highest-leverage habit in this plan; the Wealth Plan sensitivity block prices it.</t>
        </is>
      </c>
    </row>
    <row r="33">
      <c r="A33" t="inlineStr">
        <is>
          <t>Emergency fund target</t>
        </is>
      </c>
      <c r="B33" s="289" t="n">
        <v>6</v>
      </c>
      <c r="C33" t="inlineStr">
        <is>
          <t>months of essential spend</t>
        </is>
      </c>
      <c r="D33" t="inlineStr">
        <is>
          <t>Standard planning rule</t>
        </is>
      </c>
      <c r="E33" t="inlineStr">
        <is>
          <t>Lever</t>
        </is>
      </c>
      <c r="F33" s="239" t="inlineStr">
        <is>
          <t>Measured against the essential subtotal on the Budget sheet.</t>
        </is>
      </c>
    </row>
    <row r="35" ht="23" customHeight="1">
      <c r="A35" s="9" t="inlineStr">
        <is>
          <t>LEDGER WINDOW AND PLAN HORIZON</t>
        </is>
      </c>
    </row>
    <row r="36" ht="23" customHeight="1">
      <c r="A36" s="236" t="inlineStr">
        <is>
          <t>Assumption</t>
        </is>
      </c>
      <c r="B36" s="236" t="inlineStr">
        <is>
          <t>Value</t>
        </is>
      </c>
      <c r="C36" s="236" t="inlineStr">
        <is>
          <t>Unit</t>
        </is>
      </c>
      <c r="D36" s="236" t="inlineStr">
        <is>
          <t>Basis</t>
        </is>
      </c>
      <c r="E36" s="236" t="inlineStr">
        <is>
          <t>Type</t>
        </is>
      </c>
      <c r="F36" s="236" t="inlineStr">
        <is>
          <t>Note</t>
        </is>
      </c>
    </row>
    <row r="37">
      <c r="A37" t="inlineStr">
        <is>
          <t>Ledger first transaction</t>
        </is>
      </c>
      <c r="B37" s="238">
        <f>MIN('Recent Ledger'!$A$6:$A$101)</f>
        <v>46237.4722222222</v>
      </c>
      <c r="C37" t="inlineStr">
        <is>
          <t>date</t>
        </is>
      </c>
      <c r="D37" t="inlineStr">
        <is>
          <t>Recent Ledger</t>
        </is>
      </c>
      <c r="E37" t="inlineStr">
        <is>
          <t>Formula</t>
        </is>
      </c>
      <c r="F37" s="239" t="inlineStr">
        <is>
          <t>Earliest confirmed transaction in the ledger.</t>
        </is>
      </c>
    </row>
    <row r="38">
      <c r="A38" t="inlineStr">
        <is>
          <t>Ledger last transaction</t>
        </is>
      </c>
      <c r="B38" s="238">
        <f>MAX('Recent Ledger'!$A$6:$A$101)</f>
        <v>46259.275</v>
      </c>
      <c r="C38" t="inlineStr">
        <is>
          <t>date</t>
        </is>
      </c>
      <c r="D38" t="inlineStr">
        <is>
          <t>Recent Ledger</t>
        </is>
      </c>
      <c r="E38" t="inlineStr">
        <is>
          <t>Formula</t>
        </is>
      </c>
      <c r="F38" s="239" t="inlineStr">
        <is>
          <t>Latest confirmed transaction in the ledger.</t>
        </is>
      </c>
    </row>
    <row r="39">
      <c r="A39" t="inlineStr">
        <is>
          <t>Days covered by the ledger</t>
        </is>
      </c>
      <c r="B39" s="54">
        <f>INT(B38)-INT(B37)+1</f>
        <v>23.0</v>
      </c>
      <c r="C39" t="inlineStr">
        <is>
          <t>days</t>
        </is>
      </c>
      <c r="D39" t="inlineStr">
        <is>
          <t>Inclusive day count</t>
        </is>
      </c>
      <c r="E39" t="inlineStr">
        <is>
          <t>Formula</t>
        </is>
      </c>
      <c r="F39" s="239" t="inlineStr">
        <is>
          <t>The ledger is a partial month, so actuals are scaled to a monthly run rate before they are compared with the plan.</t>
        </is>
      </c>
    </row>
    <row r="40">
      <c r="A40" t="inlineStr">
        <is>
          <t>Run-rate factor to a full month</t>
        </is>
      </c>
      <c r="B40" s="290">
        <f>IF(B39=0,0,30.44/B39)</f>
        <v>1.3234782609</v>
      </c>
      <c r="C40" t="inlineStr">
        <is>
          <t>x</t>
        </is>
      </c>
      <c r="D40" t="inlineStr">
        <is>
          <t>Average month length divided by days covered</t>
        </is>
      </c>
      <c r="E40" t="inlineStr">
        <is>
          <t>Formula</t>
        </is>
      </c>
      <c r="F40" s="239" t="inlineStr">
        <is>
          <t>Multiply any ledger actual by this to get a monthly run rate.</t>
        </is>
      </c>
    </row>
    <row r="41">
      <c r="A41" t="inlineStr">
        <is>
          <t>Plan start</t>
        </is>
      </c>
      <c r="B41" s="291" t="n">
        <v>46266</v>
      </c>
      <c r="C41" t="inlineStr">
        <is>
          <t>date</t>
        </is>
      </c>
      <c r="D41" t="inlineStr">
        <is>
          <t>First full month of the plan</t>
        </is>
      </c>
      <c r="E41" t="inlineStr">
        <is>
          <t>Lever</t>
        </is>
      </c>
      <c r="F41" s="239" t="inlineStr">
        <is>
          <t>The Wealth Plan projects forward from this date.</t>
        </is>
      </c>
    </row>
    <row r="42">
      <c r="A42" t="inlineStr">
        <is>
          <t>Plan horizon</t>
        </is>
      </c>
      <c r="B42" s="289" t="n">
        <v>20</v>
      </c>
      <c r="C42" t="inlineStr">
        <is>
          <t>years</t>
        </is>
      </c>
      <c r="D42" t="inlineStr">
        <is>
          <t>Owner-set</t>
        </is>
      </c>
      <c r="E42" t="inlineStr">
        <is>
          <t>Lever</t>
        </is>
      </c>
      <c r="F42" s="239" t="inlineStr">
        <is>
          <t>Length of the projection on the Wealth Plan sheet.</t>
        </is>
      </c>
    </row>
    <row r="44" ht="46" customHeight="1">
      <c r="A44" s="292" t="inlineStr">
        <is>
          <t>Assumption discipline: a lever is a number this workbook cannot prove. Every one of them is on this sheet, in blue on yellow, with its basis written next to it. Nothing else in the file hardcodes a rate or a return. The two levers most likely to be wrong are rent cheques per year and the AED/INR rate — confirm both against the lease and the next transfer receipt.</t>
        </is>
      </c>
    </row>
  </sheetData>
  <mergeCells count="7">
    <mergeCell ref="A44:F44"/>
    <mergeCell ref="A5:F5"/>
    <mergeCell ref="A23:F23"/>
    <mergeCell ref="A1:F2"/>
    <mergeCell ref="A12:F12"/>
    <mergeCell ref="A35:F35"/>
    <mergeCell ref="A3:F3"/>
  </mergeCells>
  <pageMargins left="0.75" right="0.75" top="1" bottom="1" header="0.5" footer="0.5"/>
</worksheet>
</file>

<file path=xl/worksheets/sheet5.xml><?xml version="1.0" encoding="utf-8"?>
<worksheet xmlns="http://schemas.openxmlformats.org/spreadsheetml/2006/main">
  <sheetPr>
    <tabColor rgb="FF0E7C66"/>
    <outlinePr summaryBelow="1" summaryRight="1"/>
    <pageSetUpPr/>
  </sheetPr>
  <dimension ref="A1:H47"/>
  <sheetViews>
    <sheetView showGridLines="0" workbookViewId="0">
      <selection activeCell="A1" sqref="A1"/>
    </sheetView>
  </sheetViews>
  <sheetFormatPr baseColWidth="8" defaultRowHeight="15"/>
  <cols>
    <col width="30" customWidth="1" min="1" max="1"/>
    <col width="17" customWidth="1" min="2" max="2"/>
    <col width="17" customWidth="1" min="3" max="3"/>
    <col width="17" customWidth="1" min="4" max="4"/>
    <col width="17" customWidth="1" min="5" max="5"/>
    <col width="13" customWidth="1" min="6" max="6"/>
    <col width="14" customWidth="1" min="7" max="7"/>
    <col width="52" customWidth="1" min="8" max="8"/>
  </cols>
  <sheetData>
    <row r="1" ht="29" customHeight="1">
      <c r="A1" s="3" t="inlineStr">
        <is>
          <t>Monthly Budget — Plan against Reality</t>
        </is>
      </c>
    </row>
    <row r="2" ht="29" customHeight="1"/>
    <row r="3" ht="30" customHeight="1">
      <c r="A3" s="286" t="inlineStr">
        <is>
          <t>Column B is the plan. Column C is what the confirmed ledger actually shows for 3–25 Aug 2026. Column D scales that partial month to a full-month run rate so the two are comparable. A red variance means the run rate is above plan.</t>
        </is>
      </c>
    </row>
    <row r="5" ht="23" customHeight="1">
      <c r="A5" s="9" t="inlineStr">
        <is>
          <t>MONTHLY INCOME</t>
        </is>
      </c>
    </row>
    <row r="6" ht="23" customHeight="1">
      <c r="A6" s="236" t="inlineStr">
        <is>
          <t>Line</t>
        </is>
      </c>
      <c r="B6" s="236" t="inlineStr">
        <is>
          <t>Monthly plan</t>
        </is>
      </c>
      <c r="C6" s="236" t="inlineStr">
        <is>
          <t>Ledger actual
3–25 Aug</t>
        </is>
      </c>
      <c r="D6" s="236" t="inlineStr">
        <is>
          <t>Monthly run rate</t>
        </is>
      </c>
      <c r="E6" s="236" t="inlineStr">
        <is>
          <t>Variance vs plan</t>
        </is>
      </c>
      <c r="F6" s="236" t="inlineStr">
        <is>
          <t>% of income</t>
        </is>
      </c>
      <c r="G6" s="236" t="inlineStr">
        <is>
          <t>Priority</t>
        </is>
      </c>
      <c r="H6" s="236" t="inlineStr">
        <is>
          <t>Note</t>
        </is>
      </c>
    </row>
    <row r="7">
      <c r="A7" t="inlineStr">
        <is>
          <t>Net salary</t>
        </is>
      </c>
      <c r="B7" s="240">
        <f>'FX &amp; Assumptions'!B25</f>
        <v>7914.88</v>
      </c>
      <c r="C7" s="293" t="n">
        <v>0</v>
      </c>
      <c r="D7" s="240">
        <f>C7*'FX &amp; Assumptions'!$B$40</f>
        <v>0.0</v>
      </c>
      <c r="E7" s="240">
        <f>D7-B7</f>
        <v>-7914.88</v>
      </c>
      <c r="F7" s="50">
        <f>IF($B$8=0,0,B7/$B$8)</f>
        <v>1.0</v>
      </c>
      <c r="G7" t="inlineStr">
        <is>
          <t>Core</t>
        </is>
      </c>
      <c r="H7" s="239" t="inlineStr">
        <is>
          <t>July baseline. The AED 2,906 expected on 26 Aug is the remainder of this month's cycle, not an extra month of pay.</t>
        </is>
      </c>
    </row>
    <row r="8">
      <c r="A8" s="10" t="inlineStr">
        <is>
          <t>TOTAL MONTHLY INCOME</t>
        </is>
      </c>
      <c r="B8" s="241">
        <f>B7</f>
        <v>7914.88</v>
      </c>
      <c r="C8" s="241">
        <f>C7</f>
        <v>0.0</v>
      </c>
      <c r="D8" s="241">
        <f>D7</f>
        <v>0.0</v>
      </c>
      <c r="E8" s="4" t="n"/>
      <c r="F8" s="294">
        <f>IF(B8=0,0,B8/B8)</f>
        <v>1.0</v>
      </c>
      <c r="G8" s="10" t="inlineStr">
        <is>
          <t>Core</t>
        </is>
      </c>
      <c r="H8" s="236" t="inlineStr">
        <is>
          <t>Side income from ticket dealing is treated as one-off recovery, not salary, so it never inflates the plan.</t>
        </is>
      </c>
    </row>
    <row r="10" ht="23" customHeight="1">
      <c r="A10" s="9" t="inlineStr">
        <is>
          <t>ESSENTIAL — THE BILLS THAT KEEP THE LIGHTS ON</t>
        </is>
      </c>
    </row>
    <row r="11" ht="23" customHeight="1">
      <c r="A11" s="236" t="inlineStr">
        <is>
          <t>Line</t>
        </is>
      </c>
      <c r="B11" s="236" t="inlineStr">
        <is>
          <t>Monthly plan</t>
        </is>
      </c>
      <c r="C11" s="236" t="inlineStr">
        <is>
          <t>Ledger actual
3–25 Aug</t>
        </is>
      </c>
      <c r="D11" s="236" t="inlineStr">
        <is>
          <t>Monthly run rate</t>
        </is>
      </c>
      <c r="E11" s="236" t="inlineStr">
        <is>
          <t>Variance vs plan</t>
        </is>
      </c>
      <c r="F11" s="236" t="inlineStr">
        <is>
          <t>% of income</t>
        </is>
      </c>
      <c r="G11" s="236" t="inlineStr">
        <is>
          <t>Priority</t>
        </is>
      </c>
      <c r="H11" s="236" t="inlineStr">
        <is>
          <t>Note</t>
        </is>
      </c>
    </row>
    <row r="12">
      <c r="A12" t="inlineStr">
        <is>
          <t>Rent accrual</t>
        </is>
      </c>
      <c r="B12" s="240">
        <f>'FX &amp; Assumptions'!B29</f>
        <v>3916.6666666667</v>
      </c>
      <c r="C12" s="293" t="n">
        <v>0</v>
      </c>
      <c r="D12" s="240">
        <f>C12*'FX &amp; Assumptions'!$B$40</f>
        <v>0.0</v>
      </c>
      <c r="E12" s="240">
        <f>D12-B12</f>
        <v>-3916.6666666667</v>
      </c>
      <c r="F12" s="50">
        <f>IF($B$8=0,0,B12/$B$8)</f>
        <v>0.4948485216</v>
      </c>
      <c r="G12" t="inlineStr">
        <is>
          <t>Critical</t>
        </is>
      </c>
      <c r="H12" s="239" t="inlineStr">
        <is>
          <t>The rent cheque is not a surprise, it is a subscription. Accruing it monthly is what removes the October panic permanently. No ledger line exists because nothing has been set aside monthly so far.</t>
        </is>
      </c>
    </row>
    <row r="13">
      <c r="A13" t="inlineStr">
        <is>
          <t>Utilities &amp; Telecom</t>
        </is>
      </c>
      <c r="B13" s="240">
        <f>'Inputs'!B33+'Inputs'!B34+'Inputs'!B35</f>
        <v>1728.21</v>
      </c>
      <c r="C13" s="240">
        <f>SUMIFS('Recent Ledger'!$D$6:$D$101,'Recent Ledger'!$I$6:$I$101,$A13,'Recent Ledger'!$J$6:$J$101,1)</f>
        <v>914.93</v>
      </c>
      <c r="D13" s="240">
        <f>C13*'FX &amp; Assumptions'!$B$40</f>
        <v>1210.8899652174</v>
      </c>
      <c r="E13" s="240">
        <f>D13-B13</f>
        <v>-517.3200347826</v>
      </c>
      <c r="F13" s="50">
        <f>IF($B$8=0,0,B13/$B$8)</f>
        <v>0.2183494886</v>
      </c>
      <c r="G13" t="inlineStr">
        <is>
          <t>Critical</t>
        </is>
      </c>
      <c r="H13" s="239" t="inlineStr">
        <is>
          <t>DEWA AED 813.28 + du AED 590.98 + Etisalat AED 323.95. Two telecom lines for one person is the most obvious fixed-cost cut available.</t>
        </is>
      </c>
    </row>
    <row r="14">
      <c r="A14" t="inlineStr">
        <is>
          <t>Groceries</t>
        </is>
      </c>
      <c r="B14" s="240" t="n">
        <v>450</v>
      </c>
      <c r="C14" s="240">
        <f>SUMIFS('Recent Ledger'!$D$6:$D$101,'Recent Ledger'!$I$6:$I$101,$A14,'Recent Ledger'!$J$6:$J$101,1)</f>
        <v>280.53</v>
      </c>
      <c r="D14" s="240">
        <f>C14*'FX &amp; Assumptions'!$B$40</f>
        <v>371.2753565217</v>
      </c>
      <c r="E14" s="240">
        <f>D14-B14</f>
        <v>-78.7246434783</v>
      </c>
      <c r="F14" s="50">
        <f>IF($B$8=0,0,B14/$B$8)</f>
        <v>0.0568549365</v>
      </c>
      <c r="G14" t="inlineStr">
        <is>
          <t>Essential</t>
        </is>
      </c>
      <c r="H14" s="239" t="inlineStr">
        <is>
          <t>Cooking at home is the cheapest lever that does not require earning more.</t>
        </is>
      </c>
    </row>
    <row r="15">
      <c r="A15" t="inlineStr">
        <is>
          <t>Fuel &amp; Transport</t>
        </is>
      </c>
      <c r="B15" s="240" t="n">
        <v>250</v>
      </c>
      <c r="C15" s="240">
        <f>SUMIFS('Recent Ledger'!$D$6:$D$101,'Recent Ledger'!$I$6:$I$101,$A15,'Recent Ledger'!$J$6:$J$101,1)</f>
        <v>300.52</v>
      </c>
      <c r="D15" s="240">
        <f>C15*'FX &amp; Assumptions'!$B$40</f>
        <v>397.7316869565</v>
      </c>
      <c r="E15" s="240">
        <f>D15-B15</f>
        <v>147.7316869565</v>
      </c>
      <c r="F15" s="50">
        <f>IF($B$8=0,0,B15/$B$8)</f>
        <v>0.0315860758</v>
      </c>
      <c r="G15" t="inlineStr">
        <is>
          <t>Essential</t>
        </is>
      </c>
      <c r="H15" s="239" t="inlineStr">
        <is>
          <t>Fuel and Metro. Work-essential; protect this before cutting anything else.</t>
        </is>
      </c>
    </row>
    <row r="16">
      <c r="A16" t="inlineStr">
        <is>
          <t>Family &amp; Support</t>
        </is>
      </c>
      <c r="B16" s="240" t="n">
        <v>100</v>
      </c>
      <c r="C16" s="240">
        <f>SUMIFS('Recent Ledger'!$D$6:$D$101,'Recent Ledger'!$I$6:$I$101,$A16,'Recent Ledger'!$J$6:$J$101,1)</f>
        <v>142.97</v>
      </c>
      <c r="D16" s="240">
        <f>C16*'FX &amp; Assumptions'!$B$40</f>
        <v>189.2176869565</v>
      </c>
      <c r="E16" s="240">
        <f>D16-B16</f>
        <v>89.2176869565</v>
      </c>
      <c r="F16" s="50">
        <f>IF($B$8=0,0,B16/$B$8)</f>
        <v>0.0126344303</v>
      </c>
      <c r="G16" t="inlineStr">
        <is>
          <t>Essential</t>
        </is>
      </c>
      <c r="H16" s="239" t="inlineStr">
        <is>
          <t>Medical and family support transfers.</t>
        </is>
      </c>
    </row>
    <row r="17">
      <c r="A17" s="10" t="inlineStr">
        <is>
          <t>SUBTOTAL ESSENTIAL</t>
        </is>
      </c>
      <c r="B17" s="241">
        <f>SUM(B12:B16)</f>
        <v>6444.8766666667</v>
      </c>
      <c r="C17" s="241">
        <f>SUM(C12:C16)</f>
        <v>1638.95</v>
      </c>
      <c r="D17" s="241">
        <f>SUM(D12:D16)</f>
        <v>2169.1146956522</v>
      </c>
      <c r="E17" s="241">
        <f>SUM(E12:E16)</f>
        <v>-4275.7619710145</v>
      </c>
      <c r="F17" s="294">
        <f>IF($B$8=0,0,B17/$B$8)</f>
        <v>0.8142734529</v>
      </c>
      <c r="G17" s="10" t="inlineStr">
        <is>
          <t>Critical</t>
        </is>
      </c>
      <c r="H17" s="236" t="inlineStr">
        <is>
          <t>This subtotal is the base of the emergency-fund target on the Goals sheet.</t>
        </is>
      </c>
    </row>
    <row r="19" ht="23" customHeight="1">
      <c r="A19" s="9" t="inlineStr">
        <is>
          <t>LIFESTYLE — THE PART THAT IS ACTUALLY A CHOICE</t>
        </is>
      </c>
    </row>
    <row r="20" ht="23" customHeight="1">
      <c r="A20" s="236" t="inlineStr">
        <is>
          <t>Line</t>
        </is>
      </c>
      <c r="B20" s="236" t="inlineStr">
        <is>
          <t>Monthly plan</t>
        </is>
      </c>
      <c r="C20" s="236" t="inlineStr">
        <is>
          <t>Ledger actual
3–25 Aug</t>
        </is>
      </c>
      <c r="D20" s="236" t="inlineStr">
        <is>
          <t>Monthly run rate</t>
        </is>
      </c>
      <c r="E20" s="236" t="inlineStr">
        <is>
          <t>Variance vs plan</t>
        </is>
      </c>
      <c r="F20" s="236" t="inlineStr">
        <is>
          <t>% of income</t>
        </is>
      </c>
      <c r="G20" s="236" t="inlineStr">
        <is>
          <t>Priority</t>
        </is>
      </c>
      <c r="H20" s="236" t="inlineStr">
        <is>
          <t>Note</t>
        </is>
      </c>
    </row>
    <row r="21">
      <c r="A21" t="inlineStr">
        <is>
          <t>Dining</t>
        </is>
      </c>
      <c r="B21" s="240" t="n">
        <v>200</v>
      </c>
      <c r="C21" s="240">
        <f>SUMIFS('Recent Ledger'!$D$6:$D$101,'Recent Ledger'!$I$6:$I$101,$A21,'Recent Ledger'!$J$6:$J$101,1)</f>
        <v>785.28</v>
      </c>
      <c r="D21" s="240">
        <f>C21*'FX &amp; Assumptions'!$B$40</f>
        <v>1039.3010086957</v>
      </c>
      <c r="E21" s="240">
        <f>D21-B21</f>
        <v>839.3010086957</v>
      </c>
      <c r="F21" s="50">
        <f>IF($B$8=0,0,B21/$B$8)</f>
        <v>0.0252688607</v>
      </c>
      <c r="G21" t="inlineStr">
        <is>
          <t>Discretionary</t>
        </is>
      </c>
      <c r="H21" s="239" t="inlineStr">
        <is>
          <t>The single largest controllable category in the ledger. Restaurant and delivery spending has been running far above any plan that also funds rent.</t>
        </is>
      </c>
    </row>
    <row r="22">
      <c r="A22" t="inlineStr">
        <is>
          <t>Lifestyle &amp; Shopping</t>
        </is>
      </c>
      <c r="B22" s="240" t="n">
        <v>100</v>
      </c>
      <c r="C22" s="240">
        <f>SUMIFS('Recent Ledger'!$D$6:$D$101,'Recent Ledger'!$I$6:$I$101,$A22,'Recent Ledger'!$J$6:$J$101,1)</f>
        <v>563.75</v>
      </c>
      <c r="D22" s="240">
        <f>C22*'FX &amp; Assumptions'!$B$40</f>
        <v>746.1108695652</v>
      </c>
      <c r="E22" s="240">
        <f>D22-B22</f>
        <v>646.1108695652</v>
      </c>
      <c r="F22" s="50">
        <f>IF($B$8=0,0,B22/$B$8)</f>
        <v>0.0126344303</v>
      </c>
      <c r="G22" t="inlineStr">
        <is>
          <t>Discretionary</t>
        </is>
      </c>
      <c r="H22" s="239" t="inlineStr">
        <is>
          <t>Convenience-store and hotel spending. Frozen under the damage-control cap.</t>
        </is>
      </c>
    </row>
    <row r="23">
      <c r="A23" t="inlineStr">
        <is>
          <t>Grooming</t>
        </is>
      </c>
      <c r="B23" s="240" t="n">
        <v>65</v>
      </c>
      <c r="C23" s="240">
        <f>SUMIFS('Recent Ledger'!$D$6:$D$101,'Recent Ledger'!$I$6:$I$101,$A23,'Recent Ledger'!$J$6:$J$101,1)</f>
        <v>65.0</v>
      </c>
      <c r="D23" s="240">
        <f>C23*'FX &amp; Assumptions'!$B$40</f>
        <v>86.0260869565</v>
      </c>
      <c r="E23" s="240">
        <f>D23-B23</f>
        <v>21.0260869565</v>
      </c>
      <c r="F23" s="50">
        <f>IF($B$8=0,0,B23/$B$8)</f>
        <v>0.0082123797</v>
      </c>
      <c r="G23" t="inlineStr">
        <is>
          <t>Discretionary</t>
        </is>
      </c>
      <c r="H23" s="239" t="inlineStr">
        <is>
          <t>One barber visit a month.</t>
        </is>
      </c>
    </row>
    <row r="24">
      <c r="A24" t="inlineStr">
        <is>
          <t>Travel</t>
        </is>
      </c>
      <c r="B24" s="240" t="n">
        <v>0</v>
      </c>
      <c r="C24" s="240">
        <f>SUMIFS('Recent Ledger'!$D$6:$D$101,'Recent Ledger'!$I$6:$I$101,$A24,'Recent Ledger'!$J$6:$J$101,1)</f>
        <v>1430.0</v>
      </c>
      <c r="D24" s="240">
        <f>C24*'FX &amp; Assumptions'!$B$40</f>
        <v>1892.5739130435</v>
      </c>
      <c r="E24" s="240">
        <f>D24-B24</f>
        <v>1892.5739130435</v>
      </c>
      <c r="F24" s="50">
        <f>IF($B$8=0,0,B24/$B$8)</f>
        <v>0.0</v>
      </c>
      <c r="G24" t="inlineStr">
        <is>
          <t>Deferred</t>
        </is>
      </c>
      <c r="H24" s="239" t="inlineStr">
        <is>
          <t>The AED 1,430 Emirates ticket sits in the ledger with a refund pending. No further travel spend is planned before the October rent cheque clears.</t>
        </is>
      </c>
    </row>
    <row r="25">
      <c r="A25" t="inlineStr">
        <is>
          <t>Bank Fees</t>
        </is>
      </c>
      <c r="B25" s="240" t="n">
        <v>10</v>
      </c>
      <c r="C25" s="240">
        <f>SUMIFS('Recent Ledger'!$D$6:$D$101,'Recent Ledger'!$I$6:$I$101,$A25,'Recent Ledger'!$J$6:$J$101,1)</f>
        <v>0.49</v>
      </c>
      <c r="D25" s="240">
        <f>C25*'FX &amp; Assumptions'!$B$40</f>
        <v>0.6485043478</v>
      </c>
      <c r="E25" s="240">
        <f>D25-B25</f>
        <v>-9.3514956522</v>
      </c>
      <c r="F25" s="50">
        <f>IF($B$8=0,0,B25/$B$8)</f>
        <v>0.001263443</v>
      </c>
      <c r="G25" t="inlineStr">
        <is>
          <t>Avoidable</t>
        </is>
      </c>
      <c r="H25" s="239" t="inlineStr">
        <is>
          <t>Transfer fees. Avoidable with a little batching.</t>
        </is>
      </c>
    </row>
    <row r="26">
      <c r="A26" t="inlineStr">
        <is>
          <t>Unreconciled</t>
        </is>
      </c>
      <c r="B26" s="240" t="n">
        <v>0</v>
      </c>
      <c r="C26" s="240">
        <f>SUMIFS('Recent Ledger'!$D$6:$D$101,'Recent Ledger'!$I$6:$I$101,$A26,'Recent Ledger'!$J$6:$J$101,1)</f>
        <v>64.0</v>
      </c>
      <c r="D26" s="240">
        <f>C26*'FX &amp; Assumptions'!$B$40</f>
        <v>84.7026086957</v>
      </c>
      <c r="E26" s="240">
        <f>D26-B26</f>
        <v>84.7026086957</v>
      </c>
      <c r="F26" s="50">
        <f>IF($B$8=0,0,B26/$B$8)</f>
        <v>0.0</v>
      </c>
      <c r="G26" t="inlineStr">
        <is>
          <t>Control</t>
        </is>
      </c>
      <c r="H26" s="239" t="inlineStr">
        <is>
          <t>Balance-derived movements with no confirmed merchant. Target is zero: every dirham should have a name.</t>
        </is>
      </c>
    </row>
    <row r="27">
      <c r="A27" s="10" t="inlineStr">
        <is>
          <t>SUBTOTAL LIFESTYLE</t>
        </is>
      </c>
      <c r="B27" s="241">
        <f>SUM(B21:B26)</f>
        <v>375.0</v>
      </c>
      <c r="C27" s="241">
        <f>SUM(C21:C26)</f>
        <v>2908.52</v>
      </c>
      <c r="D27" s="241">
        <f>SUM(D21:D26)</f>
        <v>3849.3629913043</v>
      </c>
      <c r="E27" s="241">
        <f>SUM(E21:E26)</f>
        <v>3474.3629913043</v>
      </c>
      <c r="F27" s="294">
        <f>IF($B$8=0,0,B27/$B$8)</f>
        <v>0.0473791138</v>
      </c>
      <c r="G27" s="10" t="inlineStr">
        <is>
          <t>Discretionary</t>
        </is>
      </c>
      <c r="H27" s="236" t="inlineStr">
        <is>
          <t>Every dirham cut here is a dirham that can fund rent, kill Tabby or buy units.</t>
        </is>
      </c>
    </row>
    <row r="29" ht="23" customHeight="1">
      <c r="A29" s="9" t="inlineStr">
        <is>
          <t>DEBT AND WEALTH — WHAT BUILDS THE FUTURE</t>
        </is>
      </c>
    </row>
    <row r="30" ht="23" customHeight="1">
      <c r="A30" s="236" t="inlineStr">
        <is>
          <t>Line</t>
        </is>
      </c>
      <c r="B30" s="236" t="inlineStr">
        <is>
          <t>Monthly plan</t>
        </is>
      </c>
      <c r="C30" s="236" t="inlineStr">
        <is>
          <t>Ledger actual
3–25 Aug</t>
        </is>
      </c>
      <c r="D30" s="236" t="inlineStr">
        <is>
          <t>Monthly run rate</t>
        </is>
      </c>
      <c r="E30" s="236" t="inlineStr">
        <is>
          <t>Variance vs plan</t>
        </is>
      </c>
      <c r="F30" s="236" t="inlineStr">
        <is>
          <t>% of income</t>
        </is>
      </c>
      <c r="G30" s="236" t="inlineStr">
        <is>
          <t>Priority</t>
        </is>
      </c>
      <c r="H30" s="236" t="inlineStr">
        <is>
          <t>Note</t>
        </is>
      </c>
    </row>
    <row r="31">
      <c r="A31" t="inlineStr">
        <is>
          <t>Tabby repayment</t>
        </is>
      </c>
      <c r="B31" s="240">
        <f>'Inputs'!B36</f>
        <v>1314.5</v>
      </c>
      <c r="C31" s="293" t="n">
        <v>0</v>
      </c>
      <c r="D31" s="240">
        <f>C31*'FX &amp; Assumptions'!$B$40</f>
        <v>0.0</v>
      </c>
      <c r="E31" s="240">
        <f>D31-B31</f>
        <v>-1314.5</v>
      </c>
      <c r="F31" s="50">
        <f>IF($B$8=0,0,B31/$B$8)</f>
        <v>0.1660795868</v>
      </c>
      <c r="G31" t="inlineStr">
        <is>
          <t>Critical</t>
        </is>
      </c>
      <c r="H31" s="239" t="inlineStr">
        <is>
          <t>The no-fee minimum due 3 Sep. Paying the full statement is better whenever rent and essential bills stay funded.</t>
        </is>
      </c>
    </row>
    <row r="32">
      <c r="A32" t="inlineStr">
        <is>
          <t>Nippon SIP</t>
        </is>
      </c>
      <c r="B32" s="240">
        <f>'FX &amp; Assumptions'!B31</f>
        <v>462.4</v>
      </c>
      <c r="C32" s="293" t="n">
        <v>0</v>
      </c>
      <c r="D32" s="240">
        <f>C32*'FX &amp; Assumptions'!$B$40</f>
        <v>0.0</v>
      </c>
      <c r="E32" s="240">
        <f>D32-B32</f>
        <v>-462.4</v>
      </c>
      <c r="F32" s="50">
        <f>IF($B$8=0,0,B32/$B$8)</f>
        <v>0.0584216059</v>
      </c>
      <c r="G32" t="inlineStr">
        <is>
          <t>Wealth</t>
        </is>
      </c>
      <c r="H32" s="239" t="inlineStr">
        <is>
          <t>INR 12,000 a month. This is the only line in the budget that compounds.</t>
        </is>
      </c>
    </row>
    <row r="33">
      <c r="A33" t="inlineStr">
        <is>
          <t>Emergency fund top-up</t>
        </is>
      </c>
      <c r="B33" s="240" t="n">
        <v>200</v>
      </c>
      <c r="C33" s="293" t="n">
        <v>0</v>
      </c>
      <c r="D33" s="240">
        <f>C33*'FX &amp; Assumptions'!$B$40</f>
        <v>0.0</v>
      </c>
      <c r="E33" s="240">
        <f>D33-B33</f>
        <v>-200.0</v>
      </c>
      <c r="F33" s="50">
        <f>IF($B$8=0,0,B33/$B$8)</f>
        <v>0.0252688607</v>
      </c>
      <c r="G33" t="inlineStr">
        <is>
          <t>Wealth</t>
        </is>
      </c>
      <c r="H33" s="239" t="inlineStr">
        <is>
          <t>The emergency fund holds AED 7.67 against a six-month target. AED 200 a month is the smallest amount that makes the number move.</t>
        </is>
      </c>
    </row>
    <row r="34">
      <c r="A34" s="10" t="inlineStr">
        <is>
          <t>SUBTOTAL DEBT AND WEALTH</t>
        </is>
      </c>
      <c r="B34" s="241">
        <f>SUM(B31:B33)</f>
        <v>1976.9</v>
      </c>
      <c r="C34" s="241">
        <f>SUM(C31:C33)</f>
        <v>0.0</v>
      </c>
      <c r="D34" s="241">
        <f>SUM(D31:D33)</f>
        <v>0.0</v>
      </c>
      <c r="E34" s="241">
        <f>SUM(E31:E33)</f>
        <v>-1976.9</v>
      </c>
      <c r="F34" s="294">
        <f>IF($B$8=0,0,B34/$B$8)</f>
        <v>0.2497700534</v>
      </c>
      <c r="G34" s="10" t="inlineStr">
        <is>
          <t>Wealth</t>
        </is>
      </c>
      <c r="H34" s="236" t="inlineStr">
        <is>
          <t>Debt repayment is defence; the SIP and the emergency fund are offence.</t>
        </is>
      </c>
    </row>
    <row r="36" ht="23" customHeight="1">
      <c r="A36" s="9" t="inlineStr">
        <is>
          <t>RESULT</t>
        </is>
      </c>
    </row>
    <row r="37" ht="23" customHeight="1">
      <c r="A37" s="236" t="inlineStr">
        <is>
          <t>Result</t>
        </is>
      </c>
      <c r="B37" s="236" t="inlineStr">
        <is>
          <t>Monthly plan</t>
        </is>
      </c>
      <c r="C37" s="236" t="inlineStr">
        <is>
          <t>Ledger actual
3–25 Aug</t>
        </is>
      </c>
      <c r="D37" s="236" t="inlineStr">
        <is>
          <t>Monthly run rate</t>
        </is>
      </c>
      <c r="E37" s="236" t="inlineStr">
        <is>
          <t>Variance vs plan</t>
        </is>
      </c>
      <c r="F37" s="236" t="inlineStr">
        <is>
          <t>% of income</t>
        </is>
      </c>
      <c r="G37" s="236" t="inlineStr">
        <is>
          <t>Verdict</t>
        </is>
      </c>
      <c r="H37" s="236" t="inlineStr">
        <is>
          <t>Note</t>
        </is>
      </c>
    </row>
    <row r="38">
      <c r="A38" s="10" t="inlineStr">
        <is>
          <t>Total outflow</t>
        </is>
      </c>
      <c r="B38" s="241">
        <f>B17+B27+B34</f>
        <v>8796.7766666667</v>
      </c>
      <c r="C38" s="241">
        <f>C17+C27+C34</f>
        <v>4547.47</v>
      </c>
      <c r="D38" s="241">
        <f>D17+D27+D34</f>
        <v>6018.4776869565</v>
      </c>
      <c r="E38" s="241">
        <f>D38-B38</f>
        <v>-2778.2989797101</v>
      </c>
      <c r="F38" s="294">
        <f>IF($B$8=0,0,B38/$B$8)</f>
        <v>1.11142262</v>
      </c>
      <c r="G38" s="10" t="str">
        <f>IF(B39&gt;=0,"Plan balances","Plan does not balance")</f>
        <v>Plan does not balance</v>
      </c>
      <c r="H38" s="236" t="inlineStr">
        <is>
          <t>Every planned dirham out, including debt repayment and investing.</t>
        </is>
      </c>
    </row>
    <row r="39">
      <c r="A39" s="10" t="inlineStr">
        <is>
          <t>Surplus / (deficit)</t>
        </is>
      </c>
      <c r="B39" s="241">
        <f>B8-B38</f>
        <v>-881.8966666667</v>
      </c>
      <c r="C39" s="241">
        <f>C8-C38</f>
        <v>-4547.47</v>
      </c>
      <c r="D39" s="241">
        <f>D8-D38</f>
        <v>-6018.4776869565</v>
      </c>
      <c r="E39" s="241">
        <f>D39-B39</f>
        <v>-5136.5810202899</v>
      </c>
      <c r="F39" s="294">
        <f>IF($B$8=0,0,B39/$B$8)</f>
        <v>-0.11142262</v>
      </c>
      <c r="G39" s="10" t="str">
        <f>IF(B39&gt;=0,"OK","ACTION")</f>
        <v>ACTION</v>
      </c>
      <c r="H39" s="236" t="inlineStr">
        <is>
          <t>Negative means the plan spends more than the salary. The gap has to be closed by cutting lifestyle, cutting a telecom line, or earning more — not by borrowing.</t>
        </is>
      </c>
    </row>
    <row r="40" ht="23" customHeight="1">
      <c r="A40" s="9" t="inlineStr">
        <is>
          <t>BUDGET HEALTH RATIOS</t>
        </is>
      </c>
    </row>
    <row r="41" ht="23" customHeight="1">
      <c r="A41" s="236" t="inlineStr">
        <is>
          <t>Ratio</t>
        </is>
      </c>
      <c r="B41" s="236" t="inlineStr">
        <is>
          <t>Value</t>
        </is>
      </c>
      <c r="C41" s="236" t="inlineStr">
        <is>
          <t>Benchmark</t>
        </is>
      </c>
      <c r="D41" s="236" t="inlineStr">
        <is>
          <t>Verdict</t>
        </is>
      </c>
      <c r="E41" s="236" t="inlineStr"/>
      <c r="F41" s="236" t="inlineStr"/>
      <c r="G41" s="236" t="inlineStr"/>
      <c r="H41" s="236" t="inlineStr">
        <is>
          <t>Note</t>
        </is>
      </c>
    </row>
    <row r="42">
      <c r="A42" t="inlineStr">
        <is>
          <t>Savings rate achieved</t>
        </is>
      </c>
      <c r="B42" s="50">
        <f>IF(B8=0,0,(B32+B33)/B8)</f>
        <v>0.0836904666</v>
      </c>
      <c r="C42" s="50">
        <f>'FX &amp; Assumptions'!B30</f>
        <v>0.2</v>
      </c>
      <c r="D42" s="295" t="str">
        <f>IF(B42&gt;=C42,"ON TARGET","BELOW TARGET")</f>
        <v>BELOW TARGET</v>
      </c>
      <c r="H42" s="239" t="inlineStr">
        <is>
          <t>Investing plus emergency-fund top-ups as a share of net income, against the target lever.</t>
        </is>
      </c>
    </row>
    <row r="43">
      <c r="A43" t="inlineStr">
        <is>
          <t>Essential ratio</t>
        </is>
      </c>
      <c r="B43" s="50">
        <f>IF(B8=0,0,B17/B8)</f>
        <v>0.8142734529</v>
      </c>
      <c r="C43" s="296" t="n">
        <v>0.5</v>
      </c>
      <c r="D43" s="295" t="str">
        <f>IF(B43&lt;=C43,"OK","HIGH")</f>
        <v>HIGH</v>
      </c>
      <c r="H43" s="239" t="inlineStr">
        <is>
          <t>Essentials above half of net income leaves almost no room to build wealth. Rent accrual is the dominant term.</t>
        </is>
      </c>
    </row>
    <row r="44">
      <c r="A44" t="inlineStr">
        <is>
          <t>Lifestyle ratio</t>
        </is>
      </c>
      <c r="B44" s="50">
        <f>IF(B8=0,0,B27/B8)</f>
        <v>0.0473791138</v>
      </c>
      <c r="C44" s="296" t="n">
        <v>0.15</v>
      </c>
      <c r="D44" s="295" t="str">
        <f>IF(B44&lt;=C44,"OK","HIGH")</f>
        <v>OK</v>
      </c>
      <c r="H44" s="239" t="inlineStr">
        <is>
          <t>Discretionary spending as a share of net income.</t>
        </is>
      </c>
    </row>
    <row r="45">
      <c r="A45" t="inlineStr">
        <is>
          <t>Run-rate lifestyle ratio (actual)</t>
        </is>
      </c>
      <c r="B45" s="50">
        <f>IF(B8=0,0,D27/B8)</f>
        <v>0.4863450856</v>
      </c>
      <c r="C45" s="296" t="n">
        <v>0.15</v>
      </c>
      <c r="D45" s="295" t="str">
        <f>IF(B45&lt;=C45,"OK","HIGH")</f>
        <v>HIGH</v>
      </c>
      <c r="H45" s="239" t="inlineStr">
        <is>
          <t>The same ratio measured on what the ledger actually shows, not on the plan. This is the honest number.</t>
        </is>
      </c>
    </row>
    <row r="47" ht="40" customHeight="1">
      <c r="A47" s="292" t="inlineStr">
        <is>
          <t>How to use this sheet: fix column B once a month, then let column C fill itself from the ledger. The only line that must never be cut is the rent accrual — everything else is negotiable, and the Budget only balances once the negotiation actually happens.</t>
        </is>
      </c>
    </row>
  </sheetData>
  <mergeCells count="9">
    <mergeCell ref="A3:H3"/>
    <mergeCell ref="A29:H29"/>
    <mergeCell ref="A10:H10"/>
    <mergeCell ref="A19:H19"/>
    <mergeCell ref="A36:H36"/>
    <mergeCell ref="A47:H47"/>
    <mergeCell ref="A5:H5"/>
    <mergeCell ref="A1:H2"/>
    <mergeCell ref="A40:H40"/>
  </mergeCells>
  <pageMargins left="0.75" right="0.75" top="1" bottom="1" header="0.5" footer="0.5"/>
</worksheet>
</file>

<file path=xl/worksheets/sheet6.xml><?xml version="1.0" encoding="utf-8"?>
<worksheet xmlns="http://schemas.openxmlformats.org/spreadsheetml/2006/main">
  <sheetPr>
    <tabColor rgb="FF0E7C66"/>
    <outlinePr summaryBelow="1" summaryRight="1"/>
    <pageSetUpPr/>
  </sheetPr>
  <dimension ref="A1:G45"/>
  <sheetViews>
    <sheetView showGridLines="0" workbookViewId="0">
      <selection activeCell="A1" sqref="A1"/>
    </sheetView>
  </sheetViews>
  <sheetFormatPr baseColWidth="8" defaultRowHeight="15"/>
  <cols>
    <col width="30" customWidth="1" min="1" max="1"/>
    <col width="17" customWidth="1" min="2" max="2"/>
    <col width="13" customWidth="1" min="3" max="3"/>
    <col width="17" customWidth="1" min="4" max="4"/>
    <col width="17" customWidth="1" min="5" max="5"/>
    <col width="15" customWidth="1" min="6" max="6"/>
    <col width="52" customWidth="1" min="7" max="7"/>
  </cols>
  <sheetData>
    <row r="1" ht="29" customHeight="1">
      <c r="A1" s="3" t="inlineStr">
        <is>
          <t>Where the Money Actually Went</t>
        </is>
      </c>
    </row>
    <row r="2" ht="29" customHeight="1"/>
    <row r="3" ht="30" customHeight="1">
      <c r="A3" s="286" t="inlineStr">
        <is>
          <t>Built entirely from the confirmed ledger, 3–25 Aug 2026. Transfers between own accounts, salary credits and fully refunded charges are excluded, so nothing is counted twice and nothing is counted that never left.</t>
        </is>
      </c>
    </row>
    <row r="5" ht="23" customHeight="1">
      <c r="A5" s="9" t="inlineStr">
        <is>
          <t>SPENDING BY CATEGORY</t>
        </is>
      </c>
    </row>
    <row r="6" ht="23" customHeight="1">
      <c r="A6" s="236" t="inlineStr">
        <is>
          <t>Category</t>
        </is>
      </c>
      <c r="B6" s="236" t="inlineStr">
        <is>
          <t>Total</t>
        </is>
      </c>
      <c r="C6" s="236" t="inlineStr">
        <is>
          <t>Share</t>
        </is>
      </c>
      <c r="D6" s="236" t="inlineStr">
        <is>
          <t>Personal</t>
        </is>
      </c>
      <c r="E6" s="236" t="inlineStr">
        <is>
          <t>Household</t>
        </is>
      </c>
      <c r="F6" s="236" t="inlineStr">
        <is>
          <t>Per day</t>
        </is>
      </c>
      <c r="G6" s="236" t="inlineStr">
        <is>
          <t>Read</t>
        </is>
      </c>
    </row>
    <row r="7">
      <c r="A7" t="inlineStr">
        <is>
          <t>Travel</t>
        </is>
      </c>
      <c r="B7" s="240">
        <f>SUMIFS('Recent Ledger'!$D$6:$D$101,'Recent Ledger'!$I$6:$I$101,$A7,'Recent Ledger'!$J$6:$J$101,1)</f>
        <v>1430.0</v>
      </c>
      <c r="C7" s="50">
        <f>IF($B$17=0,0,B7/$B$17)</f>
        <v>0.3144605682</v>
      </c>
      <c r="D7" s="240">
        <f>SUMIFS('Recent Ledger'!$D$6:$D$101,'Recent Ledger'!$I$6:$I$101,$A7,'Recent Ledger'!$J$6:$J$101,1,'Recent Ledger'!$K$6:$K$101,"Personal")</f>
        <v>0.0</v>
      </c>
      <c r="E7" s="240">
        <f>SUMIFS('Recent Ledger'!$D$6:$D$101,'Recent Ledger'!$I$6:$I$101,$A7,'Recent Ledger'!$J$6:$J$101,1,'Recent Ledger'!$K$6:$K$101,"Household")</f>
        <v>1430.0</v>
      </c>
      <c r="F7" s="240">
        <f>IF('FX &amp; Assumptions'!$B$39=0,0,B7/'FX &amp; Assumptions'!$B$39)</f>
        <v>62.1739130435</v>
      </c>
      <c r="G7" s="239" t="inlineStr">
        <is>
          <t>One Emirates ticket with a refund pending. Strip it out and the underlying burn rate is far lower — but the cash still left the account.</t>
        </is>
      </c>
    </row>
    <row r="8">
      <c r="A8" t="inlineStr">
        <is>
          <t>Utilities &amp; Telecom</t>
        </is>
      </c>
      <c r="B8" s="240">
        <f>SUMIFS('Recent Ledger'!$D$6:$D$101,'Recent Ledger'!$I$6:$I$101,$A8,'Recent Ledger'!$J$6:$J$101,1)</f>
        <v>914.93</v>
      </c>
      <c r="C8" s="50">
        <f>IF($B$17=0,0,B8/$B$17)</f>
        <v>0.20119539</v>
      </c>
      <c r="D8" s="240">
        <f>SUMIFS('Recent Ledger'!$D$6:$D$101,'Recent Ledger'!$I$6:$I$101,$A8,'Recent Ledger'!$J$6:$J$101,1,'Recent Ledger'!$K$6:$K$101,"Personal")</f>
        <v>0.0</v>
      </c>
      <c r="E8" s="240">
        <f>SUMIFS('Recent Ledger'!$D$6:$D$101,'Recent Ledger'!$I$6:$I$101,$A8,'Recent Ledger'!$J$6:$J$101,1,'Recent Ledger'!$K$6:$K$101,"Household")</f>
        <v>914.93</v>
      </c>
      <c r="F8" s="240">
        <f>IF('FX &amp; Assumptions'!$B$39=0,0,B8/'FX &amp; Assumptions'!$B$39)</f>
        <v>39.7795652174</v>
      </c>
      <c r="G8" s="239" t="inlineStr">
        <is>
          <t>A single DubaiPay payment covering du and Etisalat. Two telecom contracts for one person is a standing, cancellable cost.</t>
        </is>
      </c>
    </row>
    <row r="9">
      <c r="A9" t="inlineStr">
        <is>
          <t>Dining</t>
        </is>
      </c>
      <c r="B9" s="240">
        <f>SUMIFS('Recent Ledger'!$D$6:$D$101,'Recent Ledger'!$I$6:$I$101,$A9,'Recent Ledger'!$J$6:$J$101,1)</f>
        <v>785.28</v>
      </c>
      <c r="C9" s="50">
        <f>IF($B$17=0,0,B9/$B$17)</f>
        <v>0.1726850315</v>
      </c>
      <c r="D9" s="240">
        <f>SUMIFS('Recent Ledger'!$D$6:$D$101,'Recent Ledger'!$I$6:$I$101,$A9,'Recent Ledger'!$J$6:$J$101,1,'Recent Ledger'!$K$6:$K$101,"Personal")</f>
        <v>478.76</v>
      </c>
      <c r="E9" s="240">
        <f>SUMIFS('Recent Ledger'!$D$6:$D$101,'Recent Ledger'!$I$6:$I$101,$A9,'Recent Ledger'!$J$6:$J$101,1,'Recent Ledger'!$K$6:$K$101,"Household")</f>
        <v>306.52</v>
      </c>
      <c r="F9" s="240">
        <f>IF('FX &amp; Assumptions'!$B$39=0,0,B9/'FX &amp; Assumptions'!$B$39)</f>
        <v>34.1426086957</v>
      </c>
      <c r="G9" s="239" t="inlineStr">
        <is>
          <t>Restaurants, delivery and cafés. The largest genuinely controllable number in the file and the fastest route to closing the September gap.</t>
        </is>
      </c>
    </row>
    <row r="10">
      <c r="A10" t="inlineStr">
        <is>
          <t>Lifestyle &amp; Shopping</t>
        </is>
      </c>
      <c r="B10" s="240">
        <f>SUMIFS('Recent Ledger'!$D$6:$D$101,'Recent Ledger'!$I$6:$I$101,$A10,'Recent Ledger'!$J$6:$J$101,1)</f>
        <v>563.75</v>
      </c>
      <c r="C10" s="50">
        <f>IF($B$17=0,0,B10/$B$17)</f>
        <v>0.1239700317</v>
      </c>
      <c r="D10" s="240">
        <f>SUMIFS('Recent Ledger'!$D$6:$D$101,'Recent Ledger'!$I$6:$I$101,$A10,'Recent Ledger'!$J$6:$J$101,1,'Recent Ledger'!$K$6:$K$101,"Personal")</f>
        <v>563.75</v>
      </c>
      <c r="E10" s="240">
        <f>SUMIFS('Recent Ledger'!$D$6:$D$101,'Recent Ledger'!$I$6:$I$101,$A10,'Recent Ledger'!$J$6:$J$101,1,'Recent Ledger'!$K$6:$K$101,"Household")</f>
        <v>0.0</v>
      </c>
      <c r="F10" s="240">
        <f>IF('FX &amp; Assumptions'!$B$39=0,0,B10/'FX &amp; Assumptions'!$B$39)</f>
        <v>24.5108695652</v>
      </c>
      <c r="G10" s="239" t="inlineStr">
        <is>
          <t>Convenience stores and hotel bills. Small tickets, high frequency.</t>
        </is>
      </c>
    </row>
    <row r="11">
      <c r="A11" t="inlineStr">
        <is>
          <t>Fuel &amp; Transport</t>
        </is>
      </c>
      <c r="B11" s="240">
        <f>SUMIFS('Recent Ledger'!$D$6:$D$101,'Recent Ledger'!$I$6:$I$101,$A11,'Recent Ledger'!$J$6:$J$101,1)</f>
        <v>300.52</v>
      </c>
      <c r="C11" s="50">
        <f>IF($B$17=0,0,B11/$B$17)</f>
        <v>0.0660850979</v>
      </c>
      <c r="D11" s="240">
        <f>SUMIFS('Recent Ledger'!$D$6:$D$101,'Recent Ledger'!$I$6:$I$101,$A11,'Recent Ledger'!$J$6:$J$101,1,'Recent Ledger'!$K$6:$K$101,"Personal")</f>
        <v>180.52</v>
      </c>
      <c r="E11" s="240">
        <f>SUMIFS('Recent Ledger'!$D$6:$D$101,'Recent Ledger'!$I$6:$I$101,$A11,'Recent Ledger'!$J$6:$J$101,1,'Recent Ledger'!$K$6:$K$101,"Household")</f>
        <v>120.0</v>
      </c>
      <c r="F11" s="240">
        <f>IF('FX &amp; Assumptions'!$B$39=0,0,B11/'FX &amp; Assumptions'!$B$39)</f>
        <v>13.0660869565</v>
      </c>
      <c r="G11" s="239" t="inlineStr">
        <is>
          <t>Fuel and Metro. Work-essential; cut this last.</t>
        </is>
      </c>
    </row>
    <row r="12">
      <c r="A12" t="inlineStr">
        <is>
          <t>Groceries</t>
        </is>
      </c>
      <c r="B12" s="240">
        <f>SUMIFS('Recent Ledger'!$D$6:$D$101,'Recent Ledger'!$I$6:$I$101,$A12,'Recent Ledger'!$J$6:$J$101,1)</f>
        <v>280.53</v>
      </c>
      <c r="C12" s="50">
        <f>IF($B$17=0,0,B12/$B$17)</f>
        <v>0.061689247</v>
      </c>
      <c r="D12" s="240">
        <f>SUMIFS('Recent Ledger'!$D$6:$D$101,'Recent Ledger'!$I$6:$I$101,$A12,'Recent Ledger'!$J$6:$J$101,1,'Recent Ledger'!$K$6:$K$101,"Personal")</f>
        <v>181.78</v>
      </c>
      <c r="E12" s="240">
        <f>SUMIFS('Recent Ledger'!$D$6:$D$101,'Recent Ledger'!$I$6:$I$101,$A12,'Recent Ledger'!$J$6:$J$101,1,'Recent Ledger'!$K$6:$K$101,"Household")</f>
        <v>98.75</v>
      </c>
      <c r="F12" s="240">
        <f>IF('FX &amp; Assumptions'!$B$39=0,0,B12/'FX &amp; Assumptions'!$B$39)</f>
        <v>12.1969565217</v>
      </c>
      <c r="G12" s="239" t="inlineStr">
        <is>
          <t>Many small top-up trips rather than one weekly shop, which reliably costs more.</t>
        </is>
      </c>
    </row>
    <row r="13">
      <c r="A13" t="inlineStr">
        <is>
          <t>Family &amp; Support</t>
        </is>
      </c>
      <c r="B13" s="240">
        <f>SUMIFS('Recent Ledger'!$D$6:$D$101,'Recent Ledger'!$I$6:$I$101,$A13,'Recent Ledger'!$J$6:$J$101,1)</f>
        <v>142.97</v>
      </c>
      <c r="C13" s="50">
        <f>IF($B$17=0,0,B13/$B$17)</f>
        <v>0.0314394597</v>
      </c>
      <c r="D13" s="240">
        <f>SUMIFS('Recent Ledger'!$D$6:$D$101,'Recent Ledger'!$I$6:$I$101,$A13,'Recent Ledger'!$J$6:$J$101,1,'Recent Ledger'!$K$6:$K$101,"Personal")</f>
        <v>0.0</v>
      </c>
      <c r="E13" s="240">
        <f>SUMIFS('Recent Ledger'!$D$6:$D$101,'Recent Ledger'!$I$6:$I$101,$A13,'Recent Ledger'!$J$6:$J$101,1,'Recent Ledger'!$K$6:$K$101,"Household")</f>
        <v>142.97</v>
      </c>
      <c r="F13" s="240">
        <f>IF('FX &amp; Assumptions'!$B$39=0,0,B13/'FX &amp; Assumptions'!$B$39)</f>
        <v>6.2160869565</v>
      </c>
      <c r="G13" s="239" t="inlineStr">
        <is>
          <t>Medical support transfer. The duplicate was refunded and is excluded.</t>
        </is>
      </c>
    </row>
    <row r="14">
      <c r="A14" t="inlineStr">
        <is>
          <t>Grooming</t>
        </is>
      </c>
      <c r="B14" s="240">
        <f>SUMIFS('Recent Ledger'!$D$6:$D$101,'Recent Ledger'!$I$6:$I$101,$A14,'Recent Ledger'!$J$6:$J$101,1)</f>
        <v>65.0</v>
      </c>
      <c r="C14" s="50">
        <f>IF($B$17=0,0,B14/$B$17)</f>
        <v>0.0142936622</v>
      </c>
      <c r="D14" s="240">
        <f>SUMIFS('Recent Ledger'!$D$6:$D$101,'Recent Ledger'!$I$6:$I$101,$A14,'Recent Ledger'!$J$6:$J$101,1,'Recent Ledger'!$K$6:$K$101,"Personal")</f>
        <v>65.0</v>
      </c>
      <c r="E14" s="240">
        <f>SUMIFS('Recent Ledger'!$D$6:$D$101,'Recent Ledger'!$I$6:$I$101,$A14,'Recent Ledger'!$J$6:$J$101,1,'Recent Ledger'!$K$6:$K$101,"Household")</f>
        <v>0.0</v>
      </c>
      <c r="F14" s="240">
        <f>IF('FX &amp; Assumptions'!$B$39=0,0,B14/'FX &amp; Assumptions'!$B$39)</f>
        <v>2.8260869565</v>
      </c>
      <c r="G14" s="239" t="inlineStr">
        <is>
          <t>One barber visit.</t>
        </is>
      </c>
    </row>
    <row r="15">
      <c r="A15" t="inlineStr">
        <is>
          <t>Unreconciled</t>
        </is>
      </c>
      <c r="B15" s="240">
        <f>SUMIFS('Recent Ledger'!$D$6:$D$101,'Recent Ledger'!$I$6:$I$101,$A15,'Recent Ledger'!$J$6:$J$101,1)</f>
        <v>64.0</v>
      </c>
      <c r="C15" s="50">
        <f>IF($B$17=0,0,B15/$B$17)</f>
        <v>0.0140737597</v>
      </c>
      <c r="D15" s="240">
        <f>SUMIFS('Recent Ledger'!$D$6:$D$101,'Recent Ledger'!$I$6:$I$101,$A15,'Recent Ledger'!$J$6:$J$101,1,'Recent Ledger'!$K$6:$K$101,"Personal")</f>
        <v>0.0</v>
      </c>
      <c r="E15" s="240">
        <f>SUMIFS('Recent Ledger'!$D$6:$D$101,'Recent Ledger'!$I$6:$I$101,$A15,'Recent Ledger'!$J$6:$J$101,1,'Recent Ledger'!$K$6:$K$101,"Household")</f>
        <v>64.0</v>
      </c>
      <c r="F15" s="240">
        <f>IF('FX &amp; Assumptions'!$B$39=0,0,B15/'FX &amp; Assumptions'!$B$39)</f>
        <v>2.7826086957</v>
      </c>
      <c r="G15" s="239" t="inlineStr">
        <is>
          <t>Movements proven by the balance trail but with no confirmed merchant, plus one outbound transfer to an untracked account. Target: zero.</t>
        </is>
      </c>
    </row>
    <row r="16">
      <c r="A16" t="inlineStr">
        <is>
          <t>Bank Fees</t>
        </is>
      </c>
      <c r="B16" s="240">
        <f>SUMIFS('Recent Ledger'!$D$6:$D$101,'Recent Ledger'!$I$6:$I$101,$A16,'Recent Ledger'!$J$6:$J$101,1)</f>
        <v>0.49</v>
      </c>
      <c r="C16" s="50">
        <f>IF($B$17=0,0,B16/$B$17)</f>
        <v>0.0001077522</v>
      </c>
      <c r="D16" s="240">
        <f>SUMIFS('Recent Ledger'!$D$6:$D$101,'Recent Ledger'!$I$6:$I$101,$A16,'Recent Ledger'!$J$6:$J$101,1,'Recent Ledger'!$K$6:$K$101,"Personal")</f>
        <v>0.49</v>
      </c>
      <c r="E16" s="240">
        <f>SUMIFS('Recent Ledger'!$D$6:$D$101,'Recent Ledger'!$I$6:$I$101,$A16,'Recent Ledger'!$J$6:$J$101,1,'Recent Ledger'!$K$6:$K$101,"Household")</f>
        <v>0.0</v>
      </c>
      <c r="F16" s="240">
        <f>IF('FX &amp; Assumptions'!$B$39=0,0,B16/'FX &amp; Assumptions'!$B$39)</f>
        <v>0.0213043478</v>
      </c>
      <c r="G16" s="239" t="inlineStr">
        <is>
          <t>Transfer fee. Small, but pure leakage.</t>
        </is>
      </c>
    </row>
    <row r="17">
      <c r="A17" s="10" t="inlineStr">
        <is>
          <t>TOTAL CONFIRMED SPENDING</t>
        </is>
      </c>
      <c r="B17" s="241">
        <f>SUM(B7:B16)</f>
        <v>4547.47</v>
      </c>
      <c r="C17" s="294">
        <f>IF(B17=0,0,B17/B17)</f>
        <v>1.0</v>
      </c>
      <c r="D17" s="241">
        <f>SUM(D7:D16)</f>
        <v>1470.3</v>
      </c>
      <c r="E17" s="241">
        <f>SUM(E7:E16)</f>
        <v>3077.17</v>
      </c>
      <c r="F17" s="241">
        <f>IF('FX &amp; Assumptions'!$B$39=0,0,B17/'FX &amp; Assumptions'!$B$39)</f>
        <v>197.7160869565</v>
      </c>
      <c r="G17" s="236" t="inlineStr">
        <is>
          <t>Cross-check: this total must equal the sum of the 1-flagged rows in the ledger. The Checks sheet proves it.</t>
        </is>
      </c>
    </row>
    <row r="19" ht="23" customHeight="1">
      <c r="A19" s="9" t="inlineStr">
        <is>
          <t>TOP MERCHANTS BY VALUE</t>
        </is>
      </c>
    </row>
    <row r="20" ht="23" customHeight="1">
      <c r="A20" s="236" t="inlineStr">
        <is>
          <t>Merchant</t>
        </is>
      </c>
      <c r="B20" s="236" t="inlineStr">
        <is>
          <t>Total</t>
        </is>
      </c>
      <c r="C20" s="236" t="inlineStr">
        <is>
          <t>Share of spend</t>
        </is>
      </c>
      <c r="D20" s="236" t="inlineStr">
        <is>
          <t>Times seen</t>
        </is>
      </c>
      <c r="E20" s="236" t="inlineStr">
        <is>
          <t>Average ticket</t>
        </is>
      </c>
      <c r="F20" s="236" t="inlineStr">
        <is>
          <t>Per day</t>
        </is>
      </c>
      <c r="G20" s="236" t="inlineStr">
        <is>
          <t>Read</t>
        </is>
      </c>
    </row>
    <row r="21">
      <c r="A21" t="inlineStr">
        <is>
          <t>Emirates ticket</t>
        </is>
      </c>
      <c r="B21" s="240">
        <f>SUMIFS('Recent Ledger'!$D$6:$D$101,'Recent Ledger'!$C$6:$C$101,$A21,'Recent Ledger'!$J$6:$J$101,1)</f>
        <v>1430.0</v>
      </c>
      <c r="C21" s="50">
        <f>IF($B$17=0,0,B21/$B$17)</f>
        <v>0.3144605682</v>
      </c>
      <c r="D21" s="54">
        <f>COUNTIFS('Recent Ledger'!$C$6:$C$101,$A21,'Recent Ledger'!$J$6:$J$101,1)</f>
        <v>1.0</v>
      </c>
      <c r="E21" s="240">
        <f>IF(D21=0,0,B21/D21)</f>
        <v>1430.0</v>
      </c>
      <c r="F21" s="240">
        <f>IF('FX &amp; Assumptions'!$B$39=0,0,B21/'FX &amp; Assumptions'!$B$39)</f>
        <v>62.1739130435</v>
      </c>
      <c r="G21" s="239" t="inlineStr">
        <is>
          <t>Single largest line in the ledger; refund pending.</t>
        </is>
      </c>
    </row>
    <row r="22">
      <c r="A22" t="inlineStr">
        <is>
          <t>du + Etisalat via DubaiPay</t>
        </is>
      </c>
      <c r="B22" s="240">
        <f>SUMIFS('Recent Ledger'!$D$6:$D$101,'Recent Ledger'!$C$6:$C$101,$A22,'Recent Ledger'!$J$6:$J$101,1)</f>
        <v>914.93</v>
      </c>
      <c r="C22" s="50">
        <f>IF($B$17=0,0,B22/$B$17)</f>
        <v>0.20119539</v>
      </c>
      <c r="D22" s="54">
        <f>COUNTIFS('Recent Ledger'!$C$6:$C$101,$A22,'Recent Ledger'!$J$6:$J$101,1)</f>
        <v>1.0</v>
      </c>
      <c r="E22" s="240">
        <f>IF(D22=0,0,B22/D22)</f>
        <v>914.93</v>
      </c>
      <c r="F22" s="240">
        <f>IF('FX &amp; Assumptions'!$B$39=0,0,B22/'FX &amp; Assumptions'!$B$39)</f>
        <v>39.7795652174</v>
      </c>
      <c r="G22" s="239" t="inlineStr">
        <is>
          <t>One payment, two contracts. Consolidating to one line is a permanent saving.</t>
        </is>
      </c>
    </row>
    <row r="23">
      <c r="A23" t="inlineStr">
        <is>
          <t>RTS Business Bay Hotel</t>
        </is>
      </c>
      <c r="B23" s="240">
        <f>SUMIFS('Recent Ledger'!$D$6:$D$101,'Recent Ledger'!$C$6:$C$101,$A23,'Recent Ledger'!$J$6:$J$101,1)</f>
        <v>386.75</v>
      </c>
      <c r="C23" s="50">
        <f>IF($B$17=0,0,B23/$B$17)</f>
        <v>0.08504729</v>
      </c>
      <c r="D23" s="54">
        <f>COUNTIFS('Recent Ledger'!$C$6:$C$101,$A23,'Recent Ledger'!$J$6:$J$101,1)</f>
        <v>3.0</v>
      </c>
      <c r="E23" s="240">
        <f>IF(D23=0,0,B23/D23)</f>
        <v>128.9166666667</v>
      </c>
      <c r="F23" s="240">
        <f>IF('FX &amp; Assumptions'!$B$39=0,0,B23/'FX &amp; Assumptions'!$B$39)</f>
        <v>16.8152173913</v>
      </c>
      <c r="G23" s="239" t="inlineStr">
        <is>
          <t>Three charges in one day. The kind of spend that only shows up when it is totalled.</t>
        </is>
      </c>
    </row>
    <row r="24">
      <c r="A24" t="inlineStr">
        <is>
          <t>Asas Al Madina General</t>
        </is>
      </c>
      <c r="B24" s="240">
        <f>SUMIFS('Recent Ledger'!$D$6:$D$101,'Recent Ledger'!$C$6:$C$101,$A24,'Recent Ledger'!$J$6:$J$101,1)</f>
        <v>338.3</v>
      </c>
      <c r="C24" s="50">
        <f>IF($B$17=0,0,B24/$B$17)</f>
        <v>0.0743930141</v>
      </c>
      <c r="D24" s="54">
        <f>COUNTIFS('Recent Ledger'!$C$6:$C$101,$A24,'Recent Ledger'!$J$6:$J$101,1)</f>
        <v>20.0</v>
      </c>
      <c r="E24" s="240">
        <f>IF(D24=0,0,B24/D24)</f>
        <v>16.915</v>
      </c>
      <c r="F24" s="240">
        <f>IF('FX &amp; Assumptions'!$B$39=0,0,B24/'FX &amp; Assumptions'!$B$39)</f>
        <v>14.7086956522</v>
      </c>
      <c r="G24" s="239" t="inlineStr">
        <is>
          <t>The most frequent merchant in the file. Small tickets, constant repetition.</t>
        </is>
      </c>
    </row>
    <row r="25">
      <c r="A25" t="inlineStr">
        <is>
          <t>25 Hours F and B</t>
        </is>
      </c>
      <c r="B25" s="240">
        <f>SUMIFS('Recent Ledger'!$D$6:$D$101,'Recent Ledger'!$C$6:$C$101,$A25,'Recent Ledger'!$J$6:$J$101,1)</f>
        <v>163.75</v>
      </c>
      <c r="C25" s="50">
        <f>IF($B$17=0,0,B25/$B$17)</f>
        <v>0.0360090336</v>
      </c>
      <c r="D25" s="54">
        <f>COUNTIFS('Recent Ledger'!$C$6:$C$101,$A25,'Recent Ledger'!$J$6:$J$101,1)</f>
        <v>2.0</v>
      </c>
      <c r="E25" s="240">
        <f>IF(D25=0,0,B25/D25)</f>
        <v>81.875</v>
      </c>
      <c r="F25" s="240">
        <f>IF('FX &amp; Assumptions'!$B$39=0,0,B25/'FX &amp; Assumptions'!$B$39)</f>
        <v>7.1195652174</v>
      </c>
    </row>
    <row r="26">
      <c r="A26" t="inlineStr">
        <is>
          <t>Emarat 1691 Mutina S</t>
        </is>
      </c>
      <c r="B26" s="240">
        <f>SUMIFS('Recent Ledger'!$D$6:$D$101,'Recent Ledger'!$C$6:$C$101,$A26,'Recent Ledger'!$J$6:$J$101,1)</f>
        <v>120.02</v>
      </c>
      <c r="C26" s="50">
        <f>IF($B$17=0,0,B26/$B$17)</f>
        <v>0.0263926975</v>
      </c>
      <c r="D26" s="54">
        <f>COUNTIFS('Recent Ledger'!$C$6:$C$101,$A26,'Recent Ledger'!$J$6:$J$101,1)</f>
        <v>1.0</v>
      </c>
      <c r="E26" s="240">
        <f>IF(D26=0,0,B26/D26)</f>
        <v>120.02</v>
      </c>
      <c r="F26" s="240">
        <f>IF('FX &amp; Assumptions'!$B$39=0,0,B26/'FX &amp; Assumptions'!$B$39)</f>
        <v>5.2182608696</v>
      </c>
    </row>
    <row r="27">
      <c r="A27" t="inlineStr">
        <is>
          <t>Salkara / Team Taste</t>
        </is>
      </c>
      <c r="B27" s="240">
        <f>SUMIFS('Recent Ledger'!$D$6:$D$101,'Recent Ledger'!$C$6:$C$101,$A27,'Recent Ledger'!$J$6:$J$101,1)</f>
        <v>101.5</v>
      </c>
      <c r="C27" s="50">
        <f>IF($B$17=0,0,B27/$B$17)</f>
        <v>0.0223201033</v>
      </c>
      <c r="D27" s="54">
        <f>COUNTIFS('Recent Ledger'!$C$6:$C$101,$A27,'Recent Ledger'!$J$6:$J$101,1)</f>
        <v>1.0</v>
      </c>
      <c r="E27" s="240">
        <f>IF(D27=0,0,B27/D27)</f>
        <v>101.5</v>
      </c>
      <c r="F27" s="240">
        <f>IF('FX &amp; Assumptions'!$B$39=0,0,B27/'FX &amp; Assumptions'!$B$39)</f>
        <v>4.4130434783</v>
      </c>
    </row>
    <row r="28">
      <c r="A28" t="inlineStr">
        <is>
          <t>e&amp; Money medical support</t>
        </is>
      </c>
      <c r="B28" s="240">
        <f>SUMIFS('Recent Ledger'!$D$6:$D$101,'Recent Ledger'!$C$6:$C$101,$A28,'Recent Ledger'!$J$6:$J$101,1)</f>
        <v>100.0</v>
      </c>
      <c r="C28" s="50">
        <f>IF($B$17=0,0,B28/$B$17)</f>
        <v>0.0219902495</v>
      </c>
      <c r="D28" s="54">
        <f>COUNTIFS('Recent Ledger'!$C$6:$C$101,$A28,'Recent Ledger'!$J$6:$J$101,1)</f>
        <v>1.0</v>
      </c>
      <c r="E28" s="240">
        <f>IF(D28=0,0,B28/D28)</f>
        <v>100.0</v>
      </c>
      <c r="F28" s="240">
        <f>IF('FX &amp; Assumptions'!$B$39=0,0,B28/'FX &amp; Assumptions'!$B$39)</f>
        <v>4.347826087</v>
      </c>
    </row>
    <row r="29">
      <c r="A29" t="inlineStr">
        <is>
          <t>Cielo Kabab Restaurant</t>
        </is>
      </c>
      <c r="B29" s="240">
        <f>SUMIFS('Recent Ledger'!$D$6:$D$101,'Recent Ledger'!$C$6:$C$101,$A29,'Recent Ledger'!$J$6:$J$101,1)</f>
        <v>78.0</v>
      </c>
      <c r="C29" s="50">
        <f>IF($B$17=0,0,B29/$B$17)</f>
        <v>0.0171523946</v>
      </c>
      <c r="D29" s="54">
        <f>COUNTIFS('Recent Ledger'!$C$6:$C$101,$A29,'Recent Ledger'!$J$6:$J$101,1)</f>
        <v>1.0</v>
      </c>
      <c r="E29" s="240">
        <f>IF(D29=0,0,B29/D29)</f>
        <v>78.0</v>
      </c>
      <c r="F29" s="240">
        <f>IF('FX &amp; Assumptions'!$B$39=0,0,B29/'FX &amp; Assumptions'!$B$39)</f>
        <v>3.3913043478</v>
      </c>
    </row>
    <row r="30">
      <c r="A30" t="inlineStr">
        <is>
          <t>Zomato</t>
        </is>
      </c>
      <c r="B30" s="240">
        <f>SUMIFS('Recent Ledger'!$D$6:$D$101,'Recent Ledger'!$C$6:$C$101,$A30,'Recent Ledger'!$J$6:$J$101,1)</f>
        <v>66.52</v>
      </c>
      <c r="C30" s="50">
        <f>IF($B$17=0,0,B30/$B$17)</f>
        <v>0.014627914</v>
      </c>
      <c r="D30" s="54">
        <f>COUNTIFS('Recent Ledger'!$C$6:$C$101,$A30,'Recent Ledger'!$J$6:$J$101,1)</f>
        <v>1.0</v>
      </c>
      <c r="E30" s="240">
        <f>IF(D30=0,0,B30/D30)</f>
        <v>66.52</v>
      </c>
      <c r="F30" s="240">
        <f>IF('FX &amp; Assumptions'!$B$39=0,0,B30/'FX &amp; Assumptions'!$B$39)</f>
        <v>2.892173913</v>
      </c>
    </row>
    <row r="31">
      <c r="A31" t="inlineStr">
        <is>
          <t>ISK Gents Saloon</t>
        </is>
      </c>
      <c r="B31" s="240">
        <f>SUMIFS('Recent Ledger'!$D$6:$D$101,'Recent Ledger'!$C$6:$C$101,$A31,'Recent Ledger'!$J$6:$J$101,1)</f>
        <v>65.0</v>
      </c>
      <c r="C31" s="50">
        <f>IF($B$17=0,0,B31/$B$17)</f>
        <v>0.0142936622</v>
      </c>
      <c r="D31" s="54">
        <f>COUNTIFS('Recent Ledger'!$C$6:$C$101,$A31,'Recent Ledger'!$J$6:$J$101,1)</f>
        <v>1.0</v>
      </c>
      <c r="E31" s="240">
        <f>IF(D31=0,0,B31/D31)</f>
        <v>65.0</v>
      </c>
      <c r="F31" s="240">
        <f>IF('FX &amp; Assumptions'!$B$39=0,0,B31/'FX &amp; Assumptions'!$B$39)</f>
        <v>2.8260869565</v>
      </c>
    </row>
    <row r="32">
      <c r="A32" t="inlineStr">
        <is>
          <t>Sahil Zam Zam Mandi</t>
        </is>
      </c>
      <c r="B32" s="240">
        <f>SUMIFS('Recent Ledger'!$D$6:$D$101,'Recent Ledger'!$C$6:$C$101,$A32,'Recent Ledger'!$J$6:$J$101,1)</f>
        <v>52.0</v>
      </c>
      <c r="C32" s="50">
        <f>IF($B$17=0,0,B32/$B$17)</f>
        <v>0.0114349298</v>
      </c>
      <c r="D32" s="54">
        <f>COUNTIFS('Recent Ledger'!$C$6:$C$101,$A32,'Recent Ledger'!$J$6:$J$101,1)</f>
        <v>1.0</v>
      </c>
      <c r="E32" s="240">
        <f>IF(D32=0,0,B32/D32)</f>
        <v>52.0</v>
      </c>
      <c r="F32" s="240">
        <f>IF('FX &amp; Assumptions'!$B$39=0,0,B32/'FX &amp; Assumptions'!$B$39)</f>
        <v>2.2608695652</v>
      </c>
    </row>
    <row r="34" ht="23" customHeight="1">
      <c r="A34" s="9" t="inlineStr">
        <is>
          <t>BURN RATE AND CONTROL</t>
        </is>
      </c>
    </row>
    <row r="35" ht="23" customHeight="1">
      <c r="A35" s="236" t="inlineStr">
        <is>
          <t>Metric</t>
        </is>
      </c>
      <c r="B35" s="236" t="inlineStr">
        <is>
          <t>Value</t>
        </is>
      </c>
      <c r="C35" s="236" t="inlineStr">
        <is>
          <t>Benchmark</t>
        </is>
      </c>
      <c r="D35" s="236" t="inlineStr">
        <is>
          <t>Status</t>
        </is>
      </c>
      <c r="E35" s="236" t="inlineStr"/>
      <c r="F35" s="236" t="inlineStr"/>
      <c r="G35" s="236" t="inlineStr">
        <is>
          <t>Read</t>
        </is>
      </c>
    </row>
    <row r="36">
      <c r="A36" t="inlineStr">
        <is>
          <t>Total spend in the ledger window</t>
        </is>
      </c>
      <c r="B36" s="240">
        <f>B17</f>
        <v>4547.47</v>
      </c>
      <c r="G36" s="239" t="inlineStr">
        <is>
          <t>Everything that genuinely left the accounts between 3 and 25 Aug.</t>
        </is>
      </c>
    </row>
    <row r="37">
      <c r="A37" t="inlineStr">
        <is>
          <t>Spend excluding the refundable ticket</t>
        </is>
      </c>
      <c r="B37" s="240">
        <f>B17-B7</f>
        <v>3117.47</v>
      </c>
      <c r="G37" s="239" t="inlineStr">
        <is>
          <t>The underlying number once the one-off Emirates ticket is set aside.</t>
        </is>
      </c>
    </row>
    <row r="38">
      <c r="A38" t="inlineStr">
        <is>
          <t>Spend excluding ticket and utilities</t>
        </is>
      </c>
      <c r="B38" s="240">
        <f>B17-B7-B8</f>
        <v>2202.54</v>
      </c>
      <c r="G38" s="239" t="inlineStr">
        <is>
          <t>Day-to-day living cost only: food, fuel, shops, grooming.</t>
        </is>
      </c>
    </row>
    <row r="39">
      <c r="A39" t="inlineStr">
        <is>
          <t>Daily burn — day-to-day living</t>
        </is>
      </c>
      <c r="B39" s="240">
        <f>IF('FX &amp; Assumptions'!$B$39=0,0,(B17-B7-B8)/'FX &amp; Assumptions'!$B$39)</f>
        <v>95.7626086957</v>
      </c>
      <c r="C39" s="240">
        <f>'Inputs'!B41/57</f>
        <v>5.0</v>
      </c>
      <c r="D39" s="295" t="str">
        <f>IF(B39&lt;=C39,"WITHIN CAP","ABOVE CAP")</f>
        <v>ABOVE CAP</v>
      </c>
      <c r="G39" s="239" t="inlineStr">
        <is>
          <t>This is the headline finding of the whole sheet. The damage-control plan caps living costs at AED 5 a day; the confirmed ledger shows a multiple of that. The cap is not being kept, and that gap is exactly why the rent cheque is at risk.</t>
        </is>
      </c>
    </row>
    <row r="40">
      <c r="A40" t="inlineStr">
        <is>
          <t>Personal share of spending</t>
        </is>
      </c>
      <c r="B40" s="50">
        <f>IF(B17=0,0,D17/B17)</f>
        <v>0.3233226387</v>
      </c>
      <c r="C40" s="296" t="n">
        <v>0.35</v>
      </c>
      <c r="D40" s="295" t="str">
        <f>IF(B40&lt;=C40,"OK","HIGH")</f>
        <v>OK</v>
      </c>
      <c r="G40" s="239" t="inlineStr">
        <is>
          <t>Personal lifestyle spending against household and work-essential spending.</t>
        </is>
      </c>
    </row>
    <row r="41">
      <c r="A41" t="inlineStr">
        <is>
          <t>Household share of spending</t>
        </is>
      </c>
      <c r="B41" s="50">
        <f>IF(B17=0,0,E17/B17)</f>
        <v>0.6766773613</v>
      </c>
      <c r="C41" s="296" t="n">
        <v>0.65</v>
      </c>
      <c r="G41" s="239" t="inlineStr">
        <is>
          <t>The balance of the split.</t>
        </is>
      </c>
    </row>
    <row r="42">
      <c r="A42" t="inlineStr">
        <is>
          <t>Discretionary share (dining, lifestyle, grooming)</t>
        </is>
      </c>
      <c r="B42" s="50">
        <f>IF(B17=0,0,(B9+B10+B14)/B17)</f>
        <v>0.3109487253</v>
      </c>
      <c r="C42" s="296" t="n">
        <v>0.25</v>
      </c>
      <c r="D42" s="295" t="str">
        <f>IF(B42&lt;=C42,"OK","HIGH")</f>
        <v>HIGH</v>
      </c>
      <c r="G42" s="239" t="inlineStr">
        <is>
          <t>The share of spending that can be cut this week without any structural change.</t>
        </is>
      </c>
    </row>
    <row r="43">
      <c r="A43" t="inlineStr">
        <is>
          <t>Monthly run rate at this pace</t>
        </is>
      </c>
      <c r="B43" s="240">
        <f>B17*'FX &amp; Assumptions'!$B$40</f>
        <v>6018.4776869565</v>
      </c>
      <c r="C43" s="240">
        <f>'FX &amp; Assumptions'!B25</f>
        <v>7914.88</v>
      </c>
      <c r="D43" s="295" t="str">
        <f>IF(B43&lt;=C43,"WITHIN SALARY","ABOVE SALARY")</f>
        <v>WITHIN SALARY</v>
      </c>
      <c r="G43" s="239" t="inlineStr">
        <is>
          <t>The partial ledger scaled to a full month, against net salary. If this reads ABOVE SALARY, the shortfall is structural, not bad luck.</t>
        </is>
      </c>
    </row>
    <row r="45" ht="32" customHeight="1">
      <c r="A45" s="292" t="inlineStr">
        <is>
          <t>Read this sheet before the Budget. The Budget says what should happen; this sheet says what did. Where they disagree, this sheet is right.</t>
        </is>
      </c>
    </row>
  </sheetData>
  <mergeCells count="6">
    <mergeCell ref="A1:G2"/>
    <mergeCell ref="A45:G45"/>
    <mergeCell ref="A3:G3"/>
    <mergeCell ref="A34:G34"/>
    <mergeCell ref="A19:G19"/>
    <mergeCell ref="A5:G5"/>
  </mergeCells>
  <pageMargins left="0.75" right="0.75" top="1" bottom="1" header="0.5" footer="0.5"/>
</worksheet>
</file>

<file path=xl/worksheets/sheet7.xml><?xml version="1.0" encoding="utf-8"?>
<worksheet xmlns="http://schemas.openxmlformats.org/spreadsheetml/2006/main">
  <sheetPr>
    <tabColor rgb="FF0E7C66"/>
    <outlinePr summaryBelow="1" summaryRight="1"/>
    <pageSetUpPr/>
  </sheetPr>
  <dimension ref="A1:K101"/>
  <sheetViews>
    <sheetView showGridLines="0" workbookViewId="0">
      <selection activeCell="A1" sqref="A1"/>
    </sheetView>
  </sheetViews>
  <sheetFormatPr baseColWidth="8" defaultRowHeight="15"/>
  <cols>
    <col width="18" customWidth="1" min="1" max="1"/>
    <col width="14" customWidth="1" min="2" max="2"/>
    <col width="32" customWidth="1" min="3" max="3"/>
    <col width="17" customWidth="1" min="4" max="4"/>
    <col width="24" customWidth="1" min="5" max="5"/>
    <col width="16" customWidth="1" min="6" max="6"/>
    <col width="17" customWidth="1" min="7" max="7"/>
    <col width="36" customWidth="1" min="8" max="8"/>
    <col width="22" customWidth="1" min="9" max="9"/>
    <col width="15" customWidth="1" min="10" max="10"/>
    <col width="15" customWidth="1" min="11" max="11"/>
  </cols>
  <sheetData>
    <row r="1" ht="29" customHeight="1">
      <c r="A1" s="3" t="inlineStr">
        <is>
          <t>Recent Confirmed Ledger</t>
        </is>
      </c>
      <c r="I1" s="1" t="n"/>
      <c r="J1" s="1" t="n"/>
      <c r="K1" s="1" t="n"/>
    </row>
    <row r="2" ht="29" customHeight="1">
      <c r="I2" s="1" t="n"/>
      <c r="J2" s="1" t="n"/>
      <c r="K2" s="1" t="n"/>
    </row>
    <row r="3" ht="30" customHeight="1">
      <c r="A3" s="93" t="inlineStr">
        <is>
          <t>Personal and household transactions are separated; transfers and refunds never count as spending. Columns I to K normalise every line into one budget category, a 1/0 spend flag and a personal/household split so the Budget, Spend Analysis and AI Advisor sheets can total it without any manual sorting.</t>
        </is>
      </c>
      <c r="I3" s="4" t="n"/>
      <c r="J3" s="4" t="n"/>
      <c r="K3" s="4" t="n"/>
    </row>
    <row r="4">
      <c r="A4" s="94" t="n"/>
      <c r="B4" s="94" t="n"/>
      <c r="C4" s="94" t="n"/>
      <c r="D4" s="94" t="n"/>
      <c r="E4" s="94" t="n"/>
      <c r="F4" s="94" t="n"/>
      <c r="G4" s="94" t="n"/>
      <c r="H4" s="94" t="n"/>
    </row>
    <row r="5" ht="23" customHeight="1">
      <c r="A5" s="13" t="inlineStr">
        <is>
          <t>Date/time</t>
        </is>
      </c>
      <c r="B5" s="13" t="inlineStr">
        <is>
          <t>Bank</t>
        </is>
      </c>
      <c r="C5" s="13" t="inlineStr">
        <is>
          <t>Merchant</t>
        </is>
      </c>
      <c r="D5" s="13" t="inlineStr">
        <is>
          <t>Amount</t>
        </is>
      </c>
      <c r="E5" s="13" t="inlineStr">
        <is>
          <t>Category</t>
        </is>
      </c>
      <c r="F5" s="13" t="inlineStr">
        <is>
          <t>Class</t>
        </is>
      </c>
      <c r="G5" s="13" t="inlineStr">
        <is>
          <t>Balance after</t>
        </is>
      </c>
      <c r="H5" s="13" t="inlineStr">
        <is>
          <t>Treatment</t>
        </is>
      </c>
      <c r="I5" s="236" t="inlineStr">
        <is>
          <t>Budget category</t>
        </is>
      </c>
      <c r="J5" s="236" t="inlineStr">
        <is>
          <t>Counts as spend</t>
        </is>
      </c>
      <c r="K5" s="236" t="inlineStr">
        <is>
          <t>Split</t>
        </is>
      </c>
    </row>
    <row r="6">
      <c r="A6" s="260" t="n">
        <v>46237.47222222222</v>
      </c>
      <c r="B6" s="94" t="inlineStr">
        <is>
          <t>FAB</t>
        </is>
      </c>
      <c r="C6" s="94" t="inlineStr">
        <is>
          <t>du + Etisalat via DubaiPay</t>
        </is>
      </c>
      <c r="D6" s="222" t="n">
        <v>914.9299999999999</v>
      </c>
      <c r="E6" s="94" t="inlineStr">
        <is>
          <t>Household utilities</t>
        </is>
      </c>
      <c r="F6" s="94" t="inlineStr">
        <is>
          <t>Household</t>
        </is>
      </c>
      <c r="G6" s="222" t="n">
        <v>2535.86</v>
      </c>
      <c r="H6" s="94" t="inlineStr">
        <is>
          <t>Expense · paid once</t>
        </is>
      </c>
      <c r="I6" t="inlineStr">
        <is>
          <t>Utilities &amp; Telecom</t>
        </is>
      </c>
      <c r="J6" s="54" t="n">
        <v>1</v>
      </c>
      <c r="K6" t="inlineStr">
        <is>
          <t>Household</t>
        </is>
      </c>
    </row>
    <row r="7">
      <c r="A7" s="260" t="n">
        <v>46237.5</v>
      </c>
      <c r="B7" s="94" t="inlineStr">
        <is>
          <t>NBD</t>
        </is>
      </c>
      <c r="C7" s="94" t="inlineStr">
        <is>
          <t>Asas Al Madina General</t>
        </is>
      </c>
      <c r="D7" s="222" t="n">
        <v>14</v>
      </c>
      <c r="E7" s="94" t="inlineStr">
        <is>
          <t>Lifestyle</t>
        </is>
      </c>
      <c r="F7" s="94" t="inlineStr">
        <is>
          <t>Personal</t>
        </is>
      </c>
      <c r="G7" s="222" t="n">
        <v>183.92</v>
      </c>
      <c r="H7" s="94" t="inlineStr">
        <is>
          <t>Expense</t>
        </is>
      </c>
      <c r="I7" t="inlineStr">
        <is>
          <t>Lifestyle &amp; Shopping</t>
        </is>
      </c>
      <c r="J7" s="54" t="n">
        <v>1</v>
      </c>
      <c r="K7" t="inlineStr">
        <is>
          <t>Personal</t>
        </is>
      </c>
    </row>
    <row r="8">
      <c r="A8" s="260" t="n">
        <v>46237.54166666666</v>
      </c>
      <c r="B8" s="94" t="inlineStr">
        <is>
          <t>NBD</t>
        </is>
      </c>
      <c r="C8" s="94" t="inlineStr">
        <is>
          <t>Yas Home General Trading</t>
        </is>
      </c>
      <c r="D8" s="222" t="n">
        <v>22.97</v>
      </c>
      <c r="E8" s="94" t="inlineStr">
        <is>
          <t>Household other</t>
        </is>
      </c>
      <c r="F8" s="94" t="inlineStr">
        <is>
          <t>Household</t>
        </is>
      </c>
      <c r="G8" s="222" t="n">
        <v>160.95</v>
      </c>
      <c r="H8" s="94" t="inlineStr">
        <is>
          <t>Expense</t>
        </is>
      </c>
      <c r="I8" t="inlineStr">
        <is>
          <t>Family &amp; Support</t>
        </is>
      </c>
      <c r="J8" s="54" t="n">
        <v>1</v>
      </c>
      <c r="K8" t="inlineStr">
        <is>
          <t>Household</t>
        </is>
      </c>
    </row>
    <row r="9">
      <c r="A9" s="260" t="n">
        <v>46237.83611111111</v>
      </c>
      <c r="B9" s="94" t="inlineStr">
        <is>
          <t>NBD</t>
        </is>
      </c>
      <c r="C9" s="94" t="inlineStr">
        <is>
          <t>Spicy Falcon Restaurant</t>
        </is>
      </c>
      <c r="D9" s="222" t="n">
        <v>16</v>
      </c>
      <c r="E9" s="94" t="inlineStr">
        <is>
          <t>Food &amp; Dining</t>
        </is>
      </c>
      <c r="F9" s="94" t="inlineStr">
        <is>
          <t>Household</t>
        </is>
      </c>
      <c r="G9" s="222" t="n">
        <v>144.95</v>
      </c>
      <c r="H9" s="94" t="inlineStr">
        <is>
          <t>Expense</t>
        </is>
      </c>
      <c r="I9" t="inlineStr">
        <is>
          <t>Dining</t>
        </is>
      </c>
      <c r="J9" s="54" t="n">
        <v>1</v>
      </c>
      <c r="K9" t="inlineStr">
        <is>
          <t>Household</t>
        </is>
      </c>
    </row>
    <row r="10">
      <c r="A10" s="260" t="n">
        <v>46238.19583333333</v>
      </c>
      <c r="B10" s="94" t="inlineStr">
        <is>
          <t>NBD</t>
        </is>
      </c>
      <c r="C10" s="94" t="inlineStr">
        <is>
          <t>Emarat Nad Al Hamar</t>
        </is>
      </c>
      <c r="D10" s="222" t="n">
        <v>13.5</v>
      </c>
      <c r="E10" s="94" t="inlineStr">
        <is>
          <t>Lifestyle</t>
        </is>
      </c>
      <c r="F10" s="94" t="inlineStr">
        <is>
          <t>Personal</t>
        </is>
      </c>
      <c r="G10" s="222" t="n">
        <v>131.45</v>
      </c>
      <c r="H10" s="94" t="inlineStr">
        <is>
          <t>Expense</t>
        </is>
      </c>
      <c r="I10" t="inlineStr">
        <is>
          <t>Lifestyle &amp; Shopping</t>
        </is>
      </c>
      <c r="J10" s="54" t="n">
        <v>1</v>
      </c>
      <c r="K10" t="inlineStr">
        <is>
          <t>Personal</t>
        </is>
      </c>
    </row>
    <row r="11">
      <c r="A11" s="260" t="n">
        <v>46238.20833333334</v>
      </c>
      <c r="B11" s="94" t="inlineStr">
        <is>
          <t>Tabby Cash</t>
        </is>
      </c>
      <c r="C11" s="94" t="inlineStr">
        <is>
          <t>Nad Al Hamar Star Grocery</t>
        </is>
      </c>
      <c r="D11" s="222" t="n">
        <v>2</v>
      </c>
      <c r="E11" s="94" t="inlineStr">
        <is>
          <t>Lifestyle</t>
        </is>
      </c>
      <c r="F11" s="94" t="inlineStr">
        <is>
          <t>Personal</t>
        </is>
      </c>
      <c r="G11" s="222" t="n">
        <v>0.89</v>
      </c>
      <c r="H11" s="94" t="inlineStr">
        <is>
          <t>Wallet expense; not Card debt</t>
        </is>
      </c>
      <c r="I11" t="inlineStr">
        <is>
          <t>Lifestyle &amp; Shopping</t>
        </is>
      </c>
      <c r="J11" s="54" t="n">
        <v>1</v>
      </c>
      <c r="K11" t="inlineStr">
        <is>
          <t>Personal</t>
        </is>
      </c>
    </row>
    <row r="12">
      <c r="A12" s="260" t="n">
        <v>46238.33333333334</v>
      </c>
      <c r="B12" s="94" t="inlineStr">
        <is>
          <t>NBD</t>
        </is>
      </c>
      <c r="C12" s="94" t="inlineStr">
        <is>
          <t>Asas Al Madina General</t>
        </is>
      </c>
      <c r="D12" s="222" t="n">
        <v>24.5</v>
      </c>
      <c r="E12" s="94" t="inlineStr">
        <is>
          <t>Groceries</t>
        </is>
      </c>
      <c r="F12" s="94" t="inlineStr">
        <is>
          <t>Household</t>
        </is>
      </c>
      <c r="G12" s="222" t="n">
        <v>106.95</v>
      </c>
      <c r="H12" s="94" t="inlineStr">
        <is>
          <t>Expense</t>
        </is>
      </c>
      <c r="I12" t="inlineStr">
        <is>
          <t>Groceries</t>
        </is>
      </c>
      <c r="J12" s="54" t="n">
        <v>1</v>
      </c>
      <c r="K12" t="inlineStr">
        <is>
          <t>Household</t>
        </is>
      </c>
    </row>
    <row r="13">
      <c r="A13" s="260" t="n">
        <v>46239.325</v>
      </c>
      <c r="B13" s="94" t="inlineStr">
        <is>
          <t>NBD</t>
        </is>
      </c>
      <c r="C13" s="94" t="inlineStr">
        <is>
          <t>Reel Entertainment</t>
        </is>
      </c>
      <c r="D13" s="222" t="n">
        <v>20</v>
      </c>
      <c r="E13" s="94" t="inlineStr">
        <is>
          <t>Household other</t>
        </is>
      </c>
      <c r="F13" s="94" t="inlineStr">
        <is>
          <t>Household</t>
        </is>
      </c>
      <c r="G13" s="222" t="n">
        <v>86.95</v>
      </c>
      <c r="H13" s="94" t="inlineStr">
        <is>
          <t>Expense</t>
        </is>
      </c>
      <c r="I13" t="inlineStr">
        <is>
          <t>Family &amp; Support</t>
        </is>
      </c>
      <c r="J13" s="54" t="n">
        <v>1</v>
      </c>
      <c r="K13" t="inlineStr">
        <is>
          <t>Household</t>
        </is>
      </c>
    </row>
    <row r="14">
      <c r="A14" s="260" t="n">
        <v>46239.44861111111</v>
      </c>
      <c r="B14" s="94" t="inlineStr">
        <is>
          <t>NBD</t>
        </is>
      </c>
      <c r="C14" s="94" t="inlineStr">
        <is>
          <t>HNS Restaurant and Cafe</t>
        </is>
      </c>
      <c r="D14" s="222" t="n">
        <v>10</v>
      </c>
      <c r="E14" s="94" t="inlineStr">
        <is>
          <t>Food &amp; Dining</t>
        </is>
      </c>
      <c r="F14" s="94" t="inlineStr">
        <is>
          <t>Household</t>
        </is>
      </c>
      <c r="G14" s="222" t="n">
        <v>76.95</v>
      </c>
      <c r="H14" s="94" t="inlineStr">
        <is>
          <t>Expense</t>
        </is>
      </c>
      <c r="I14" t="inlineStr">
        <is>
          <t>Dining</t>
        </is>
      </c>
      <c r="J14" s="54" t="n">
        <v>1</v>
      </c>
      <c r="K14" t="inlineStr">
        <is>
          <t>Household</t>
        </is>
      </c>
    </row>
    <row r="15">
      <c r="A15" s="260" t="n">
        <v>46239.44930555556</v>
      </c>
      <c r="B15" s="94" t="inlineStr">
        <is>
          <t>NBD</t>
        </is>
      </c>
      <c r="C15" s="94" t="inlineStr">
        <is>
          <t>Burger King Dubai Mall</t>
        </is>
      </c>
      <c r="D15" s="222" t="n">
        <v>10</v>
      </c>
      <c r="E15" s="94" t="inlineStr">
        <is>
          <t>Food &amp; Dining</t>
        </is>
      </c>
      <c r="F15" s="94" t="inlineStr">
        <is>
          <t>Household</t>
        </is>
      </c>
      <c r="G15" s="222" t="n">
        <v>66.95</v>
      </c>
      <c r="H15" s="94" t="inlineStr">
        <is>
          <t>Expense</t>
        </is>
      </c>
      <c r="I15" t="inlineStr">
        <is>
          <t>Dining</t>
        </is>
      </c>
      <c r="J15" s="54" t="n">
        <v>1</v>
      </c>
      <c r="K15" t="inlineStr">
        <is>
          <t>Household</t>
        </is>
      </c>
    </row>
    <row r="16">
      <c r="A16" s="260" t="n">
        <v>46239.45</v>
      </c>
      <c r="B16" s="94" t="inlineStr">
        <is>
          <t>NBD</t>
        </is>
      </c>
      <c r="C16" s="94" t="inlineStr">
        <is>
          <t>Texas Dubai Mall</t>
        </is>
      </c>
      <c r="D16" s="222" t="n">
        <v>10</v>
      </c>
      <c r="E16" s="94" t="inlineStr">
        <is>
          <t>Food &amp; Dining</t>
        </is>
      </c>
      <c r="F16" s="94" t="inlineStr">
        <is>
          <t>Household</t>
        </is>
      </c>
      <c r="G16" s="222" t="n">
        <v>56.95</v>
      </c>
      <c r="H16" s="94" t="inlineStr">
        <is>
          <t>Expense</t>
        </is>
      </c>
      <c r="I16" t="inlineStr">
        <is>
          <t>Dining</t>
        </is>
      </c>
      <c r="J16" s="54" t="n">
        <v>1</v>
      </c>
      <c r="K16" t="inlineStr">
        <is>
          <t>Household</t>
        </is>
      </c>
    </row>
    <row r="17">
      <c r="A17" s="260" t="n">
        <v>46239.64027777778</v>
      </c>
      <c r="B17" s="94" t="inlineStr">
        <is>
          <t>NBD</t>
        </is>
      </c>
      <c r="C17" s="94" t="inlineStr">
        <is>
          <t>Team Taste Restaurant</t>
        </is>
      </c>
      <c r="D17" s="222" t="n">
        <v>31</v>
      </c>
      <c r="E17" s="94" t="inlineStr">
        <is>
          <t>Food &amp; Dining</t>
        </is>
      </c>
      <c r="F17" s="94" t="inlineStr">
        <is>
          <t>Household</t>
        </is>
      </c>
      <c r="G17" s="222" t="n">
        <v>25.95</v>
      </c>
      <c r="H17" s="94" t="inlineStr">
        <is>
          <t>Expense</t>
        </is>
      </c>
      <c r="I17" t="inlineStr">
        <is>
          <t>Dining</t>
        </is>
      </c>
      <c r="J17" s="54" t="n">
        <v>1</v>
      </c>
      <c r="K17" t="inlineStr">
        <is>
          <t>Household</t>
        </is>
      </c>
    </row>
    <row r="18">
      <c r="A18" s="260" t="n">
        <v>46239.64097222222</v>
      </c>
      <c r="B18" s="94" t="inlineStr">
        <is>
          <t>NBD</t>
        </is>
      </c>
      <c r="C18" s="94" t="inlineStr">
        <is>
          <t>Raya Al Talal Supermarket</t>
        </is>
      </c>
      <c r="D18" s="222" t="n">
        <v>10.25</v>
      </c>
      <c r="E18" s="94" t="inlineStr">
        <is>
          <t>Groceries</t>
        </is>
      </c>
      <c r="F18" s="94" t="inlineStr">
        <is>
          <t>Household</t>
        </is>
      </c>
      <c r="G18" s="222" t="n">
        <v>15.7</v>
      </c>
      <c r="H18" s="94" t="inlineStr">
        <is>
          <t>Expense</t>
        </is>
      </c>
      <c r="I18" t="inlineStr">
        <is>
          <t>Groceries</t>
        </is>
      </c>
      <c r="J18" s="54" t="n">
        <v>1</v>
      </c>
      <c r="K18" t="inlineStr">
        <is>
          <t>Household</t>
        </is>
      </c>
    </row>
    <row r="19">
      <c r="A19" s="260" t="n">
        <v>46239.65902777778</v>
      </c>
      <c r="B19" s="94" t="inlineStr">
        <is>
          <t>FAB</t>
        </is>
      </c>
      <c r="C19" s="94" t="inlineStr">
        <is>
          <t>Asas Al Madina General</t>
        </is>
      </c>
      <c r="D19" s="222" t="n">
        <v>14</v>
      </c>
      <c r="E19" s="94" t="inlineStr">
        <is>
          <t>Lifestyle</t>
        </is>
      </c>
      <c r="F19" s="94" t="inlineStr">
        <is>
          <t>Personal</t>
        </is>
      </c>
      <c r="G19" s="222" t="n">
        <v>2521.86</v>
      </c>
      <c r="H19" s="94" t="inlineStr">
        <is>
          <t>Expense</t>
        </is>
      </c>
      <c r="I19" t="inlineStr">
        <is>
          <t>Lifestyle &amp; Shopping</t>
        </is>
      </c>
      <c r="J19" s="54" t="n">
        <v>1</v>
      </c>
      <c r="K19" t="inlineStr">
        <is>
          <t>Personal</t>
        </is>
      </c>
    </row>
    <row r="20">
      <c r="A20" s="260" t="n">
        <v>46240.69652777778</v>
      </c>
      <c r="B20" s="94" t="inlineStr">
        <is>
          <t>FAB</t>
        </is>
      </c>
      <c r="C20" s="94" t="inlineStr">
        <is>
          <t>Asas Al Madina General</t>
        </is>
      </c>
      <c r="D20" s="222" t="n">
        <v>20</v>
      </c>
      <c r="E20" s="94" t="inlineStr">
        <is>
          <t>Groceries</t>
        </is>
      </c>
      <c r="F20" s="94" t="inlineStr">
        <is>
          <t>Household</t>
        </is>
      </c>
      <c r="G20" s="222" t="n">
        <v>2501.86</v>
      </c>
      <c r="H20" s="94" t="inlineStr">
        <is>
          <t>Expense</t>
        </is>
      </c>
      <c r="I20" t="inlineStr">
        <is>
          <t>Groceries</t>
        </is>
      </c>
      <c r="J20" s="54" t="n">
        <v>1</v>
      </c>
      <c r="K20" t="inlineStr">
        <is>
          <t>Household</t>
        </is>
      </c>
    </row>
    <row r="21">
      <c r="A21" s="260" t="n">
        <v>46240.87222222222</v>
      </c>
      <c r="B21" s="94" t="inlineStr">
        <is>
          <t>FAB</t>
        </is>
      </c>
      <c r="C21" s="94" t="inlineStr">
        <is>
          <t>August salary received early</t>
        </is>
      </c>
      <c r="D21" s="222" t="n">
        <v>3740</v>
      </c>
      <c r="E21" s="94" t="inlineStr">
        <is>
          <t>Salary timing</t>
        </is>
      </c>
      <c r="F21" s="94" t="inlineStr">
        <is>
          <t>Transfer</t>
        </is>
      </c>
      <c r="G21" s="222" t="n">
        <v>6501.86</v>
      </c>
      <c r="H21" s="94" t="inlineStr">
        <is>
          <t>Not income again at payday</t>
        </is>
      </c>
      <c r="I21" s="284" t="inlineStr">
        <is>
          <t>Excluded</t>
        </is>
      </c>
      <c r="J21" s="285" t="n">
        <v>0</v>
      </c>
      <c r="K21" s="284" t="inlineStr">
        <is>
          <t>Excluded</t>
        </is>
      </c>
    </row>
    <row r="22">
      <c r="A22" s="260" t="n">
        <v>46240.8722337963</v>
      </c>
      <c r="B22" s="94" t="inlineStr">
        <is>
          <t>FAB</t>
        </is>
      </c>
      <c r="C22" s="94" t="inlineStr">
        <is>
          <t>Two-ticket profit</t>
        </is>
      </c>
      <c r="D22" s="222" t="n">
        <v>260</v>
      </c>
      <c r="E22" s="94" t="inlineStr">
        <is>
          <t>Side income</t>
        </is>
      </c>
      <c r="F22" s="94" t="inlineStr">
        <is>
          <t>Income</t>
        </is>
      </c>
      <c r="G22" s="222" t="n">
        <v>6501.86</v>
      </c>
      <c r="H22" s="94" t="inlineStr">
        <is>
          <t>Income</t>
        </is>
      </c>
      <c r="I22" s="284" t="inlineStr">
        <is>
          <t>Excluded</t>
        </is>
      </c>
      <c r="J22" s="285" t="n">
        <v>0</v>
      </c>
      <c r="K22" s="284" t="inlineStr">
        <is>
          <t>Excluded</t>
        </is>
      </c>
    </row>
    <row r="23">
      <c r="A23" s="260" t="n">
        <v>46241.25</v>
      </c>
      <c r="B23" s="94" t="inlineStr">
        <is>
          <t>FAB</t>
        </is>
      </c>
      <c r="C23" s="94" t="inlineStr">
        <is>
          <t>e&amp; Money medical support</t>
        </is>
      </c>
      <c r="D23" s="222" t="n">
        <v>100</v>
      </c>
      <c r="E23" s="94" t="inlineStr">
        <is>
          <t>Household other</t>
        </is>
      </c>
      <c r="F23" s="94" t="inlineStr">
        <is>
          <t>Household</t>
        </is>
      </c>
      <c r="G23" s="222" t="n">
        <v>2401.86</v>
      </c>
      <c r="H23" s="94" t="inlineStr">
        <is>
          <t>Expense</t>
        </is>
      </c>
      <c r="I23" t="inlineStr">
        <is>
          <t>Family &amp; Support</t>
        </is>
      </c>
      <c r="J23" s="54" t="n">
        <v>1</v>
      </c>
      <c r="K23" t="inlineStr">
        <is>
          <t>Household</t>
        </is>
      </c>
    </row>
    <row r="24">
      <c r="A24" s="260" t="n">
        <v>46241.25069444445</v>
      </c>
      <c r="B24" s="94" t="inlineStr">
        <is>
          <t>FAB</t>
        </is>
      </c>
      <c r="C24" s="94" t="inlineStr">
        <is>
          <t>Duplicate e&amp; Money transfer</t>
        </is>
      </c>
      <c r="D24" s="222" t="n">
        <v>100</v>
      </c>
      <c r="E24" s="94" t="inlineStr">
        <is>
          <t>Duplicate transfer</t>
        </is>
      </c>
      <c r="F24" s="94" t="inlineStr">
        <is>
          <t>Transfer</t>
        </is>
      </c>
      <c r="G24" s="222" t="n">
        <v>2301.86</v>
      </c>
      <c r="H24" s="94" t="inlineStr">
        <is>
          <t>Receivable; not expense</t>
        </is>
      </c>
      <c r="I24" s="284" t="inlineStr">
        <is>
          <t>Excluded</t>
        </is>
      </c>
      <c r="J24" s="285" t="n">
        <v>0</v>
      </c>
      <c r="K24" s="284" t="inlineStr">
        <is>
          <t>Excluded</t>
        </is>
      </c>
    </row>
    <row r="25">
      <c r="A25" s="260" t="n">
        <v>46241.6625</v>
      </c>
      <c r="B25" s="94" t="inlineStr">
        <is>
          <t>FAB</t>
        </is>
      </c>
      <c r="C25" s="94" t="inlineStr">
        <is>
          <t>Emirates ticket</t>
        </is>
      </c>
      <c r="D25" s="222" t="n">
        <v>1430</v>
      </c>
      <c r="E25" s="94" t="inlineStr">
        <is>
          <t>Travel &amp; airfare</t>
        </is>
      </c>
      <c r="F25" s="94" t="inlineStr">
        <is>
          <t>Household</t>
        </is>
      </c>
      <c r="G25" s="222" t="n">
        <v>871.86</v>
      </c>
      <c r="H25" s="94" t="inlineStr">
        <is>
          <t>Expense; refund pending</t>
        </is>
      </c>
      <c r="I25" t="inlineStr">
        <is>
          <t>Travel</t>
        </is>
      </c>
      <c r="J25" s="54" t="n">
        <v>1</v>
      </c>
      <c r="K25" t="inlineStr">
        <is>
          <t>Household</t>
        </is>
      </c>
    </row>
    <row r="26">
      <c r="A26" s="260" t="n">
        <v>46242.31666666667</v>
      </c>
      <c r="B26" s="94" t="inlineStr">
        <is>
          <t>FAB</t>
        </is>
      </c>
      <c r="C26" s="94" t="inlineStr">
        <is>
          <t>Asas Al Madina General</t>
        </is>
      </c>
      <c r="D26" s="222" t="n">
        <v>14</v>
      </c>
      <c r="E26" s="94" t="inlineStr">
        <is>
          <t>Lifestyle</t>
        </is>
      </c>
      <c r="F26" s="94" t="inlineStr">
        <is>
          <t>Personal</t>
        </is>
      </c>
      <c r="G26" s="222" t="n">
        <v>857.86</v>
      </c>
      <c r="H26" s="94" t="inlineStr">
        <is>
          <t>Expense</t>
        </is>
      </c>
      <c r="I26" t="inlineStr">
        <is>
          <t>Lifestyle &amp; Shopping</t>
        </is>
      </c>
      <c r="J26" s="54" t="n">
        <v>1</v>
      </c>
      <c r="K26" t="inlineStr">
        <is>
          <t>Personal</t>
        </is>
      </c>
    </row>
    <row r="27">
      <c r="A27" s="260" t="n">
        <v>46242.65625</v>
      </c>
      <c r="B27" s="94" t="inlineStr">
        <is>
          <t>FAB</t>
        </is>
      </c>
      <c r="C27" s="94" t="inlineStr">
        <is>
          <t>RTS Business Bay Hotel</t>
        </is>
      </c>
      <c r="D27" s="222" t="n">
        <v>65</v>
      </c>
      <c r="E27" s="94" t="inlineStr">
        <is>
          <t>Lifestyle</t>
        </is>
      </c>
      <c r="F27" s="94" t="inlineStr">
        <is>
          <t>Personal</t>
        </is>
      </c>
      <c r="G27" s="222" t="n">
        <v>792.86</v>
      </c>
      <c r="H27" s="94" t="inlineStr">
        <is>
          <t>Expense</t>
        </is>
      </c>
      <c r="I27" t="inlineStr">
        <is>
          <t>Lifestyle &amp; Shopping</t>
        </is>
      </c>
      <c r="J27" s="54" t="n">
        <v>1</v>
      </c>
      <c r="K27" t="inlineStr">
        <is>
          <t>Personal</t>
        </is>
      </c>
    </row>
    <row r="28">
      <c r="A28" s="260" t="n">
        <v>46242.725</v>
      </c>
      <c r="B28" s="94" t="inlineStr">
        <is>
          <t>FAB</t>
        </is>
      </c>
      <c r="C28" s="94" t="inlineStr">
        <is>
          <t>RTS Business Bay Hotel</t>
        </is>
      </c>
      <c r="D28" s="222" t="n">
        <v>47.25</v>
      </c>
      <c r="E28" s="94" t="inlineStr">
        <is>
          <t>Lifestyle</t>
        </is>
      </c>
      <c r="F28" s="94" t="inlineStr">
        <is>
          <t>Personal</t>
        </is>
      </c>
      <c r="G28" s="222" t="n">
        <v>745.61</v>
      </c>
      <c r="H28" s="94" t="inlineStr">
        <is>
          <t>Expense</t>
        </is>
      </c>
      <c r="I28" t="inlineStr">
        <is>
          <t>Lifestyle &amp; Shopping</t>
        </is>
      </c>
      <c r="J28" s="54" t="n">
        <v>1</v>
      </c>
      <c r="K28" t="inlineStr">
        <is>
          <t>Personal</t>
        </is>
      </c>
    </row>
    <row r="29">
      <c r="A29" s="260" t="n">
        <v>46242.7375</v>
      </c>
      <c r="B29" s="94" t="inlineStr">
        <is>
          <t>FAB</t>
        </is>
      </c>
      <c r="C29" s="94" t="inlineStr">
        <is>
          <t>RTS Business Bay Hotel</t>
        </is>
      </c>
      <c r="D29" s="222" t="n">
        <v>274.5</v>
      </c>
      <c r="E29" s="94" t="inlineStr">
        <is>
          <t>Lifestyle</t>
        </is>
      </c>
      <c r="F29" s="94" t="inlineStr">
        <is>
          <t>Personal</t>
        </is>
      </c>
      <c r="G29" s="222" t="n">
        <v>471.11</v>
      </c>
      <c r="H29" s="94" t="inlineStr">
        <is>
          <t>Expense</t>
        </is>
      </c>
      <c r="I29" t="inlineStr">
        <is>
          <t>Lifestyle &amp; Shopping</t>
        </is>
      </c>
      <c r="J29" s="54" t="n">
        <v>1</v>
      </c>
      <c r="K29" t="inlineStr">
        <is>
          <t>Personal</t>
        </is>
      </c>
    </row>
    <row r="30">
      <c r="A30" s="260" t="n">
        <v>46242.83541666667</v>
      </c>
      <c r="B30" s="94" t="inlineStr">
        <is>
          <t>FAB</t>
        </is>
      </c>
      <c r="C30" s="94" t="inlineStr">
        <is>
          <t>Asas Al Madina General</t>
        </is>
      </c>
      <c r="D30" s="222" t="n">
        <v>20.5</v>
      </c>
      <c r="E30" s="94" t="inlineStr">
        <is>
          <t>Lifestyle</t>
        </is>
      </c>
      <c r="F30" s="94" t="inlineStr">
        <is>
          <t>Personal</t>
        </is>
      </c>
      <c r="G30" s="222" t="n">
        <v>450.61</v>
      </c>
      <c r="H30" s="94" t="inlineStr">
        <is>
          <t>Expense</t>
        </is>
      </c>
      <c r="I30" t="inlineStr">
        <is>
          <t>Lifestyle &amp; Shopping</t>
        </is>
      </c>
      <c r="J30" s="54" t="n">
        <v>1</v>
      </c>
      <c r="K30" t="inlineStr">
        <is>
          <t>Personal</t>
        </is>
      </c>
    </row>
    <row r="31">
      <c r="A31" s="260" t="n">
        <v>46243.40486111111</v>
      </c>
      <c r="B31" s="94" t="inlineStr">
        <is>
          <t>FAB</t>
        </is>
      </c>
      <c r="C31" s="94" t="inlineStr">
        <is>
          <t>Salkara / Team Taste</t>
        </is>
      </c>
      <c r="D31" s="222" t="n">
        <v>101.5</v>
      </c>
      <c r="E31" s="94" t="inlineStr">
        <is>
          <t>Food &amp; Dining</t>
        </is>
      </c>
      <c r="F31" s="94" t="inlineStr">
        <is>
          <t>Household</t>
        </is>
      </c>
      <c r="G31" s="222" t="n">
        <v>349.11</v>
      </c>
      <c r="H31" s="94" t="inlineStr">
        <is>
          <t>Expense</t>
        </is>
      </c>
      <c r="I31" t="inlineStr">
        <is>
          <t>Dining</t>
        </is>
      </c>
      <c r="J31" s="54" t="n">
        <v>1</v>
      </c>
      <c r="K31" t="inlineStr">
        <is>
          <t>Household</t>
        </is>
      </c>
    </row>
    <row r="32">
      <c r="A32" s="260" t="n">
        <v>46243.65069444444</v>
      </c>
      <c r="B32" s="94" t="inlineStr">
        <is>
          <t>FAB</t>
        </is>
      </c>
      <c r="C32" s="94" t="inlineStr">
        <is>
          <t>Shams Al Qusais Grocery</t>
        </is>
      </c>
      <c r="D32" s="222" t="n">
        <v>10</v>
      </c>
      <c r="E32" s="94" t="inlineStr">
        <is>
          <t>Lifestyle</t>
        </is>
      </c>
      <c r="F32" s="94" t="inlineStr">
        <is>
          <t>Personal</t>
        </is>
      </c>
      <c r="G32" s="222" t="n">
        <v>339.11</v>
      </c>
      <c r="H32" s="94" t="inlineStr">
        <is>
          <t>Expense</t>
        </is>
      </c>
      <c r="I32" t="inlineStr">
        <is>
          <t>Lifestyle &amp; Shopping</t>
        </is>
      </c>
      <c r="J32" s="54" t="n">
        <v>1</v>
      </c>
      <c r="K32" t="inlineStr">
        <is>
          <t>Personal</t>
        </is>
      </c>
    </row>
    <row r="33">
      <c r="A33" s="260" t="n">
        <v>46243.65902777778</v>
      </c>
      <c r="B33" s="94" t="inlineStr">
        <is>
          <t>FAB</t>
        </is>
      </c>
      <c r="C33" s="94" t="inlineStr">
        <is>
          <t>ENOC Site 1006</t>
        </is>
      </c>
      <c r="D33" s="222" t="n">
        <v>50</v>
      </c>
      <c r="E33" s="94" t="inlineStr">
        <is>
          <t>Transport</t>
        </is>
      </c>
      <c r="F33" s="94" t="inlineStr">
        <is>
          <t>Household</t>
        </is>
      </c>
      <c r="G33" s="222" t="n">
        <v>289.11</v>
      </c>
      <c r="H33" s="94" t="inlineStr">
        <is>
          <t>Expense</t>
        </is>
      </c>
      <c r="I33" t="inlineStr">
        <is>
          <t>Fuel &amp; Transport</t>
        </is>
      </c>
      <c r="J33" s="54" t="n">
        <v>1</v>
      </c>
      <c r="K33" t="inlineStr">
        <is>
          <t>Household</t>
        </is>
      </c>
    </row>
    <row r="34">
      <c r="A34" s="260" t="n">
        <v>46244.32569444444</v>
      </c>
      <c r="B34" s="94" t="inlineStr">
        <is>
          <t>FAB</t>
        </is>
      </c>
      <c r="C34" s="94" t="inlineStr">
        <is>
          <t>Emarat Nad Al Hamar</t>
        </is>
      </c>
      <c r="D34" s="222" t="n">
        <v>13.5</v>
      </c>
      <c r="E34" s="94" t="inlineStr">
        <is>
          <t>Lifestyle</t>
        </is>
      </c>
      <c r="F34" s="94" t="inlineStr">
        <is>
          <t>Personal</t>
        </is>
      </c>
      <c r="G34" s="222" t="n">
        <v>275.61</v>
      </c>
      <c r="H34" s="94" t="inlineStr">
        <is>
          <t>Expense</t>
        </is>
      </c>
      <c r="I34" t="inlineStr">
        <is>
          <t>Lifestyle &amp; Shopping</t>
        </is>
      </c>
      <c r="J34" s="54" t="n">
        <v>1</v>
      </c>
      <c r="K34" t="inlineStr">
        <is>
          <t>Personal</t>
        </is>
      </c>
    </row>
    <row r="35">
      <c r="A35" s="260" t="n">
        <v>46244.44236111111</v>
      </c>
      <c r="B35" s="94" t="inlineStr">
        <is>
          <t>FAB</t>
        </is>
      </c>
      <c r="C35" s="94" t="inlineStr">
        <is>
          <t>Jamahir Al Khair Restaurant</t>
        </is>
      </c>
      <c r="D35" s="222" t="n">
        <v>27</v>
      </c>
      <c r="E35" s="94" t="inlineStr">
        <is>
          <t>Food &amp; Dining</t>
        </is>
      </c>
      <c r="F35" s="94" t="inlineStr">
        <is>
          <t>Household</t>
        </is>
      </c>
      <c r="G35" s="222" t="n">
        <v>248.61</v>
      </c>
      <c r="H35" s="94" t="inlineStr">
        <is>
          <t>Expense</t>
        </is>
      </c>
      <c r="I35" t="inlineStr">
        <is>
          <t>Dining</t>
        </is>
      </c>
      <c r="J35" s="54" t="n">
        <v>1</v>
      </c>
      <c r="K35" t="inlineStr">
        <is>
          <t>Household</t>
        </is>
      </c>
    </row>
    <row r="36">
      <c r="A36" s="260" t="n">
        <v>46244.56180555555</v>
      </c>
      <c r="B36" s="94" t="inlineStr">
        <is>
          <t>FAB</t>
        </is>
      </c>
      <c r="C36" s="94" t="inlineStr">
        <is>
          <t>Asas Al Madina General</t>
        </is>
      </c>
      <c r="D36" s="222" t="n">
        <v>23</v>
      </c>
      <c r="E36" s="94" t="inlineStr">
        <is>
          <t>Groceries</t>
        </is>
      </c>
      <c r="F36" s="94" t="inlineStr">
        <is>
          <t>Household</t>
        </is>
      </c>
      <c r="G36" s="222" t="n">
        <v>225.61</v>
      </c>
      <c r="H36" s="94" t="inlineStr">
        <is>
          <t>Expense</t>
        </is>
      </c>
      <c r="I36" t="inlineStr">
        <is>
          <t>Groceries</t>
        </is>
      </c>
      <c r="J36" s="54" t="n">
        <v>1</v>
      </c>
      <c r="K36" t="inlineStr">
        <is>
          <t>Household</t>
        </is>
      </c>
    </row>
    <row r="37">
      <c r="A37" s="260" t="n">
        <v>46244.66041666667</v>
      </c>
      <c r="B37" s="94" t="inlineStr">
        <is>
          <t>FAB</t>
        </is>
      </c>
      <c r="C37" s="94" t="inlineStr">
        <is>
          <t>Zomato</t>
        </is>
      </c>
      <c r="D37" s="222" t="n">
        <v>66.52</v>
      </c>
      <c r="E37" s="94" t="inlineStr">
        <is>
          <t>Food &amp; Dining</t>
        </is>
      </c>
      <c r="F37" s="94" t="inlineStr">
        <is>
          <t>Household</t>
        </is>
      </c>
      <c r="G37" s="222" t="n">
        <v>159.09</v>
      </c>
      <c r="H37" s="94" t="inlineStr">
        <is>
          <t>Expense</t>
        </is>
      </c>
      <c r="I37" t="inlineStr">
        <is>
          <t>Dining</t>
        </is>
      </c>
      <c r="J37" s="54" t="n">
        <v>1</v>
      </c>
      <c r="K37" t="inlineStr">
        <is>
          <t>Household</t>
        </is>
      </c>
    </row>
    <row r="38">
      <c r="A38" s="260" t="n">
        <v>46245.33333333334</v>
      </c>
      <c r="B38" s="94" t="inlineStr">
        <is>
          <t>FAB</t>
        </is>
      </c>
      <c r="C38" s="94" t="inlineStr">
        <is>
          <t>Duplicate e&amp; Money transfer refund</t>
        </is>
      </c>
      <c r="D38" s="222" t="n">
        <v>100</v>
      </c>
      <c r="E38" s="94" t="inlineStr">
        <is>
          <t>Duplicate-transfer refund</t>
        </is>
      </c>
      <c r="F38" s="94" t="inlineStr">
        <is>
          <t>Transfer</t>
        </is>
      </c>
      <c r="G38" s="222" t="n">
        <v>259.09</v>
      </c>
      <c r="H38" s="94" t="inlineStr">
        <is>
          <t>Refund; not income</t>
        </is>
      </c>
      <c r="I38" s="284" t="inlineStr">
        <is>
          <t>Excluded</t>
        </is>
      </c>
      <c r="J38" s="285" t="n">
        <v>0</v>
      </c>
      <c r="K38" s="284" t="inlineStr">
        <is>
          <t>Excluded</t>
        </is>
      </c>
    </row>
    <row r="39">
      <c r="A39" s="261" t="n">
        <v>46245</v>
      </c>
      <c r="B39" s="151" t="inlineStr">
        <is>
          <t>FAB</t>
        </is>
      </c>
      <c r="C39" s="151" t="inlineStr">
        <is>
          <t>Unreconciled balance movement</t>
        </is>
      </c>
      <c r="D39" s="262" t="n">
        <v>14</v>
      </c>
      <c r="E39" s="151" t="inlineStr">
        <is>
          <t>Reconciliation</t>
        </is>
      </c>
      <c r="F39" s="151" t="inlineStr">
        <is>
          <t>Unclassified</t>
        </is>
      </c>
      <c r="G39" s="262" t="n">
        <v>245.09</v>
      </c>
      <c r="H39" s="151" t="inlineStr">
        <is>
          <t>Date cell is a placeholder: balance-derived AED14 outflow occurred after the 11 Aug 08:00 refund and before the 11 Aug 21:30 Asas purchase; exact merchant/source unknown</t>
        </is>
      </c>
      <c r="I39" t="inlineStr">
        <is>
          <t>Unreconciled</t>
        </is>
      </c>
      <c r="J39" s="54" t="n">
        <v>1</v>
      </c>
      <c r="K39" t="inlineStr">
        <is>
          <t>Household</t>
        </is>
      </c>
    </row>
    <row r="40">
      <c r="A40" s="261" t="n">
        <v>46245.89583333334</v>
      </c>
      <c r="B40" s="151" t="inlineStr">
        <is>
          <t>FAB</t>
        </is>
      </c>
      <c r="C40" s="151" t="inlineStr">
        <is>
          <t>Asas Al Madina General</t>
        </is>
      </c>
      <c r="D40" s="262" t="n">
        <v>19</v>
      </c>
      <c r="E40" s="151" t="inlineStr">
        <is>
          <t>Groceries</t>
        </is>
      </c>
      <c r="F40" s="151" t="inlineStr">
        <is>
          <t>Household</t>
        </is>
      </c>
      <c r="G40" s="262" t="n">
        <v>226.09</v>
      </c>
      <c r="H40" s="151" t="inlineStr">
        <is>
          <t>Expense</t>
        </is>
      </c>
      <c r="I40" t="inlineStr">
        <is>
          <t>Groceries</t>
        </is>
      </c>
      <c r="J40" s="54" t="n">
        <v>1</v>
      </c>
      <c r="K40" t="inlineStr">
        <is>
          <t>Household</t>
        </is>
      </c>
    </row>
    <row r="41">
      <c r="A41" s="261" t="n">
        <v>46246.26944444444</v>
      </c>
      <c r="B41" s="151" t="inlineStr">
        <is>
          <t>FAB</t>
        </is>
      </c>
      <c r="C41" s="151" t="inlineStr">
        <is>
          <t>RTA Dubai Metro TVM</t>
        </is>
      </c>
      <c r="D41" s="262" t="n">
        <v>20</v>
      </c>
      <c r="E41" s="151" t="inlineStr">
        <is>
          <t>Transport</t>
        </is>
      </c>
      <c r="F41" s="151" t="inlineStr">
        <is>
          <t>Household</t>
        </is>
      </c>
      <c r="G41" s="262" t="n">
        <v>206.09</v>
      </c>
      <c r="H41" s="151" t="inlineStr">
        <is>
          <t>Expense</t>
        </is>
      </c>
      <c r="I41" t="inlineStr">
        <is>
          <t>Fuel &amp; Transport</t>
        </is>
      </c>
      <c r="J41" s="54" t="n">
        <v>1</v>
      </c>
      <c r="K41" t="inlineStr">
        <is>
          <t>Household</t>
        </is>
      </c>
    </row>
    <row r="42">
      <c r="A42" s="261" t="n">
        <v>46246.63333333333</v>
      </c>
      <c r="B42" s="151" t="inlineStr">
        <is>
          <t>FAB</t>
        </is>
      </c>
      <c r="C42" s="151" t="inlineStr">
        <is>
          <t>Inward remittance</t>
        </is>
      </c>
      <c r="D42" s="262" t="n">
        <v>3000</v>
      </c>
      <c r="E42" s="151" t="inlineStr">
        <is>
          <t>Prior salary + ticket recovery</t>
        </is>
      </c>
      <c r="F42" s="151" t="inlineStr">
        <is>
          <t>Mixed inflow</t>
        </is>
      </c>
      <c r="G42" s="262" t="n">
        <v>3206.09</v>
      </c>
      <c r="H42" s="151" t="inlineStr">
        <is>
          <t>AED 1,430 prior-month salary + AED 1,540 salary recovery + AED 30 profit; recorded once</t>
        </is>
      </c>
      <c r="I42" s="284" t="inlineStr">
        <is>
          <t>Excluded</t>
        </is>
      </c>
      <c r="J42" s="285" t="n">
        <v>0</v>
      </c>
      <c r="K42" s="284" t="inlineStr">
        <is>
          <t>Excluded</t>
        </is>
      </c>
    </row>
    <row r="43">
      <c r="A43" s="263" t="n">
        <v>46246.63888888889</v>
      </c>
      <c r="B43" t="inlineStr">
        <is>
          <t>FAB</t>
        </is>
      </c>
      <c r="C43" t="inlineStr">
        <is>
          <t>Internal transfer 4001 → 4002</t>
        </is>
      </c>
      <c r="D43" t="n">
        <v>3006.09</v>
      </c>
      <c r="E43" t="inlineStr">
        <is>
          <t>Account allocation</t>
        </is>
      </c>
      <c r="F43" t="inlineStr">
        <is>
          <t>Transfer</t>
        </is>
      </c>
      <c r="G43" t="n">
        <v>7010.7</v>
      </c>
      <c r="H43" t="inlineStr">
        <is>
          <t>Not spending; 4001 closing AED 200.00, 4002 closing AED 7,010.70</t>
        </is>
      </c>
      <c r="I43" s="284" t="inlineStr">
        <is>
          <t>Excluded</t>
        </is>
      </c>
      <c r="J43" s="285" t="n">
        <v>0</v>
      </c>
      <c r="K43" s="284" t="inlineStr">
        <is>
          <t>Excluded</t>
        </is>
      </c>
    </row>
    <row r="44">
      <c r="A44" s="264" t="n">
        <v>46246.8125</v>
      </c>
      <c r="B44" s="187" t="inlineStr">
        <is>
          <t>FAB 4001</t>
        </is>
      </c>
      <c r="C44" s="187" t="inlineStr">
        <is>
          <t>KFC Nad Al Hamar</t>
        </is>
      </c>
      <c r="D44" s="265" t="n">
        <v>33</v>
      </c>
      <c r="E44" s="187" t="inlineStr">
        <is>
          <t>Dining</t>
        </is>
      </c>
      <c r="F44" s="187" t="inlineStr">
        <is>
          <t>Household</t>
        </is>
      </c>
      <c r="G44" s="265" t="n">
        <v>167</v>
      </c>
      <c r="H44" s="187" t="inlineStr">
        <is>
          <t>Expense</t>
        </is>
      </c>
      <c r="I44" t="inlineStr">
        <is>
          <t>Dining</t>
        </is>
      </c>
      <c r="J44" s="54" t="n">
        <v>1</v>
      </c>
      <c r="K44" t="inlineStr">
        <is>
          <t>Household</t>
        </is>
      </c>
    </row>
    <row r="45">
      <c r="A45" s="264" t="n">
        <v>46246.82152777778</v>
      </c>
      <c r="B45" s="187" t="inlineStr">
        <is>
          <t>FAB 4001</t>
        </is>
      </c>
      <c r="C45" s="187" t="inlineStr">
        <is>
          <t>KFC Nad Al Hamar</t>
        </is>
      </c>
      <c r="D45" s="265" t="n">
        <v>1.5</v>
      </c>
      <c r="E45" s="187" t="inlineStr">
        <is>
          <t>Dining</t>
        </is>
      </c>
      <c r="F45" s="187" t="inlineStr">
        <is>
          <t>Household</t>
        </is>
      </c>
      <c r="G45" s="265" t="n">
        <v>165.5</v>
      </c>
      <c r="H45" s="187" t="inlineStr">
        <is>
          <t>Expense</t>
        </is>
      </c>
      <c r="I45" t="inlineStr">
        <is>
          <t>Dining</t>
        </is>
      </c>
      <c r="J45" s="54" t="n">
        <v>1</v>
      </c>
      <c r="K45" t="inlineStr">
        <is>
          <t>Household</t>
        </is>
      </c>
    </row>
    <row r="46">
      <c r="A46" s="264" t="n">
        <v>46246.88819444444</v>
      </c>
      <c r="B46" s="187" t="inlineStr">
        <is>
          <t>FAB 4001</t>
        </is>
      </c>
      <c r="C46" s="187" t="inlineStr">
        <is>
          <t>ASAS Al Madina General</t>
        </is>
      </c>
      <c r="D46" s="265" t="n">
        <v>15</v>
      </c>
      <c r="E46" s="187" t="inlineStr">
        <is>
          <t>Lifestyle</t>
        </is>
      </c>
      <c r="F46" s="187" t="inlineStr">
        <is>
          <t>Personal</t>
        </is>
      </c>
      <c r="G46" s="265" t="n">
        <v>150.5</v>
      </c>
      <c r="H46" s="187" t="inlineStr">
        <is>
          <t>Expense</t>
        </is>
      </c>
      <c r="I46" t="inlineStr">
        <is>
          <t>Lifestyle &amp; Shopping</t>
        </is>
      </c>
      <c r="J46" s="54" t="n">
        <v>1</v>
      </c>
      <c r="K46" t="inlineStr">
        <is>
          <t>Personal</t>
        </is>
      </c>
    </row>
    <row r="47">
      <c r="A47" s="266" t="n">
        <v>46247.83402777778</v>
      </c>
      <c r="B47" t="inlineStr">
        <is>
          <t>FAB 4001</t>
        </is>
      </c>
      <c r="C47" t="inlineStr">
        <is>
          <t>Nad Al Hamar Baker</t>
        </is>
      </c>
      <c r="D47" s="267" t="n">
        <v>10</v>
      </c>
      <c r="E47" t="inlineStr">
        <is>
          <t>Lifestyle</t>
        </is>
      </c>
      <c r="F47" t="inlineStr">
        <is>
          <t>Personal</t>
        </is>
      </c>
      <c r="G47" s="267" t="n">
        <v>140.5</v>
      </c>
      <c r="H47" t="inlineStr">
        <is>
          <t>Expense</t>
        </is>
      </c>
      <c r="I47" t="inlineStr">
        <is>
          <t>Lifestyle &amp; Shopping</t>
        </is>
      </c>
      <c r="J47" s="54" t="n">
        <v>1</v>
      </c>
      <c r="K47" t="inlineStr">
        <is>
          <t>Personal</t>
        </is>
      </c>
    </row>
    <row r="48">
      <c r="A48" s="266" t="n">
        <v>46247.87430555555</v>
      </c>
      <c r="B48" t="inlineStr">
        <is>
          <t>FAB 4001</t>
        </is>
      </c>
      <c r="C48" t="inlineStr">
        <is>
          <t>Asas Al Madina General</t>
        </is>
      </c>
      <c r="D48" s="267" t="n">
        <v>14</v>
      </c>
      <c r="E48" t="inlineStr">
        <is>
          <t>Lifestyle</t>
        </is>
      </c>
      <c r="F48" t="inlineStr">
        <is>
          <t>Personal</t>
        </is>
      </c>
      <c r="G48" s="267" t="n">
        <v>126.5</v>
      </c>
      <c r="H48" t="inlineStr">
        <is>
          <t>Expense</t>
        </is>
      </c>
      <c r="I48" t="inlineStr">
        <is>
          <t>Lifestyle &amp; Shopping</t>
        </is>
      </c>
      <c r="J48" s="54" t="n">
        <v>1</v>
      </c>
      <c r="K48" t="inlineStr">
        <is>
          <t>Personal</t>
        </is>
      </c>
    </row>
    <row r="49">
      <c r="A49" s="266" t="n">
        <v>46248.75555555556</v>
      </c>
      <c r="B49" t="inlineStr">
        <is>
          <t>FAB 4001</t>
        </is>
      </c>
      <c r="C49" t="inlineStr">
        <is>
          <t>Emarat Nad Al Hamar</t>
        </is>
      </c>
      <c r="D49" s="267" t="n">
        <v>13.5</v>
      </c>
      <c r="E49" t="inlineStr">
        <is>
          <t>Lifestyle</t>
        </is>
      </c>
      <c r="F49" t="inlineStr">
        <is>
          <t>Personal</t>
        </is>
      </c>
      <c r="G49" s="267" t="n">
        <v>113</v>
      </c>
      <c r="H49" t="inlineStr">
        <is>
          <t>Expense</t>
        </is>
      </c>
      <c r="I49" t="inlineStr">
        <is>
          <t>Lifestyle &amp; Shopping</t>
        </is>
      </c>
      <c r="J49" s="54" t="n">
        <v>1</v>
      </c>
      <c r="K49" t="inlineStr">
        <is>
          <t>Personal</t>
        </is>
      </c>
    </row>
    <row r="50">
      <c r="A50" s="266" t="n">
        <v>46248.75763888889</v>
      </c>
      <c r="B50" t="inlineStr">
        <is>
          <t>FAB 4001</t>
        </is>
      </c>
      <c r="C50" t="inlineStr">
        <is>
          <t>Emarat 6192 Nad Al Ham</t>
        </is>
      </c>
      <c r="D50" s="267" t="n">
        <v>50</v>
      </c>
      <c r="E50" t="inlineStr">
        <is>
          <t>Transport &amp; Fuel</t>
        </is>
      </c>
      <c r="F50" t="inlineStr">
        <is>
          <t>Household / work-essential</t>
        </is>
      </c>
      <c r="G50" s="267" t="n">
        <v>63</v>
      </c>
      <c r="H50" t="inlineStr">
        <is>
          <t>Expense</t>
        </is>
      </c>
      <c r="I50" t="inlineStr">
        <is>
          <t>Fuel &amp; Transport</t>
        </is>
      </c>
      <c r="J50" s="54" t="n">
        <v>1</v>
      </c>
      <c r="K50" t="inlineStr">
        <is>
          <t>Household</t>
        </is>
      </c>
    </row>
    <row r="51">
      <c r="A51" s="266" t="n">
        <v>46249.10486111111</v>
      </c>
      <c r="B51" t="inlineStr">
        <is>
          <t>FAB 4001</t>
        </is>
      </c>
      <c r="C51" t="inlineStr">
        <is>
          <t>Jackson Trading Co LLC</t>
        </is>
      </c>
      <c r="D51" s="267" t="n">
        <v>2</v>
      </c>
      <c r="E51" t="inlineStr">
        <is>
          <t>Lifestyle</t>
        </is>
      </c>
      <c r="F51" t="inlineStr">
        <is>
          <t>Personal</t>
        </is>
      </c>
      <c r="G51" s="267" t="n">
        <v>61</v>
      </c>
      <c r="H51" t="inlineStr">
        <is>
          <t>Expense · Personal Lifestyle</t>
        </is>
      </c>
      <c r="I51" t="inlineStr">
        <is>
          <t>Lifestyle &amp; Shopping</t>
        </is>
      </c>
      <c r="J51" s="54" t="n">
        <v>1</v>
      </c>
      <c r="K51" t="inlineStr">
        <is>
          <t>Personal</t>
        </is>
      </c>
    </row>
    <row r="52">
      <c r="A52" s="266" t="n">
        <v>46249.10625</v>
      </c>
      <c r="B52" t="inlineStr">
        <is>
          <t>FAB 4001</t>
        </is>
      </c>
      <c r="C52" t="inlineStr">
        <is>
          <t>Jackson Trading Co LLC</t>
        </is>
      </c>
      <c r="D52" s="267" t="n">
        <v>3</v>
      </c>
      <c r="E52" t="inlineStr">
        <is>
          <t>Lifestyle</t>
        </is>
      </c>
      <c r="F52" t="inlineStr">
        <is>
          <t>Personal</t>
        </is>
      </c>
      <c r="G52" s="267" t="n">
        <v>58</v>
      </c>
      <c r="H52" t="inlineStr">
        <is>
          <t>Expense · Personal Lifestyle</t>
        </is>
      </c>
      <c r="I52" t="inlineStr">
        <is>
          <t>Lifestyle &amp; Shopping</t>
        </is>
      </c>
      <c r="J52" s="54" t="n">
        <v>1</v>
      </c>
      <c r="K52" t="inlineStr">
        <is>
          <t>Personal</t>
        </is>
      </c>
    </row>
    <row r="53">
      <c r="A53" s="266" t="n">
        <v>46249.40277777778</v>
      </c>
      <c r="B53" t="inlineStr">
        <is>
          <t>FAB 4001</t>
        </is>
      </c>
      <c r="C53" t="inlineStr">
        <is>
          <t>Internal transfer 4002 → 4001</t>
        </is>
      </c>
      <c r="D53" s="267" t="n">
        <v>100</v>
      </c>
      <c r="E53" t="inlineStr">
        <is>
          <t>Account allocation</t>
        </is>
      </c>
      <c r="F53" t="inlineStr">
        <is>
          <t>Transfer</t>
        </is>
      </c>
      <c r="G53" s="267" t="n">
        <v>158</v>
      </c>
      <c r="H53" t="inlineStr">
        <is>
          <t>Transfer; not income</t>
        </is>
      </c>
      <c r="I53" s="284" t="inlineStr">
        <is>
          <t>Excluded</t>
        </is>
      </c>
      <c r="J53" s="285" t="n">
        <v>0</v>
      </c>
      <c r="K53" s="284" t="inlineStr">
        <is>
          <t>Excluded</t>
        </is>
      </c>
    </row>
    <row r="54">
      <c r="A54" s="266" t="n">
        <v>46249.41597222222</v>
      </c>
      <c r="B54" t="inlineStr">
        <is>
          <t>FAB 4001</t>
        </is>
      </c>
      <c r="C54" t="inlineStr">
        <is>
          <t>Pak Almadina Restaurant</t>
        </is>
      </c>
      <c r="D54" s="267" t="n">
        <v>60.5</v>
      </c>
      <c r="E54" t="inlineStr">
        <is>
          <t>Dining</t>
        </is>
      </c>
      <c r="F54" t="inlineStr">
        <is>
          <t>Personal</t>
        </is>
      </c>
      <c r="G54" s="267" t="n">
        <v>97.5</v>
      </c>
      <c r="H54" t="inlineStr">
        <is>
          <t>Expense</t>
        </is>
      </c>
      <c r="I54" t="inlineStr">
        <is>
          <t>Dining</t>
        </is>
      </c>
      <c r="J54" s="54" t="n">
        <v>1</v>
      </c>
      <c r="K54" t="inlineStr">
        <is>
          <t>Personal</t>
        </is>
      </c>
    </row>
    <row r="55">
      <c r="A55" s="266" t="n">
        <v>46249.42708333334</v>
      </c>
      <c r="B55" t="inlineStr">
        <is>
          <t>FAB 4001</t>
        </is>
      </c>
      <c r="C55" t="inlineStr">
        <is>
          <t>Canva · fully refunded</t>
        </is>
      </c>
      <c r="D55" s="267" t="n">
        <v>70</v>
      </c>
      <c r="E55" t="inlineStr">
        <is>
          <t>Refunded / excluded</t>
        </is>
      </c>
      <c r="F55" t="inlineStr">
        <is>
          <t>Refunded / excluded</t>
        </is>
      </c>
      <c r="G55" s="267" t="n">
        <v>27.5</v>
      </c>
      <c r="H55" t="inlineStr">
        <is>
          <t>Original AED 70 debit; later fully refunded; net expense AED 0</t>
        </is>
      </c>
      <c r="I55" s="284" t="inlineStr">
        <is>
          <t>Excluded</t>
        </is>
      </c>
      <c r="J55" s="285" t="n">
        <v>0</v>
      </c>
      <c r="K55" s="284" t="inlineStr">
        <is>
          <t>Excluded</t>
        </is>
      </c>
    </row>
    <row r="56">
      <c r="A56" s="266" t="n">
        <v>46249.45694444444</v>
      </c>
      <c r="B56" t="inlineStr">
        <is>
          <t>FAB 4001</t>
        </is>
      </c>
      <c r="C56" t="inlineStr">
        <is>
          <t>Internal transfer 4002 → 4001</t>
        </is>
      </c>
      <c r="D56" s="267" t="n">
        <v>200</v>
      </c>
      <c r="E56" t="inlineStr">
        <is>
          <t>Account allocation</t>
        </is>
      </c>
      <c r="F56" t="inlineStr">
        <is>
          <t>Transfer</t>
        </is>
      </c>
      <c r="G56" s="267" t="n">
        <v>227.5</v>
      </c>
      <c r="H56" t="inlineStr">
        <is>
          <t>Transfer; not income</t>
        </is>
      </c>
      <c r="I56" s="284" t="inlineStr">
        <is>
          <t>Excluded</t>
        </is>
      </c>
      <c r="J56" s="285" t="n">
        <v>0</v>
      </c>
      <c r="K56" s="284" t="inlineStr">
        <is>
          <t>Excluded</t>
        </is>
      </c>
    </row>
    <row r="57">
      <c r="A57" s="266" t="n">
        <v>46249.45763888889</v>
      </c>
      <c r="B57" t="inlineStr">
        <is>
          <t>FAB 4001</t>
        </is>
      </c>
      <c r="C57" t="inlineStr">
        <is>
          <t>Emarat 1691 Mutina S</t>
        </is>
      </c>
      <c r="D57" s="267" t="n">
        <v>120.02</v>
      </c>
      <c r="E57" t="inlineStr">
        <is>
          <t>Transport &amp; Fuel</t>
        </is>
      </c>
      <c r="F57" t="inlineStr">
        <is>
          <t>Personal</t>
        </is>
      </c>
      <c r="G57" s="267" t="n">
        <v>107.48</v>
      </c>
      <c r="H57" t="inlineStr">
        <is>
          <t>Expense</t>
        </is>
      </c>
      <c r="I57" t="inlineStr">
        <is>
          <t>Fuel &amp; Transport</t>
        </is>
      </c>
      <c r="J57" s="54" t="n">
        <v>1</v>
      </c>
      <c r="K57" t="inlineStr">
        <is>
          <t>Personal</t>
        </is>
      </c>
    </row>
    <row r="58">
      <c r="A58" s="266" t="n">
        <v>46249.49375</v>
      </c>
      <c r="B58" t="inlineStr">
        <is>
          <t>FAB 4001</t>
        </is>
      </c>
      <c r="C58" t="inlineStr">
        <is>
          <t>Al Rafah Grocery</t>
        </is>
      </c>
      <c r="D58" s="267" t="n">
        <v>5.5</v>
      </c>
      <c r="E58" t="inlineStr">
        <is>
          <t>Groceries</t>
        </is>
      </c>
      <c r="F58" t="inlineStr">
        <is>
          <t>Personal</t>
        </is>
      </c>
      <c r="G58" s="267" t="n">
        <v>101.98</v>
      </c>
      <c r="H58" t="inlineStr">
        <is>
          <t>Expense</t>
        </is>
      </c>
      <c r="I58" t="inlineStr">
        <is>
          <t>Groceries</t>
        </is>
      </c>
      <c r="J58" s="54" t="n">
        <v>1</v>
      </c>
      <c r="K58" t="inlineStr">
        <is>
          <t>Personal</t>
        </is>
      </c>
    </row>
    <row r="59">
      <c r="A59" s="266" t="n">
        <v>46250.41041666667</v>
      </c>
      <c r="B59" t="inlineStr">
        <is>
          <t>FAB 4001</t>
        </is>
      </c>
      <c r="C59" t="inlineStr">
        <is>
          <t>Asas Al Madina General</t>
        </is>
      </c>
      <c r="D59" s="267" t="n">
        <v>14</v>
      </c>
      <c r="E59" t="inlineStr">
        <is>
          <t>Groceries</t>
        </is>
      </c>
      <c r="F59" t="inlineStr">
        <is>
          <t>Personal</t>
        </is>
      </c>
      <c r="G59" s="267" t="n">
        <v>87.98</v>
      </c>
      <c r="H59" t="inlineStr">
        <is>
          <t>Expense</t>
        </is>
      </c>
      <c r="I59" t="inlineStr">
        <is>
          <t>Groceries</t>
        </is>
      </c>
      <c r="J59" s="54" t="n">
        <v>1</v>
      </c>
      <c r="K59" t="inlineStr">
        <is>
          <t>Personal</t>
        </is>
      </c>
    </row>
    <row r="60">
      <c r="A60" s="266" t="n">
        <v>46250.46319444444</v>
      </c>
      <c r="B60" t="inlineStr">
        <is>
          <t>FAB 4001</t>
        </is>
      </c>
      <c r="C60" t="inlineStr">
        <is>
          <t>Asas Al Madina General</t>
        </is>
      </c>
      <c r="D60" s="267" t="n">
        <v>7.3</v>
      </c>
      <c r="E60" t="inlineStr">
        <is>
          <t>Groceries</t>
        </is>
      </c>
      <c r="F60" t="inlineStr">
        <is>
          <t>Personal</t>
        </is>
      </c>
      <c r="G60" s="267" t="n">
        <v>80.68000000000001</v>
      </c>
      <c r="H60" t="inlineStr">
        <is>
          <t>Expense</t>
        </is>
      </c>
      <c r="I60" t="inlineStr">
        <is>
          <t>Groceries</t>
        </is>
      </c>
      <c r="J60" s="54" t="n">
        <v>1</v>
      </c>
      <c r="K60" t="inlineStr">
        <is>
          <t>Personal</t>
        </is>
      </c>
    </row>
    <row r="61">
      <c r="A61" s="266" t="n">
        <v>46250.69166666667</v>
      </c>
      <c r="B61" t="inlineStr">
        <is>
          <t>FAB 4001</t>
        </is>
      </c>
      <c r="C61" t="inlineStr">
        <is>
          <t>Sahil Zam Zam Mandi</t>
        </is>
      </c>
      <c r="D61" s="267" t="n">
        <v>52</v>
      </c>
      <c r="E61" t="inlineStr">
        <is>
          <t>Dining</t>
        </is>
      </c>
      <c r="F61" t="inlineStr">
        <is>
          <t>Personal</t>
        </is>
      </c>
      <c r="G61" s="267" t="n">
        <v>28.68</v>
      </c>
      <c r="H61" t="inlineStr">
        <is>
          <t>Expense</t>
        </is>
      </c>
      <c r="I61" t="inlineStr">
        <is>
          <t>Dining</t>
        </is>
      </c>
      <c r="J61" s="54" t="n">
        <v>1</v>
      </c>
      <c r="K61" t="inlineStr">
        <is>
          <t>Personal</t>
        </is>
      </c>
    </row>
    <row r="62">
      <c r="A62" s="266" t="n">
        <v>46250.70138888889</v>
      </c>
      <c r="B62" t="inlineStr">
        <is>
          <t>FAB 4001</t>
        </is>
      </c>
      <c r="C62" t="inlineStr">
        <is>
          <t>Galadari Ice Cream</t>
        </is>
      </c>
      <c r="D62" s="267" t="n">
        <v>20.01</v>
      </c>
      <c r="E62" t="inlineStr">
        <is>
          <t>Dining</t>
        </is>
      </c>
      <c r="F62" t="inlineStr">
        <is>
          <t>Personal</t>
        </is>
      </c>
      <c r="G62" s="267" t="n">
        <v>8.67</v>
      </c>
      <c r="H62" t="inlineStr">
        <is>
          <t>Expense</t>
        </is>
      </c>
      <c r="I62" t="inlineStr">
        <is>
          <t>Dining</t>
        </is>
      </c>
      <c r="J62" s="54" t="n">
        <v>1</v>
      </c>
      <c r="K62" t="inlineStr">
        <is>
          <t>Personal</t>
        </is>
      </c>
    </row>
    <row r="63">
      <c r="A63" s="266" t="n">
        <v>46250.70208333333</v>
      </c>
      <c r="B63" t="inlineStr">
        <is>
          <t>FAB 4001</t>
        </is>
      </c>
      <c r="C63" t="inlineStr">
        <is>
          <t>Internal transfer 4002 → 4001</t>
        </is>
      </c>
      <c r="D63" s="267" t="n">
        <v>100</v>
      </c>
      <c r="E63" t="inlineStr">
        <is>
          <t>Account allocation</t>
        </is>
      </c>
      <c r="F63" t="inlineStr">
        <is>
          <t>Transfer</t>
        </is>
      </c>
      <c r="G63" s="267" t="n">
        <v>108.67</v>
      </c>
      <c r="H63" t="inlineStr">
        <is>
          <t>Transfer; not income</t>
        </is>
      </c>
      <c r="I63" s="284" t="inlineStr">
        <is>
          <t>Excluded</t>
        </is>
      </c>
      <c r="J63" s="285" t="n">
        <v>0</v>
      </c>
      <c r="K63" s="284" t="inlineStr">
        <is>
          <t>Excluded</t>
        </is>
      </c>
    </row>
    <row r="64">
      <c r="A64" s="266" t="n">
        <v>46250.92708333334</v>
      </c>
      <c r="B64" t="inlineStr">
        <is>
          <t>FAB 4001</t>
        </is>
      </c>
      <c r="C64" t="inlineStr">
        <is>
          <t>Asas Al Madina General</t>
        </is>
      </c>
      <c r="D64" s="267" t="n">
        <v>20.5</v>
      </c>
      <c r="E64" t="inlineStr">
        <is>
          <t>Groceries</t>
        </is>
      </c>
      <c r="F64" t="inlineStr">
        <is>
          <t>Personal</t>
        </is>
      </c>
      <c r="G64" s="267" t="n">
        <v>88.17</v>
      </c>
      <c r="H64" t="inlineStr">
        <is>
          <t>Expense</t>
        </is>
      </c>
      <c r="I64" t="inlineStr">
        <is>
          <t>Groceries</t>
        </is>
      </c>
      <c r="J64" s="54" t="n">
        <v>1</v>
      </c>
      <c r="K64" t="inlineStr">
        <is>
          <t>Personal</t>
        </is>
      </c>
    </row>
    <row r="65">
      <c r="A65" s="266" t="n">
        <v>46251.63055555556</v>
      </c>
      <c r="B65" t="inlineStr">
        <is>
          <t>FAB 4001</t>
        </is>
      </c>
      <c r="C65" t="inlineStr">
        <is>
          <t>Asas Al Madina General</t>
        </is>
      </c>
      <c r="D65" s="267" t="n">
        <v>14</v>
      </c>
      <c r="E65" t="inlineStr">
        <is>
          <t>Groceries</t>
        </is>
      </c>
      <c r="F65" t="inlineStr">
        <is>
          <t>Personal</t>
        </is>
      </c>
      <c r="G65" s="267" t="n">
        <v>74.17</v>
      </c>
      <c r="H65" t="inlineStr">
        <is>
          <t>Expense</t>
        </is>
      </c>
      <c r="I65" t="inlineStr">
        <is>
          <t>Groceries</t>
        </is>
      </c>
      <c r="J65" s="54" t="n">
        <v>1</v>
      </c>
      <c r="K65" t="inlineStr">
        <is>
          <t>Personal</t>
        </is>
      </c>
    </row>
    <row r="66">
      <c r="A66" s="266" t="n">
        <v>46251.63472222222</v>
      </c>
      <c r="B66" t="inlineStr">
        <is>
          <t>NBD current</t>
        </is>
      </c>
      <c r="C66" t="inlineStr">
        <is>
          <t>S R N Supermarket</t>
        </is>
      </c>
      <c r="D66" s="267" t="n">
        <v>2</v>
      </c>
      <c r="E66" t="inlineStr">
        <is>
          <t>Groceries</t>
        </is>
      </c>
      <c r="F66" t="inlineStr">
        <is>
          <t>Household</t>
        </is>
      </c>
      <c r="G66" s="267" t="n">
        <v>0.2</v>
      </c>
      <c r="H66" t="inlineStr">
        <is>
          <t>Expense; NBD card 3695</t>
        </is>
      </c>
      <c r="I66" t="inlineStr">
        <is>
          <t>Groceries</t>
        </is>
      </c>
      <c r="J66" s="54" t="n">
        <v>1</v>
      </c>
      <c r="K66" t="inlineStr">
        <is>
          <t>Household</t>
        </is>
      </c>
    </row>
    <row r="67">
      <c r="A67" s="266" t="n">
        <v>46251.58263888889</v>
      </c>
      <c r="B67" t="inlineStr">
        <is>
          <t>FAB 4001</t>
        </is>
      </c>
      <c r="C67" t="inlineStr">
        <is>
          <t>Canva refund · no SMS</t>
        </is>
      </c>
      <c r="D67" s="267" t="n">
        <v>70</v>
      </c>
      <c r="E67" t="inlineStr">
        <is>
          <t>Refund / reversal</t>
        </is>
      </c>
      <c r="F67" t="inlineStr">
        <is>
          <t>Refunded / excluded</t>
        </is>
      </c>
      <c r="G67" s="267" t="n">
        <v>122.17</v>
      </c>
      <c r="H67" t="inlineStr">
        <is>
          <t>Balance-derived: AED 74.17 − AED 22 + AED 70 = AED 122.17; exact posting time unknown</t>
        </is>
      </c>
      <c r="I67" s="284" t="inlineStr">
        <is>
          <t>Excluded</t>
        </is>
      </c>
      <c r="J67" s="285" t="n">
        <v>0</v>
      </c>
      <c r="K67" s="284" t="inlineStr">
        <is>
          <t>Excluded</t>
        </is>
      </c>
    </row>
    <row r="68">
      <c r="A68" s="266" t="n">
        <v>46251.75069444445</v>
      </c>
      <c r="B68" t="inlineStr">
        <is>
          <t>FAB 4001</t>
        </is>
      </c>
      <c r="C68" t="inlineStr">
        <is>
          <t>Spicy Falcon Restaurant</t>
        </is>
      </c>
      <c r="D68" s="267" t="n">
        <v>22</v>
      </c>
      <c r="E68" t="inlineStr">
        <is>
          <t>Dining</t>
        </is>
      </c>
      <c r="F68" t="inlineStr">
        <is>
          <t>Personal</t>
        </is>
      </c>
      <c r="G68" s="267" t="n">
        <v>122.17</v>
      </c>
      <c r="H68" t="inlineStr">
        <is>
          <t>Expense</t>
        </is>
      </c>
      <c r="I68" t="inlineStr">
        <is>
          <t>Dining</t>
        </is>
      </c>
      <c r="J68" s="54" t="n">
        <v>1</v>
      </c>
      <c r="K68" t="inlineStr">
        <is>
          <t>Personal</t>
        </is>
      </c>
    </row>
    <row r="69">
      <c r="A69" s="266" t="n">
        <v>46252.28125</v>
      </c>
      <c r="B69" t="inlineStr">
        <is>
          <t>FAB 4001</t>
        </is>
      </c>
      <c r="C69" t="inlineStr">
        <is>
          <t>Dubai Duty Free</t>
        </is>
      </c>
      <c r="D69" s="267" t="n">
        <v>13</v>
      </c>
      <c r="E69" t="inlineStr">
        <is>
          <t>Lifestyle</t>
        </is>
      </c>
      <c r="F69" t="inlineStr">
        <is>
          <t>Personal</t>
        </is>
      </c>
      <c r="G69" s="267" t="n">
        <v>109.17</v>
      </c>
      <c r="H69" t="inlineStr">
        <is>
          <t>Expense</t>
        </is>
      </c>
      <c r="I69" t="inlineStr">
        <is>
          <t>Lifestyle &amp; Shopping</t>
        </is>
      </c>
      <c r="J69" s="54" t="n">
        <v>1</v>
      </c>
      <c r="K69" t="inlineStr">
        <is>
          <t>Personal</t>
        </is>
      </c>
    </row>
    <row r="70">
      <c r="A70" s="266" t="n">
        <v>46252.31041666667</v>
      </c>
      <c r="B70" t="inlineStr">
        <is>
          <t>FAB 4001</t>
        </is>
      </c>
      <c r="C70" t="inlineStr">
        <is>
          <t>Jackson Trading Co LLC</t>
        </is>
      </c>
      <c r="D70" s="267" t="n">
        <v>3</v>
      </c>
      <c r="E70" t="inlineStr">
        <is>
          <t>Lifestyle</t>
        </is>
      </c>
      <c r="F70" t="inlineStr">
        <is>
          <t>Personal</t>
        </is>
      </c>
      <c r="G70" s="267" t="n">
        <v>106.17</v>
      </c>
      <c r="H70" t="inlineStr">
        <is>
          <t>Expense</t>
        </is>
      </c>
      <c r="I70" t="inlineStr">
        <is>
          <t>Lifestyle &amp; Shopping</t>
        </is>
      </c>
      <c r="J70" s="54" t="n">
        <v>1</v>
      </c>
      <c r="K70" t="inlineStr">
        <is>
          <t>Personal</t>
        </is>
      </c>
    </row>
    <row r="71">
      <c r="A71" s="266" t="n">
        <v>46252.31111111111</v>
      </c>
      <c r="B71" t="inlineStr">
        <is>
          <t>FAB 4001</t>
        </is>
      </c>
      <c r="C71" t="inlineStr">
        <is>
          <t>Jackson Trading Co LLC</t>
        </is>
      </c>
      <c r="D71" s="267" t="n">
        <v>2</v>
      </c>
      <c r="E71" t="inlineStr">
        <is>
          <t>Lifestyle</t>
        </is>
      </c>
      <c r="F71" t="inlineStr">
        <is>
          <t>Personal</t>
        </is>
      </c>
      <c r="G71" s="267" t="n">
        <v>104.17</v>
      </c>
      <c r="H71" t="inlineStr">
        <is>
          <t>Expense</t>
        </is>
      </c>
      <c r="I71" t="inlineStr">
        <is>
          <t>Lifestyle &amp; Shopping</t>
        </is>
      </c>
      <c r="J71" s="54" t="n">
        <v>1</v>
      </c>
      <c r="K71" t="inlineStr">
        <is>
          <t>Personal</t>
        </is>
      </c>
    </row>
    <row r="72">
      <c r="A72" s="266" t="n">
        <v>46252.32638888889</v>
      </c>
      <c r="B72" t="inlineStr">
        <is>
          <t>FAB 4001</t>
        </is>
      </c>
      <c r="C72" t="inlineStr">
        <is>
          <t>External transfer to account/card 7801</t>
        </is>
      </c>
      <c r="D72" s="267" t="n">
        <v>50</v>
      </c>
      <c r="E72" t="inlineStr">
        <is>
          <t>Transfer out</t>
        </is>
      </c>
      <c r="F72" t="inlineStr">
        <is>
          <t>Unverified external</t>
        </is>
      </c>
      <c r="G72" s="267" t="n">
        <v>54.17</v>
      </c>
      <c r="H72" t="inlineStr">
        <is>
          <t>Outflow; destination is not a tracked account unless later confirmed</t>
        </is>
      </c>
      <c r="I72" t="inlineStr">
        <is>
          <t>Unreconciled</t>
        </is>
      </c>
      <c r="J72" s="54" t="n">
        <v>1</v>
      </c>
      <c r="K72" t="inlineStr">
        <is>
          <t>Household</t>
        </is>
      </c>
    </row>
    <row r="73">
      <c r="A73" s="266" t="n">
        <v>46252.32638888889</v>
      </c>
      <c r="B73" t="inlineStr">
        <is>
          <t>FAB 4001</t>
        </is>
      </c>
      <c r="C73" t="inlineStr">
        <is>
          <t>External transfer fee</t>
        </is>
      </c>
      <c r="D73" s="267" t="n">
        <v>0.49</v>
      </c>
      <c r="E73" t="inlineStr">
        <is>
          <t>Bank fee</t>
        </is>
      </c>
      <c r="F73" t="inlineStr">
        <is>
          <t>Personal</t>
        </is>
      </c>
      <c r="G73" s="267" t="n">
        <v>53.68</v>
      </c>
      <c r="H73" t="inlineStr">
        <is>
          <t>Balance-derived fee; reconciles adjacent confirmed balances</t>
        </is>
      </c>
      <c r="I73" t="inlineStr">
        <is>
          <t>Bank Fees</t>
        </is>
      </c>
      <c r="J73" s="54" t="n">
        <v>1</v>
      </c>
      <c r="K73" t="inlineStr">
        <is>
          <t>Personal</t>
        </is>
      </c>
    </row>
    <row r="74">
      <c r="A74" s="266" t="n">
        <v>46252.89861111111</v>
      </c>
      <c r="B74" t="inlineStr">
        <is>
          <t>FAB 4001</t>
        </is>
      </c>
      <c r="C74" t="inlineStr">
        <is>
          <t>Malek Altikka Restaurant</t>
        </is>
      </c>
      <c r="D74" s="267" t="n">
        <v>30</v>
      </c>
      <c r="E74" t="inlineStr">
        <is>
          <t>Dining</t>
        </is>
      </c>
      <c r="F74" t="inlineStr">
        <is>
          <t>Personal</t>
        </is>
      </c>
      <c r="G74" s="267" t="n">
        <v>23.68</v>
      </c>
      <c r="H74" t="inlineStr">
        <is>
          <t>Expense</t>
        </is>
      </c>
      <c r="I74" t="inlineStr">
        <is>
          <t>Dining</t>
        </is>
      </c>
      <c r="J74" s="54" t="n">
        <v>1</v>
      </c>
      <c r="K74" t="inlineStr">
        <is>
          <t>Personal</t>
        </is>
      </c>
    </row>
    <row r="75">
      <c r="A75" s="266" t="n">
        <v>46253.26875</v>
      </c>
      <c r="B75" t="inlineStr">
        <is>
          <t>FAB 4001</t>
        </is>
      </c>
      <c r="C75" t="inlineStr">
        <is>
          <t>ENOC Site 39</t>
        </is>
      </c>
      <c r="D75" s="267" t="n">
        <v>13.5</v>
      </c>
      <c r="E75" t="inlineStr">
        <is>
          <t>Transport &amp; Fuel</t>
        </is>
      </c>
      <c r="F75" t="inlineStr">
        <is>
          <t>Personal</t>
        </is>
      </c>
      <c r="G75" s="267" t="n">
        <v>10.18</v>
      </c>
      <c r="H75" t="inlineStr">
        <is>
          <t>Expense</t>
        </is>
      </c>
      <c r="I75" t="inlineStr">
        <is>
          <t>Fuel &amp; Transport</t>
        </is>
      </c>
      <c r="J75" s="54" t="n">
        <v>1</v>
      </c>
      <c r="K75" t="inlineStr">
        <is>
          <t>Personal</t>
        </is>
      </c>
    </row>
    <row r="76">
      <c r="A76" s="266" t="n">
        <v>46253.80833333333</v>
      </c>
      <c r="B76" t="inlineStr">
        <is>
          <t>FAB 4001</t>
        </is>
      </c>
      <c r="C76" t="inlineStr">
        <is>
          <t>Internal transfer 4002 → 4001</t>
        </is>
      </c>
      <c r="D76" s="267" t="n">
        <v>60</v>
      </c>
      <c r="E76" t="inlineStr">
        <is>
          <t>Account allocation</t>
        </is>
      </c>
      <c r="F76" t="inlineStr">
        <is>
          <t>Transfer</t>
        </is>
      </c>
      <c r="G76" s="267" t="n">
        <v>70.18000000000001</v>
      </c>
      <c r="H76" t="inlineStr">
        <is>
          <t>Transfer; not income</t>
        </is>
      </c>
      <c r="I76" s="284" t="inlineStr">
        <is>
          <t>Excluded</t>
        </is>
      </c>
      <c r="J76" s="285" t="n">
        <v>0</v>
      </c>
      <c r="K76" s="284" t="inlineStr">
        <is>
          <t>Excluded</t>
        </is>
      </c>
    </row>
    <row r="77">
      <c r="A77" s="266" t="n">
        <v>46253.80833333333</v>
      </c>
      <c r="B77" t="inlineStr">
        <is>
          <t>FAB 4001</t>
        </is>
      </c>
      <c r="C77" t="inlineStr">
        <is>
          <t>RTA Dubai Metro</t>
        </is>
      </c>
      <c r="D77" s="267" t="n">
        <v>20</v>
      </c>
      <c r="E77" t="inlineStr">
        <is>
          <t>Transport</t>
        </is>
      </c>
      <c r="F77" t="inlineStr">
        <is>
          <t>Personal</t>
        </is>
      </c>
      <c r="G77" s="267" t="n">
        <v>50.18</v>
      </c>
      <c r="H77" t="inlineStr">
        <is>
          <t>Expense</t>
        </is>
      </c>
      <c r="I77" t="inlineStr">
        <is>
          <t>Fuel &amp; Transport</t>
        </is>
      </c>
      <c r="J77" s="54" t="n">
        <v>1</v>
      </c>
      <c r="K77" t="inlineStr">
        <is>
          <t>Personal</t>
        </is>
      </c>
    </row>
    <row r="78">
      <c r="A78" s="266" t="n">
        <v>46253.96875</v>
      </c>
      <c r="B78" t="inlineStr">
        <is>
          <t>FAB 4001</t>
        </is>
      </c>
      <c r="C78" t="inlineStr">
        <is>
          <t>Asas Al Madina General</t>
        </is>
      </c>
      <c r="D78" s="267" t="n">
        <v>4</v>
      </c>
      <c r="E78" t="inlineStr">
        <is>
          <t>Groceries</t>
        </is>
      </c>
      <c r="F78" t="inlineStr">
        <is>
          <t>Personal</t>
        </is>
      </c>
      <c r="G78" s="267" t="n">
        <v>46.18</v>
      </c>
      <c r="H78" t="inlineStr">
        <is>
          <t>Expense</t>
        </is>
      </c>
      <c r="I78" t="inlineStr">
        <is>
          <t>Groceries</t>
        </is>
      </c>
      <c r="J78" s="54" t="n">
        <v>1</v>
      </c>
      <c r="K78" t="inlineStr">
        <is>
          <t>Personal</t>
        </is>
      </c>
    </row>
    <row r="79">
      <c r="A79" s="266" t="n">
        <v>46254.74583333333</v>
      </c>
      <c r="B79" t="inlineStr">
        <is>
          <t>FAB 4001</t>
        </is>
      </c>
      <c r="C79" t="inlineStr">
        <is>
          <t>Asas Al Madina General</t>
        </is>
      </c>
      <c r="D79" s="267" t="n">
        <v>14</v>
      </c>
      <c r="E79" t="inlineStr">
        <is>
          <t>Groceries</t>
        </is>
      </c>
      <c r="F79" t="inlineStr">
        <is>
          <t>Personal</t>
        </is>
      </c>
      <c r="G79" s="267" t="n">
        <v>32.18</v>
      </c>
      <c r="H79" t="inlineStr">
        <is>
          <t>Expense</t>
        </is>
      </c>
      <c r="I79" t="inlineStr">
        <is>
          <t>Groceries</t>
        </is>
      </c>
      <c r="J79" s="54" t="n">
        <v>1</v>
      </c>
      <c r="K79" t="inlineStr">
        <is>
          <t>Personal</t>
        </is>
      </c>
    </row>
    <row r="80">
      <c r="A80" s="266" t="n">
        <v>46254.76805555556</v>
      </c>
      <c r="B80" t="inlineStr">
        <is>
          <t>FAB 4001</t>
        </is>
      </c>
      <c r="C80" t="inlineStr">
        <is>
          <t>Eat and Drink Restaurant</t>
        </is>
      </c>
      <c r="D80" s="267" t="n">
        <v>12</v>
      </c>
      <c r="E80" t="inlineStr">
        <is>
          <t>Dining</t>
        </is>
      </c>
      <c r="F80" t="inlineStr">
        <is>
          <t>Personal</t>
        </is>
      </c>
      <c r="G80" s="267" t="n">
        <v>20.18</v>
      </c>
      <c r="H80" t="inlineStr">
        <is>
          <t>Expense</t>
        </is>
      </c>
      <c r="I80" t="inlineStr">
        <is>
          <t>Dining</t>
        </is>
      </c>
      <c r="J80" s="54" t="n">
        <v>1</v>
      </c>
      <c r="K80" t="inlineStr">
        <is>
          <t>Personal</t>
        </is>
      </c>
    </row>
    <row r="81">
      <c r="A81" s="266" t="n">
        <v>46255.37291666667</v>
      </c>
      <c r="B81" t="inlineStr">
        <is>
          <t>FAB 4001</t>
        </is>
      </c>
      <c r="C81" t="inlineStr">
        <is>
          <t>S R N Supermarket</t>
        </is>
      </c>
      <c r="D81" s="267" t="n">
        <v>2.99</v>
      </c>
      <c r="E81" t="inlineStr">
        <is>
          <t>Groceries</t>
        </is>
      </c>
      <c r="F81" t="inlineStr">
        <is>
          <t>Personal</t>
        </is>
      </c>
      <c r="G81" s="267" t="n">
        <v>17.19</v>
      </c>
      <c r="H81" t="inlineStr">
        <is>
          <t>Expense</t>
        </is>
      </c>
      <c r="I81" t="inlineStr">
        <is>
          <t>Groceries</t>
        </is>
      </c>
      <c r="J81" s="54" t="n">
        <v>1</v>
      </c>
      <c r="K81" t="inlineStr">
        <is>
          <t>Personal</t>
        </is>
      </c>
    </row>
    <row r="82">
      <c r="A82" s="266" t="n">
        <v>46255.39652777778</v>
      </c>
      <c r="B82" t="inlineStr">
        <is>
          <t>FAB 4001</t>
        </is>
      </c>
      <c r="C82" t="inlineStr">
        <is>
          <t>S R N Supermarket</t>
        </is>
      </c>
      <c r="D82" s="267" t="n">
        <v>2.99</v>
      </c>
      <c r="E82" t="inlineStr">
        <is>
          <t>Groceries</t>
        </is>
      </c>
      <c r="F82" t="inlineStr">
        <is>
          <t>Personal</t>
        </is>
      </c>
      <c r="G82" s="267" t="n">
        <v>14.2</v>
      </c>
      <c r="H82" t="inlineStr">
        <is>
          <t>Expense</t>
        </is>
      </c>
      <c r="I82" t="inlineStr">
        <is>
          <t>Groceries</t>
        </is>
      </c>
      <c r="J82" s="54" t="n">
        <v>1</v>
      </c>
      <c r="K82" t="inlineStr">
        <is>
          <t>Personal</t>
        </is>
      </c>
    </row>
    <row r="83">
      <c r="A83" s="266" t="n">
        <v>46255.50763888889</v>
      </c>
      <c r="B83" t="inlineStr">
        <is>
          <t>FAB 4001</t>
        </is>
      </c>
      <c r="C83" t="inlineStr">
        <is>
          <t>Asas Al Madina General</t>
        </is>
      </c>
      <c r="D83" s="267" t="n">
        <v>13.5</v>
      </c>
      <c r="E83" t="inlineStr">
        <is>
          <t>Groceries</t>
        </is>
      </c>
      <c r="F83" t="inlineStr">
        <is>
          <t>Personal</t>
        </is>
      </c>
      <c r="G83" s="267" t="n">
        <v>0.7</v>
      </c>
      <c r="H83" t="inlineStr">
        <is>
          <t>Expense</t>
        </is>
      </c>
      <c r="I83" t="inlineStr">
        <is>
          <t>Groceries</t>
        </is>
      </c>
      <c r="J83" s="54" t="n">
        <v>1</v>
      </c>
      <c r="K83" t="inlineStr">
        <is>
          <t>Personal</t>
        </is>
      </c>
    </row>
    <row r="84">
      <c r="A84" s="266" t="n">
        <v>46255.89652777778</v>
      </c>
      <c r="B84" t="inlineStr">
        <is>
          <t>FAB 4001</t>
        </is>
      </c>
      <c r="C84" t="inlineStr">
        <is>
          <t>Internal transfer 4002 → 4001</t>
        </is>
      </c>
      <c r="D84" s="267" t="n">
        <v>100</v>
      </c>
      <c r="E84" t="inlineStr">
        <is>
          <t>Account allocation</t>
        </is>
      </c>
      <c r="F84" t="inlineStr">
        <is>
          <t>Transfer</t>
        </is>
      </c>
      <c r="G84" s="267" t="n">
        <v>100.7</v>
      </c>
      <c r="H84" t="inlineStr">
        <is>
          <t>Transfer; not income</t>
        </is>
      </c>
      <c r="I84" s="284" t="inlineStr">
        <is>
          <t>Excluded</t>
        </is>
      </c>
      <c r="J84" s="285" t="n">
        <v>0</v>
      </c>
      <c r="K84" s="284" t="inlineStr">
        <is>
          <t>Excluded</t>
        </is>
      </c>
    </row>
    <row r="85">
      <c r="A85" s="266" t="n">
        <v>46255.91875</v>
      </c>
      <c r="B85" t="inlineStr">
        <is>
          <t>FAB 4001</t>
        </is>
      </c>
      <c r="C85" t="inlineStr">
        <is>
          <t>Spicy Falcon Restaurant</t>
        </is>
      </c>
      <c r="D85" s="267" t="n">
        <v>26.5</v>
      </c>
      <c r="E85" t="inlineStr">
        <is>
          <t>Dining</t>
        </is>
      </c>
      <c r="F85" t="inlineStr">
        <is>
          <t>Personal</t>
        </is>
      </c>
      <c r="G85" s="267" t="n">
        <v>74.2</v>
      </c>
      <c r="H85" t="inlineStr">
        <is>
          <t>Expense</t>
        </is>
      </c>
      <c r="I85" t="inlineStr">
        <is>
          <t>Dining</t>
        </is>
      </c>
      <c r="J85" s="54" t="n">
        <v>1</v>
      </c>
      <c r="K85" t="inlineStr">
        <is>
          <t>Personal</t>
        </is>
      </c>
    </row>
    <row r="86">
      <c r="A86" s="266" t="n">
        <v>46256.49027777778</v>
      </c>
      <c r="B86" t="inlineStr">
        <is>
          <t>FAB 4001</t>
        </is>
      </c>
      <c r="C86" t="inlineStr">
        <is>
          <t>ISK Gents Saloon</t>
        </is>
      </c>
      <c r="D86" s="267" t="n">
        <v>65</v>
      </c>
      <c r="E86" t="inlineStr">
        <is>
          <t>Grooming</t>
        </is>
      </c>
      <c r="F86" t="inlineStr">
        <is>
          <t>Personal</t>
        </is>
      </c>
      <c r="G86" s="267" t="n">
        <v>9.199999999999999</v>
      </c>
      <c r="H86" t="inlineStr">
        <is>
          <t>Expense</t>
        </is>
      </c>
      <c r="I86" t="inlineStr">
        <is>
          <t>Grooming</t>
        </is>
      </c>
      <c r="J86" s="54" t="n">
        <v>1</v>
      </c>
      <c r="K86" t="inlineStr">
        <is>
          <t>Personal</t>
        </is>
      </c>
    </row>
    <row r="87">
      <c r="A87" s="266" t="n">
        <v>46256.49375</v>
      </c>
      <c r="B87" t="inlineStr">
        <is>
          <t>FAB 4001</t>
        </is>
      </c>
      <c r="C87" t="inlineStr">
        <is>
          <t>Internal transfer 4002 → 4001</t>
        </is>
      </c>
      <c r="D87" s="267" t="n">
        <v>80</v>
      </c>
      <c r="E87" t="inlineStr">
        <is>
          <t>Account allocation</t>
        </is>
      </c>
      <c r="F87" t="inlineStr">
        <is>
          <t>Transfer</t>
        </is>
      </c>
      <c r="G87" s="267" t="n">
        <v>89.2</v>
      </c>
      <c r="H87" t="inlineStr">
        <is>
          <t>Transfer; not income</t>
        </is>
      </c>
      <c r="I87" s="284" t="inlineStr">
        <is>
          <t>Excluded</t>
        </is>
      </c>
      <c r="J87" s="285" t="n">
        <v>0</v>
      </c>
      <c r="K87" s="284" t="inlineStr">
        <is>
          <t>Excluded</t>
        </is>
      </c>
    </row>
    <row r="88">
      <c r="A88" s="266" t="n">
        <v>46256.49513888889</v>
      </c>
      <c r="B88" t="inlineStr">
        <is>
          <t>FAB 4001</t>
        </is>
      </c>
      <c r="C88" t="inlineStr">
        <is>
          <t>Asas Al Madina General</t>
        </is>
      </c>
      <c r="D88" s="267" t="n">
        <v>14</v>
      </c>
      <c r="E88" t="inlineStr">
        <is>
          <t>Groceries</t>
        </is>
      </c>
      <c r="F88" t="inlineStr">
        <is>
          <t>Personal</t>
        </is>
      </c>
      <c r="G88" s="267" t="n">
        <v>75.2</v>
      </c>
      <c r="H88" t="inlineStr">
        <is>
          <t>Expense</t>
        </is>
      </c>
      <c r="I88" t="inlineStr">
        <is>
          <t>Groceries</t>
        </is>
      </c>
      <c r="J88" s="54" t="n">
        <v>1</v>
      </c>
      <c r="K88" t="inlineStr">
        <is>
          <t>Personal</t>
        </is>
      </c>
    </row>
    <row r="89">
      <c r="A89" s="266" t="n">
        <v>46256.64236111111</v>
      </c>
      <c r="B89" t="inlineStr">
        <is>
          <t>FAB 4001</t>
        </is>
      </c>
      <c r="C89" t="inlineStr">
        <is>
          <t>Internal transfer 4002 → 4001</t>
        </is>
      </c>
      <c r="D89" s="267" t="n">
        <v>200</v>
      </c>
      <c r="E89" t="inlineStr">
        <is>
          <t>Account allocation</t>
        </is>
      </c>
      <c r="F89" t="inlineStr">
        <is>
          <t>Transfer</t>
        </is>
      </c>
      <c r="G89" s="267" t="n">
        <v>275.2</v>
      </c>
      <c r="H89" t="inlineStr">
        <is>
          <t>Transfer; not income</t>
        </is>
      </c>
      <c r="I89" s="284" t="inlineStr">
        <is>
          <t>Excluded</t>
        </is>
      </c>
      <c r="J89" s="285" t="n">
        <v>0</v>
      </c>
      <c r="K89" s="284" t="inlineStr">
        <is>
          <t>Excluded</t>
        </is>
      </c>
    </row>
    <row r="90">
      <c r="A90" s="266" t="n">
        <v>46256.64652777778</v>
      </c>
      <c r="B90" t="inlineStr">
        <is>
          <t>FAB 4001</t>
        </is>
      </c>
      <c r="C90" t="inlineStr">
        <is>
          <t>25 Hours F and B</t>
        </is>
      </c>
      <c r="D90" s="267" t="n">
        <v>63.75</v>
      </c>
      <c r="E90" t="inlineStr">
        <is>
          <t>Dining</t>
        </is>
      </c>
      <c r="F90" t="inlineStr">
        <is>
          <t>Personal</t>
        </is>
      </c>
      <c r="G90" s="267" t="n">
        <v>211.45</v>
      </c>
      <c r="H90" t="inlineStr">
        <is>
          <t>Expense</t>
        </is>
      </c>
      <c r="I90" t="inlineStr">
        <is>
          <t>Dining</t>
        </is>
      </c>
      <c r="J90" s="54" t="n">
        <v>1</v>
      </c>
      <c r="K90" t="inlineStr">
        <is>
          <t>Personal</t>
        </is>
      </c>
    </row>
    <row r="91">
      <c r="A91" s="266" t="n">
        <v>46256.65277777778</v>
      </c>
      <c r="B91" t="inlineStr">
        <is>
          <t>FAB 4001</t>
        </is>
      </c>
      <c r="C91" t="inlineStr">
        <is>
          <t>25 Hours F and B</t>
        </is>
      </c>
      <c r="D91" s="267" t="n">
        <v>100</v>
      </c>
      <c r="E91" t="inlineStr">
        <is>
          <t>Dining</t>
        </is>
      </c>
      <c r="F91" t="inlineStr">
        <is>
          <t>Personal</t>
        </is>
      </c>
      <c r="G91" s="267" t="n">
        <v>111.45</v>
      </c>
      <c r="H91" t="inlineStr">
        <is>
          <t>Expense</t>
        </is>
      </c>
      <c r="I91" t="inlineStr">
        <is>
          <t>Dining</t>
        </is>
      </c>
      <c r="J91" s="54" t="n">
        <v>1</v>
      </c>
      <c r="K91" t="inlineStr">
        <is>
          <t>Personal</t>
        </is>
      </c>
    </row>
    <row r="92">
      <c r="A92" s="266" t="n">
        <v>46256.72083333333</v>
      </c>
      <c r="B92" t="inlineStr">
        <is>
          <t>FAB 4001</t>
        </is>
      </c>
      <c r="C92" t="inlineStr">
        <is>
          <t>Internal transfer 4002 → 4001</t>
        </is>
      </c>
      <c r="D92" s="267" t="n">
        <v>500</v>
      </c>
      <c r="E92" t="inlineStr">
        <is>
          <t>Account allocation</t>
        </is>
      </c>
      <c r="F92" t="inlineStr">
        <is>
          <t>Transfer</t>
        </is>
      </c>
      <c r="G92" s="267" t="n">
        <v>611.45</v>
      </c>
      <c r="H92" t="inlineStr">
        <is>
          <t>Transfer; not income</t>
        </is>
      </c>
      <c r="I92" s="284" t="inlineStr">
        <is>
          <t>Excluded</t>
        </is>
      </c>
      <c r="J92" s="285" t="n">
        <v>0</v>
      </c>
      <c r="K92" s="284" t="inlineStr">
        <is>
          <t>Excluded</t>
        </is>
      </c>
    </row>
    <row r="93">
      <c r="A93" s="266" t="n">
        <v>46256.73611111111</v>
      </c>
      <c r="B93" t="inlineStr">
        <is>
          <t>FAB 4001</t>
        </is>
      </c>
      <c r="C93" t="inlineStr">
        <is>
          <t>Sofitel Dubai Downtown</t>
        </is>
      </c>
      <c r="D93" s="267" t="n">
        <v>10</v>
      </c>
      <c r="E93" t="inlineStr">
        <is>
          <t>Dining</t>
        </is>
      </c>
      <c r="F93" t="inlineStr">
        <is>
          <t>Personal</t>
        </is>
      </c>
      <c r="G93" s="267" t="n">
        <v>601.45</v>
      </c>
      <c r="H93" t="inlineStr">
        <is>
          <t>Expense</t>
        </is>
      </c>
      <c r="I93" t="inlineStr">
        <is>
          <t>Dining</t>
        </is>
      </c>
      <c r="J93" s="54" t="n">
        <v>1</v>
      </c>
      <c r="K93" t="inlineStr">
        <is>
          <t>Personal</t>
        </is>
      </c>
    </row>
    <row r="94">
      <c r="A94" s="266" t="n">
        <v>46256.79444444444</v>
      </c>
      <c r="B94" t="inlineStr">
        <is>
          <t>FAB 4001</t>
        </is>
      </c>
      <c r="C94" t="inlineStr">
        <is>
          <t>Curry Chatti Restaurant</t>
        </is>
      </c>
      <c r="D94" s="267" t="n">
        <v>4</v>
      </c>
      <c r="E94" t="inlineStr">
        <is>
          <t>Dining</t>
        </is>
      </c>
      <c r="F94" t="inlineStr">
        <is>
          <t>Personal</t>
        </is>
      </c>
      <c r="G94" s="267" t="n">
        <v>597.45</v>
      </c>
      <c r="H94" t="inlineStr">
        <is>
          <t>Expense</t>
        </is>
      </c>
      <c r="I94" t="inlineStr">
        <is>
          <t>Dining</t>
        </is>
      </c>
      <c r="J94" s="54" t="n">
        <v>1</v>
      </c>
      <c r="K94" t="inlineStr">
        <is>
          <t>Personal</t>
        </is>
      </c>
    </row>
    <row r="95">
      <c r="A95" s="266" t="n">
        <v>46257.00833333333</v>
      </c>
      <c r="B95" t="inlineStr">
        <is>
          <t>FAB 4001</t>
        </is>
      </c>
      <c r="C95" t="inlineStr">
        <is>
          <t>Asas Al Madina General</t>
        </is>
      </c>
      <c r="D95" s="267" t="n">
        <v>39</v>
      </c>
      <c r="E95" t="inlineStr">
        <is>
          <t>Groceries</t>
        </is>
      </c>
      <c r="F95" t="inlineStr">
        <is>
          <t>Personal</t>
        </is>
      </c>
      <c r="G95" s="267" t="n">
        <v>558.45</v>
      </c>
      <c r="H95" t="inlineStr">
        <is>
          <t>Expense</t>
        </is>
      </c>
      <c r="I95" t="inlineStr">
        <is>
          <t>Groceries</t>
        </is>
      </c>
      <c r="J95" s="54" t="n">
        <v>1</v>
      </c>
      <c r="K95" t="inlineStr">
        <is>
          <t>Personal</t>
        </is>
      </c>
    </row>
    <row r="96">
      <c r="A96" s="266" t="n">
        <v>46257.50555555556</v>
      </c>
      <c r="B96" t="inlineStr">
        <is>
          <t>FAB 4001</t>
        </is>
      </c>
      <c r="C96" t="inlineStr">
        <is>
          <t>Asas Al Madina General</t>
        </is>
      </c>
      <c r="D96" s="267" t="n">
        <v>20</v>
      </c>
      <c r="E96" t="inlineStr">
        <is>
          <t>Groceries</t>
        </is>
      </c>
      <c r="F96" t="inlineStr">
        <is>
          <t>Personal</t>
        </is>
      </c>
      <c r="G96" s="267" t="n">
        <v>538.45</v>
      </c>
      <c r="H96" t="inlineStr">
        <is>
          <t>Expense</t>
        </is>
      </c>
      <c r="I96" t="inlineStr">
        <is>
          <t>Groceries</t>
        </is>
      </c>
      <c r="J96" s="54" t="n">
        <v>1</v>
      </c>
      <c r="K96" t="inlineStr">
        <is>
          <t>Personal</t>
        </is>
      </c>
    </row>
    <row r="97">
      <c r="A97" s="266" t="n">
        <v>46257.79375</v>
      </c>
      <c r="B97" t="inlineStr">
        <is>
          <t>FAB 4001</t>
        </is>
      </c>
      <c r="C97" t="inlineStr">
        <is>
          <t>Cielo Kabab Restaurant</t>
        </is>
      </c>
      <c r="D97" s="267" t="n">
        <v>78</v>
      </c>
      <c r="E97" t="inlineStr">
        <is>
          <t>Dining</t>
        </is>
      </c>
      <c r="F97" t="inlineStr">
        <is>
          <t>Personal</t>
        </is>
      </c>
      <c r="G97" s="267" t="n">
        <v>460.45</v>
      </c>
      <c r="H97" t="inlineStr">
        <is>
          <t>Expense</t>
        </is>
      </c>
      <c r="I97" t="inlineStr">
        <is>
          <t>Dining</t>
        </is>
      </c>
      <c r="J97" s="54" t="n">
        <v>1</v>
      </c>
      <c r="K97" t="inlineStr">
        <is>
          <t>Personal</t>
        </is>
      </c>
    </row>
    <row r="98">
      <c r="A98" s="266" t="n">
        <v>46257.79583333333</v>
      </c>
      <c r="B98" t="inlineStr">
        <is>
          <t>FAB 4001</t>
        </is>
      </c>
      <c r="C98" t="inlineStr">
        <is>
          <t>Nad Al Hamar Star Grocery</t>
        </is>
      </c>
      <c r="D98" s="267" t="n">
        <v>10</v>
      </c>
      <c r="E98" t="inlineStr">
        <is>
          <t>Groceries</t>
        </is>
      </c>
      <c r="F98" t="inlineStr">
        <is>
          <t>Personal</t>
        </is>
      </c>
      <c r="G98" s="267" t="n">
        <v>450.45</v>
      </c>
      <c r="H98" t="inlineStr">
        <is>
          <t>Expense</t>
        </is>
      </c>
      <c r="I98" t="inlineStr">
        <is>
          <t>Groceries</t>
        </is>
      </c>
      <c r="J98" s="54" t="n">
        <v>1</v>
      </c>
      <c r="K98" t="inlineStr">
        <is>
          <t>Personal</t>
        </is>
      </c>
    </row>
    <row r="99">
      <c r="A99" s="266" t="n">
        <v>46257.90069444444</v>
      </c>
      <c r="B99" t="inlineStr">
        <is>
          <t>FAB 4001</t>
        </is>
      </c>
      <c r="C99" t="inlineStr">
        <is>
          <t>Internal transfer 4001 → 4002</t>
        </is>
      </c>
      <c r="D99" s="267" t="n">
        <v>420</v>
      </c>
      <c r="E99" t="inlineStr">
        <is>
          <t>Account allocation</t>
        </is>
      </c>
      <c r="F99" t="inlineStr">
        <is>
          <t>Transfer</t>
        </is>
      </c>
      <c r="G99" s="267" t="n">
        <v>30.45</v>
      </c>
      <c r="H99" t="inlineStr">
        <is>
          <t>Transfer; not spending</t>
        </is>
      </c>
      <c r="I99" s="284" t="inlineStr">
        <is>
          <t>Excluded</t>
        </is>
      </c>
      <c r="J99" s="285" t="n">
        <v>0</v>
      </c>
      <c r="K99" s="284" t="inlineStr">
        <is>
          <t>Excluded</t>
        </is>
      </c>
    </row>
    <row r="100">
      <c r="A100" s="266" t="n">
        <v>46258.27361111111</v>
      </c>
      <c r="B100" t="inlineStr">
        <is>
          <t>FAB 4001</t>
        </is>
      </c>
      <c r="C100" t="inlineStr">
        <is>
          <t>ENOC Site 39</t>
        </is>
      </c>
      <c r="D100" s="267" t="n">
        <v>13.5</v>
      </c>
      <c r="E100" t="inlineStr">
        <is>
          <t>Transport &amp; Fuel</t>
        </is>
      </c>
      <c r="F100" t="inlineStr">
        <is>
          <t>Personal</t>
        </is>
      </c>
      <c r="G100" s="267" t="n">
        <v>16.95</v>
      </c>
      <c r="H100" t="inlineStr">
        <is>
          <t>Expense</t>
        </is>
      </c>
      <c r="I100" t="inlineStr">
        <is>
          <t>Fuel &amp; Transport</t>
        </is>
      </c>
      <c r="J100" s="54" t="n">
        <v>1</v>
      </c>
      <c r="K100" t="inlineStr">
        <is>
          <t>Personal</t>
        </is>
      </c>
    </row>
    <row r="101">
      <c r="A101" s="266" t="n">
        <v>46259.275</v>
      </c>
      <c r="B101" t="inlineStr">
        <is>
          <t>FAB 4001</t>
        </is>
      </c>
      <c r="C101" t="inlineStr">
        <is>
          <t>ENOC Site 39</t>
        </is>
      </c>
      <c r="D101" s="267" t="n">
        <v>13.5</v>
      </c>
      <c r="E101" t="inlineStr">
        <is>
          <t>Transport &amp; Fuel</t>
        </is>
      </c>
      <c r="F101" t="inlineStr">
        <is>
          <t>Personal</t>
        </is>
      </c>
      <c r="G101" s="267" t="n">
        <v>3.45</v>
      </c>
      <c r="H101" t="inlineStr">
        <is>
          <t>Expense</t>
        </is>
      </c>
      <c r="I101" t="inlineStr">
        <is>
          <t>Fuel &amp; Transport</t>
        </is>
      </c>
      <c r="J101" s="54" t="n">
        <v>1</v>
      </c>
      <c r="K101" t="inlineStr">
        <is>
          <t>Personal</t>
        </is>
      </c>
    </row>
  </sheetData>
  <mergeCells count="2">
    <mergeCell ref="A1:H2"/>
    <mergeCell ref="A3:H3"/>
  </mergeCells>
  <conditionalFormatting sqref="F6:F38">
    <cfRule type="containsText" priority="1" operator="containsText" dxfId="2" text="Transfer"/>
  </conditionalFormatting>
  <pageMargins left="0.7" right="0.7" top="0.75" bottom="0.75" header="0.3" footer="0.3"/>
</worksheet>
</file>

<file path=xl/worksheets/sheet8.xml><?xml version="1.0" encoding="utf-8"?>
<worksheet xmlns="http://schemas.openxmlformats.org/spreadsheetml/2006/main">
  <sheetPr>
    <tabColor rgb="FFB45309"/>
    <outlinePr summaryBelow="1" summaryRight="1"/>
    <pageSetUpPr/>
  </sheetPr>
  <dimension ref="A1:H24"/>
  <sheetViews>
    <sheetView showGridLines="0"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8" customWidth="1" min="6" max="6"/>
    <col width="42" customWidth="1" min="7" max="7"/>
  </cols>
  <sheetData>
    <row r="1" ht="29" customHeight="1">
      <c r="A1" s="3" t="inlineStr">
        <is>
          <t>Cash Flow to the October Rent Cheque</t>
        </is>
      </c>
    </row>
    <row r="2" ht="29" customHeight="1"/>
    <row r="3" ht="30" customHeight="1">
      <c r="A3" s="93" t="inlineStr">
        <is>
          <t>The model excludes the 26 Oct salary because the rent cheque clears on 22 Oct.</t>
        </is>
      </c>
    </row>
    <row r="4">
      <c r="A4" s="94" t="n"/>
      <c r="B4" s="94" t="n"/>
      <c r="C4" s="94" t="n"/>
      <c r="D4" s="94" t="n"/>
      <c r="E4" s="94" t="n"/>
      <c r="F4" s="94" t="n"/>
      <c r="G4" s="94" t="n"/>
    </row>
    <row r="5">
      <c r="A5" s="13" t="inlineStr">
        <is>
          <t>Cash flow</t>
        </is>
      </c>
      <c r="B5" s="13" t="inlineStr">
        <is>
          <t>Aug 2026E</t>
        </is>
      </c>
      <c r="C5" s="13" t="inlineStr">
        <is>
          <t>Sep 2026E</t>
        </is>
      </c>
      <c r="D5" s="13" t="inlineStr">
        <is>
          <t>Oct 1–22E</t>
        </is>
      </c>
      <c r="E5" s="13" t="inlineStr">
        <is>
          <t>Total</t>
        </is>
      </c>
      <c r="F5" s="13" t="inlineStr">
        <is>
          <t>Status</t>
        </is>
      </c>
      <c r="G5" s="13" t="inlineStr">
        <is>
          <t>Notes</t>
        </is>
      </c>
    </row>
    <row r="6">
      <c r="A6" s="94" t="inlineStr">
        <is>
          <t>Opening liquid cash</t>
        </is>
      </c>
      <c r="B6" s="243">
        <f>'Inputs'!B14</f>
        <v>6105.64</v>
      </c>
      <c r="C6" s="244">
        <f>B22</f>
        <v>8168.36</v>
      </c>
      <c r="D6" s="244">
        <f>C22</f>
        <v>12428.13</v>
      </c>
      <c r="E6" s="244">
        <f>SUM(B6:D6)</f>
        <v>26702.13</v>
      </c>
      <c r="F6" s="94" t="inlineStr">
        <is>
          <t>Actual / last reported</t>
        </is>
      </c>
      <c r="G6" s="94" t="inlineStr">
        <is>
          <t>Reconciled 25 Aug from FAB app, NBD SMS and last-reported wallet balances</t>
        </is>
      </c>
    </row>
    <row r="7">
      <c r="A7" s="94" t="inlineStr">
        <is>
          <t>Rent refund</t>
        </is>
      </c>
      <c r="B7" s="244" t="n">
        <v>0</v>
      </c>
      <c r="C7" s="244" t="n">
        <v>0</v>
      </c>
      <c r="D7" s="244" t="n">
        <v>0</v>
      </c>
      <c r="E7" s="244" t="n">
        <v>0</v>
      </c>
      <c r="F7" s="94" t="inlineStr">
        <is>
          <t>Actual received</t>
        </is>
      </c>
      <c r="G7" s="94" t="inlineStr">
        <is>
          <t>AED 1,430 is included in opening cash</t>
        </is>
      </c>
    </row>
    <row r="8">
      <c r="A8" s="94" t="inlineStr">
        <is>
          <t>Pending early salary cash</t>
        </is>
      </c>
      <c r="B8" s="244" t="n">
        <v>0</v>
      </c>
      <c r="C8" s="244" t="n">
        <v>0</v>
      </c>
      <c r="D8" s="244" t="n">
        <v>0</v>
      </c>
      <c r="E8" s="244" t="n">
        <v>0</v>
      </c>
      <c r="F8" s="94" t="inlineStr">
        <is>
          <t>Actual received</t>
        </is>
      </c>
      <c r="G8" s="94" t="inlineStr">
        <is>
          <t>AED 1,540 is included in opening cash</t>
        </is>
      </c>
    </row>
    <row r="9">
      <c r="A9" s="94" t="inlineStr">
        <is>
          <t>Remaining Aug payday base</t>
        </is>
      </c>
      <c r="B9" s="244">
        <f>'Inputs'!B22</f>
        <v>2906.0</v>
      </c>
      <c r="C9" s="244">
        <f>0</f>
        <v>0.0</v>
      </c>
      <c r="D9" s="244">
        <f>0</f>
        <v>0.0</v>
      </c>
      <c r="E9" s="244">
        <f>SUM(B9:D9)</f>
        <v>2906.0</v>
      </c>
      <c r="F9" s="94" t="inlineStr">
        <is>
          <t>Estimated</t>
        </is>
      </c>
      <c r="G9" s="94" t="inlineStr">
        <is>
          <t>Approximately AED 2,906 expected 26 Aug; only credited cash counts</t>
        </is>
      </c>
    </row>
    <row r="10">
      <c r="A10" s="94" t="inlineStr">
        <is>
          <t>Expected extra income</t>
        </is>
      </c>
      <c r="B10" s="244">
        <f>'Inputs'!B23</f>
        <v>0.0</v>
      </c>
      <c r="C10" s="244">
        <f>0</f>
        <v>0.0</v>
      </c>
      <c r="D10" s="244">
        <f>0</f>
        <v>0.0</v>
      </c>
      <c r="E10" s="244">
        <f>SUM(B10:D10)</f>
        <v>0.0</v>
      </c>
      <c r="F10" s="94" t="inlineStr">
        <is>
          <t>Estimated</t>
        </is>
      </c>
      <c r="G10" s="94" t="inlineStr">
        <is>
          <t>No additional separate inflow beyond the AED 8,500 estimate</t>
        </is>
      </c>
    </row>
    <row r="11">
      <c r="A11" s="94" t="inlineStr">
        <is>
          <t>September salary</t>
        </is>
      </c>
      <c r="B11" s="244">
        <f>0</f>
        <v>0.0</v>
      </c>
      <c r="C11" s="244">
        <f>'Inputs'!B18</f>
        <v>7914.88</v>
      </c>
      <c r="D11" s="244">
        <f>0</f>
        <v>0.0</v>
      </c>
      <c r="E11" s="244">
        <f>SUM(B11:D11)</f>
        <v>7914.88</v>
      </c>
      <c r="F11" s="94" t="inlineStr">
        <is>
          <t>Estimated</t>
        </is>
      </c>
      <c r="G11" s="94" t="inlineStr">
        <is>
          <t>26 Sep salary available before rent</t>
        </is>
      </c>
    </row>
    <row r="12">
      <c r="A12" s="125" t="inlineStr">
        <is>
          <t>Total available</t>
        </is>
      </c>
      <c r="B12" s="245">
        <f>SUM(B6:B11)</f>
        <v>9011.64</v>
      </c>
      <c r="C12" s="245">
        <f>SUM(C6:C11)</f>
        <v>16083.24</v>
      </c>
      <c r="D12" s="245">
        <f>SUM(D6:D11)</f>
        <v>12428.13</v>
      </c>
      <c r="E12" s="245">
        <f>SUM(B12:D12)</f>
        <v>37523.01</v>
      </c>
      <c r="F12" s="125" t="inlineStr">
        <is>
          <t>Formula</t>
        </is>
      </c>
      <c r="G12" s="125" t="inlineStr">
        <is>
          <t>Opening + inflows</t>
        </is>
      </c>
    </row>
    <row r="13">
      <c r="A13" s="94" t="inlineStr">
        <is>
          <t>DEWA</t>
        </is>
      </c>
      <c r="B13" s="244">
        <f>'Inputs'!B33</f>
        <v>813.28</v>
      </c>
      <c r="C13" s="244">
        <f>'Inputs'!B33</f>
        <v>813.28</v>
      </c>
      <c r="D13" s="244" t="n">
        <v>0</v>
      </c>
      <c r="E13" s="244">
        <f>SUM(B13:D13)</f>
        <v>1626.56</v>
      </c>
      <c r="F13" s="94" t="inlineStr">
        <is>
          <t>Aug actual / Sep baseline</t>
        </is>
      </c>
      <c r="G13" s="94" t="inlineStr">
        <is>
          <t>AED 813.28 actual August bill; September repeats current bill only as a planning baseline</t>
        </is>
      </c>
    </row>
    <row r="14">
      <c r="A14" s="94" t="inlineStr">
        <is>
          <t>du</t>
        </is>
      </c>
      <c r="B14" s="244">
        <f>0</f>
        <v>0.0</v>
      </c>
      <c r="C14" s="244">
        <f>'Inputs'!B34</f>
        <v>590.98</v>
      </c>
      <c r="D14" s="244">
        <f>'Inputs'!B34</f>
        <v>590.98</v>
      </c>
      <c r="E14" s="244">
        <f>SUM(B14:D14)</f>
        <v>1181.96</v>
      </c>
      <c r="F14" s="94" t="inlineStr">
        <is>
          <t>Estimated</t>
        </is>
      </c>
      <c r="G14" s="94" t="inlineStr">
        <is>
          <t>Sep and Oct cycles</t>
        </is>
      </c>
    </row>
    <row r="15">
      <c r="A15" s="94" t="inlineStr">
        <is>
          <t>Etisalat</t>
        </is>
      </c>
      <c r="B15" s="244">
        <f>0</f>
        <v>0.0</v>
      </c>
      <c r="C15" s="244">
        <f>'Inputs'!B35</f>
        <v>323.95</v>
      </c>
      <c r="D15" s="244">
        <f>'Inputs'!B35</f>
        <v>323.95</v>
      </c>
      <c r="E15" s="244">
        <f>SUM(B15:D15)</f>
        <v>647.9</v>
      </c>
      <c r="F15" s="94" t="inlineStr">
        <is>
          <t>Estimated</t>
        </is>
      </c>
      <c r="G15" s="94" t="inlineStr">
        <is>
          <t>Sep and Oct cycles</t>
        </is>
      </c>
    </row>
    <row r="16">
      <c r="A16" s="94" t="inlineStr">
        <is>
          <t>Tabby no-fee minimum</t>
        </is>
      </c>
      <c r="B16" s="244">
        <f>0</f>
        <v>0.0</v>
      </c>
      <c r="C16" s="244">
        <f>'Inputs'!B36</f>
        <v>1314.5</v>
      </c>
      <c r="D16" s="244">
        <f>'Inputs'!B42</f>
        <v>715.33</v>
      </c>
      <c r="E16" s="244">
        <f>SUM(B16:D16)</f>
        <v>2029.83</v>
      </c>
      <c r="F16" s="94" t="inlineStr">
        <is>
          <t>Sep option / Oct generated</t>
        </is>
      </c>
      <c r="G16" s="94" t="inlineStr">
        <is>
          <t>Sep no-fee minimum AED1,314.50; Oct generated statement AED715.33 due 3 Oct</t>
        </is>
      </c>
    </row>
    <row r="17">
      <c r="A17" s="94" t="inlineStr">
        <is>
          <t>Nippon SIP funding</t>
        </is>
      </c>
      <c r="B17" s="244">
        <f>0</f>
        <v>0.0</v>
      </c>
      <c r="C17" s="244">
        <f>'Inputs'!B39</f>
        <v>462.4</v>
      </c>
      <c r="D17" s="244">
        <f>'Inputs'!B39</f>
        <v>462.4</v>
      </c>
      <c r="E17" s="244">
        <f>SUM(B17:D17)</f>
        <v>924.8</v>
      </c>
      <c r="F17" s="94" t="inlineStr">
        <is>
          <t>Estimated</t>
        </is>
      </c>
      <c r="G17" s="94" t="inlineStr">
        <is>
          <t>Sep and Oct funding</t>
        </is>
      </c>
    </row>
    <row r="18">
      <c r="A18" s="94" t="inlineStr">
        <is>
          <t>Living allowance</t>
        </is>
      </c>
      <c r="B18" s="243" t="n">
        <v>30</v>
      </c>
      <c r="C18" s="244" t="n">
        <v>150</v>
      </c>
      <c r="D18" s="244" t="n">
        <v>105</v>
      </c>
      <c r="E18" s="244">
        <f>SUM(B18:D18)</f>
        <v>285.0</v>
      </c>
      <c r="F18" s="94" t="inlineStr">
        <is>
          <t>Damage-control cap</t>
        </is>
      </c>
      <c r="G18" s="94" t="inlineStr">
        <is>
          <t>AED 160 survival allowance through 25 Sep · AED 5/day or AED 35/week</t>
        </is>
      </c>
      <c r="H18" t="inlineStr">
        <is>
          <t>Zero discretionary spending; any overspend directly increases the rent gap</t>
        </is>
      </c>
    </row>
    <row r="19">
      <c r="A19" s="94" t="inlineStr">
        <is>
          <t>Rent cheque</t>
        </is>
      </c>
      <c r="B19" s="244">
        <f>0</f>
        <v>0.0</v>
      </c>
      <c r="C19" s="244">
        <f>0</f>
        <v>0.0</v>
      </c>
      <c r="D19" s="244">
        <f>'Inputs'!B30</f>
        <v>11750.0</v>
      </c>
      <c r="E19" s="244">
        <f>SUM(B19:D19)</f>
        <v>11750.0</v>
      </c>
      <c r="F19" s="94" t="inlineStr">
        <is>
          <t>Actual</t>
        </is>
      </c>
      <c r="G19" s="94" t="inlineStr">
        <is>
          <t>Due 22 Oct</t>
        </is>
      </c>
    </row>
    <row r="20">
      <c r="A20" s="94" t="inlineStr">
        <is>
          <t>Emergency protected</t>
        </is>
      </c>
      <c r="B20" s="244">
        <f>0</f>
        <v>0.0</v>
      </c>
      <c r="C20" s="244">
        <f>0</f>
        <v>0.0</v>
      </c>
      <c r="D20" s="244">
        <f>'Inputs'!B32</f>
        <v>7.67</v>
      </c>
      <c r="E20" s="244">
        <f>SUM(B20:D20)</f>
        <v>7.67</v>
      </c>
      <c r="F20" s="94" t="inlineStr">
        <is>
          <t>Actual</t>
        </is>
      </c>
      <c r="G20" s="94" t="inlineStr">
        <is>
          <t>Protected</t>
        </is>
      </c>
    </row>
    <row r="21">
      <c r="A21" s="246" t="inlineStr">
        <is>
          <t>Total requirements</t>
        </is>
      </c>
      <c r="B21" s="246">
        <f>SUM(B13:B20)</f>
        <v>843.28</v>
      </c>
      <c r="C21" s="246">
        <f>SUM(C13:C20)</f>
        <v>3655.11</v>
      </c>
      <c r="D21" s="246">
        <f>SUM(D13:D20)</f>
        <v>13955.33</v>
      </c>
      <c r="E21" s="246">
        <f>SUM(B21:D21)</f>
        <v>18453.72</v>
      </c>
      <c r="F21" s="246" t="inlineStr">
        <is>
          <t>Formula</t>
        </is>
      </c>
      <c r="G21" s="246" t="inlineStr">
        <is>
          <t>Costs + protected amounts</t>
        </is>
      </c>
    </row>
    <row r="22">
      <c r="A22" s="225" t="inlineStr">
        <is>
          <t>Closing cash / gap</t>
        </is>
      </c>
      <c r="B22" s="225">
        <f>B12-B21</f>
        <v>8168.36</v>
      </c>
      <c r="C22" s="225">
        <f>C12-C21</f>
        <v>12428.13</v>
      </c>
      <c r="D22" s="225">
        <f>D12-D21</f>
        <v>-1527.2</v>
      </c>
      <c r="E22" s="225">
        <f>D22</f>
        <v>-1527.2</v>
      </c>
      <c r="F22" s="225" t="inlineStr">
        <is>
          <t>Formula</t>
        </is>
      </c>
      <c r="G22" s="225" t="inlineStr">
        <is>
          <t>Negative value is the rent-plan shortfall before additional income</t>
        </is>
      </c>
    </row>
    <row r="23">
      <c r="A23" s="128" t="inlineStr">
        <is>
          <t>Rent money before cheque</t>
        </is>
      </c>
      <c r="B23" s="247">
        <f>0</f>
        <v>0.0</v>
      </c>
      <c r="C23" s="247">
        <f>0</f>
        <v>0.0</v>
      </c>
      <c r="D23" s="247">
        <f>D12-SUM(D13:D18)-D20</f>
        <v>10222.8</v>
      </c>
      <c r="E23" s="247">
        <f>D23</f>
        <v>10222.8</v>
      </c>
      <c r="F23" s="128" t="inlineStr">
        <is>
          <t>Formula</t>
        </is>
      </c>
      <c r="G23" s="128" t="inlineStr">
        <is>
          <t>Rent remains protected; near-term bills plus survival exceed available loose cash by AED 189.19 before SIP</t>
        </is>
      </c>
    </row>
    <row r="24">
      <c r="A24" s="128" t="inlineStr">
        <is>
          <t>Rent shortfall</t>
        </is>
      </c>
      <c r="B24" s="247">
        <f>0</f>
        <v>0.0</v>
      </c>
      <c r="C24" s="247">
        <f>0</f>
        <v>0.0</v>
      </c>
      <c r="D24" s="247">
        <f>MAX(0,D19-D23)</f>
        <v>1527.2</v>
      </c>
      <c r="E24" s="247">
        <f>D24</f>
        <v>1527.2</v>
      </c>
      <c r="F24" s="128" t="inlineStr">
        <is>
          <t>SHORTFALL</t>
        </is>
      </c>
      <c r="G24" s="128" t="inlineStr">
        <is>
          <t>Additional banked income required by 21 Oct</t>
        </is>
      </c>
    </row>
  </sheetData>
  <mergeCells count="2">
    <mergeCell ref="A3:G3"/>
    <mergeCell ref="A1:G2"/>
  </mergeCells>
  <conditionalFormatting sqref="B24:E24">
    <cfRule type="cellIs" priority="1" operator="equal" dxfId="0">
      <formula>0</formula>
    </cfRule>
  </conditionalFormatting>
  <pageMargins left="0.7" right="0.7" top="0.75" bottom="0.75" header="0.3" footer="0.3"/>
</worksheet>
</file>

<file path=xl/worksheets/sheet9.xml><?xml version="1.0" encoding="utf-8"?>
<worksheet xmlns="http://schemas.openxmlformats.org/spreadsheetml/2006/main">
  <sheetPr>
    <tabColor rgb="FFB45309"/>
    <outlinePr summaryBelow="1" summaryRight="1"/>
    <pageSetUpPr/>
  </sheetPr>
  <dimension ref="A1:G23"/>
  <sheetViews>
    <sheetView showGridLines="0" workbookViewId="0">
      <selection activeCell="A1" sqref="A1"/>
    </sheetView>
  </sheetViews>
  <sheetFormatPr baseColWidth="8" defaultRowHeight="15"/>
  <cols>
    <col width="34" customWidth="1" min="1" max="1"/>
    <col width="17" customWidth="1" min="2" max="2"/>
    <col width="17" customWidth="1" min="3" max="3"/>
    <col width="18" customWidth="1" min="4" max="4"/>
    <col width="16" customWidth="1" min="5" max="5"/>
    <col width="38" customWidth="1" min="6" max="6"/>
    <col width="32" customWidth="1" min="7" max="7"/>
  </cols>
  <sheetData>
    <row r="1" ht="29" customHeight="1">
      <c r="A1" s="3" t="inlineStr">
        <is>
          <t>October Rent — Zero-Gap Control Plan</t>
        </is>
      </c>
    </row>
    <row r="2" ht="29" customHeight="1"/>
    <row r="3" ht="30" customHeight="1">
      <c r="A3" s="93" t="inlineStr">
        <is>
          <t>A zero result is a conditional plan, not a claim that pending inflows are already banked.</t>
        </is>
      </c>
    </row>
    <row r="4">
      <c r="A4" s="94" t="n"/>
      <c r="B4" s="94" t="n"/>
      <c r="C4" s="94" t="n"/>
      <c r="D4" s="94" t="n"/>
      <c r="E4" s="94" t="n"/>
      <c r="F4" s="94" t="n"/>
      <c r="G4" s="94" t="n"/>
    </row>
    <row r="5" ht="23" customHeight="1">
      <c r="A5" s="9" t="inlineStr">
        <is>
          <t>RECONCILED RENT POSITION</t>
        </is>
      </c>
    </row>
    <row r="6">
      <c r="A6" s="13" t="inlineStr">
        <is>
          <t>Step</t>
        </is>
      </c>
      <c r="B6" s="13" t="inlineStr">
        <is>
          <t>Amount</t>
        </is>
      </c>
      <c r="C6" s="13" t="inlineStr">
        <is>
          <t>Running gap</t>
        </is>
      </c>
      <c r="D6" s="13" t="inlineStr">
        <is>
          <t>Status</t>
        </is>
      </c>
      <c r="E6" s="13" t="inlineStr">
        <is>
          <t>Deadline</t>
        </is>
      </c>
      <c r="F6" s="13" t="inlineStr">
        <is>
          <t>Owner action</t>
        </is>
      </c>
      <c r="G6" s="13" t="inlineStr">
        <is>
          <t>Evidence rule</t>
        </is>
      </c>
    </row>
    <row r="7">
      <c r="A7" s="94" t="inlineStr">
        <is>
          <t>Projected shortfall before damage control</t>
        </is>
      </c>
      <c r="B7" s="228">
        <f>'Monthly Plan'!D24</f>
        <v>1527.2</v>
      </c>
      <c r="C7" s="228">
        <f>B7</f>
        <v>1527.2</v>
      </c>
      <c r="D7" s="94" t="inlineStr">
        <is>
          <t>Open risk</t>
        </is>
      </c>
      <c r="E7" s="224" t="n">
        <v>46316</v>
      </c>
      <c r="F7" s="94" t="inlineStr">
        <is>
          <t>No discretionary spending</t>
        </is>
      </c>
      <c r="G7" s="94" t="inlineStr">
        <is>
          <t>Monthly Plan after all confirmed/estimated obligations</t>
        </is>
      </c>
    </row>
    <row r="8">
      <c r="A8" s="94" t="inlineStr">
        <is>
          <t>Salary adjustment vs previous estimate</t>
        </is>
      </c>
      <c r="B8" s="228" t="n">
        <v>24</v>
      </c>
      <c r="C8" s="228">
        <f>C7</f>
        <v>1527.2</v>
      </c>
      <c r="D8" s="94" t="inlineStr">
        <is>
          <t>Included in projection</t>
        </is>
      </c>
      <c r="E8" s="224" t="n">
        <v>46260</v>
      </c>
      <c r="F8" s="94" t="inlineStr">
        <is>
          <t>Confirm AED 2,906 when credited</t>
        </is>
      </c>
      <c r="G8" s="94" t="inlineStr">
        <is>
          <t>Prior estimate AED 2,930; current expected AED 2,906</t>
        </is>
      </c>
    </row>
    <row r="9">
      <c r="A9" s="94" t="inlineStr">
        <is>
          <t>Additional income required</t>
        </is>
      </c>
      <c r="B9" s="228">
        <f>C8</f>
        <v>1527.2</v>
      </c>
      <c r="C9" s="228">
        <f>MAX(0,C8-B9)</f>
        <v>0.0</v>
      </c>
      <c r="D9" s="94" t="inlineStr">
        <is>
          <t>Required, not received</t>
        </is>
      </c>
      <c r="E9" s="224" t="n">
        <v>46316</v>
      </c>
      <c r="F9" s="94" t="inlineStr">
        <is>
          <t>Generate and bank the full amount</t>
        </is>
      </c>
      <c r="G9" s="94" t="inlineStr">
        <is>
          <t>Only banked cash counts</t>
        </is>
      </c>
    </row>
    <row r="10">
      <c r="A10" s="94" t="inlineStr">
        <is>
          <t>Further living-cost reduction</t>
        </is>
      </c>
      <c r="B10" s="228" t="n">
        <v>0</v>
      </c>
      <c r="C10" s="228">
        <f>MAX(0,C9-B10)</f>
        <v>0.0</v>
      </c>
      <c r="D10" s="94" t="inlineStr">
        <is>
          <t>No safe reduction assumed</t>
        </is>
      </c>
      <c r="E10" s="224" t="n">
        <v>46316</v>
      </c>
      <c r="F10" s="94" t="inlineStr">
        <is>
          <t>Hold survival allowance at AED 160 through 25 Sep</t>
        </is>
      </c>
      <c r="G10" s="94" t="inlineStr">
        <is>
          <t>AED 5/day is already the minimum control cap</t>
        </is>
      </c>
    </row>
    <row r="11">
      <c r="A11" s="130" t="inlineStr">
        <is>
          <t>FINAL CONDITIONAL GAP</t>
        </is>
      </c>
      <c r="B11" s="248">
        <f>C10</f>
        <v>0.0</v>
      </c>
      <c r="C11" s="248">
        <f>C10</f>
        <v>0.0</v>
      </c>
      <c r="D11" s="130" t="inlineStr">
        <is>
          <t>Must equal zero</t>
        </is>
      </c>
      <c r="E11" s="249" t="n">
        <v>46316</v>
      </c>
      <c r="F11" s="130" t="inlineStr">
        <is>
          <t>Complete income action</t>
        </is>
      </c>
      <c r="G11" s="130" t="inlineStr">
        <is>
          <t>Conditional on expected salaries and extra income</t>
        </is>
      </c>
    </row>
    <row r="12">
      <c r="A12" s="94" t="inlineStr">
        <is>
          <t>Revised living cap to 22 Oct</t>
        </is>
      </c>
      <c r="B12" s="228">
        <f>'Inputs'!B41</f>
        <v>285.0</v>
      </c>
      <c r="C12" s="228" t="n">
        <v>0</v>
      </c>
      <c r="D12" s="94" t="inlineStr">
        <is>
          <t>Control</t>
        </is>
      </c>
      <c r="E12" s="224" t="n">
        <v>46316</v>
      </c>
      <c r="F12" s="94" t="inlineStr">
        <is>
          <t>AED 5/day; AED 35/week</t>
        </is>
      </c>
      <c r="G12" s="94" t="inlineStr">
        <is>
          <t>Essentials only; discretionary spending AED 0</t>
        </is>
      </c>
    </row>
    <row r="13">
      <c r="A13" s="94" t="n"/>
      <c r="B13" s="94" t="n"/>
      <c r="C13" s="94" t="n"/>
      <c r="D13" s="94" t="n"/>
      <c r="E13" s="94" t="n"/>
      <c r="F13" s="94" t="n"/>
      <c r="G13" s="94" t="n"/>
    </row>
    <row r="14" ht="23" customHeight="1">
      <c r="A14" s="9" t="inlineStr">
        <is>
          <t>RENT VAULT MILESTONES</t>
        </is>
      </c>
    </row>
    <row r="15">
      <c r="A15" s="13" t="inlineStr">
        <is>
          <t>Funding step</t>
        </is>
      </c>
      <c r="B15" s="13" t="inlineStr">
        <is>
          <t>Amount</t>
        </is>
      </c>
      <c r="C15" s="13" t="inlineStr">
        <is>
          <t>Running rent funding</t>
        </is>
      </c>
      <c r="D15" s="13" t="inlineStr">
        <is>
          <t>Status</t>
        </is>
      </c>
      <c r="E15" s="13" t="inlineStr">
        <is>
          <t>Deadline</t>
        </is>
      </c>
      <c r="F15" s="13" t="inlineStr">
        <is>
          <t>Evidence rule</t>
        </is>
      </c>
      <c r="G15" s="13" t="inlineStr">
        <is>
          <t>Control note</t>
        </is>
      </c>
    </row>
    <row r="16">
      <c r="A16" s="94" t="inlineStr">
        <is>
          <t>Base projected rent money</t>
        </is>
      </c>
      <c r="B16" s="244">
        <f>'Monthly Plan'!D23</f>
        <v>10222.8</v>
      </c>
      <c r="C16" s="244">
        <f>B16</f>
        <v>10222.8</v>
      </c>
      <c r="D16" s="94" t="inlineStr">
        <is>
          <t>Projected</t>
        </is>
      </c>
      <c r="E16" s="224" t="n">
        <v>46316</v>
      </c>
      <c r="F16" s="94" t="inlineStr">
        <is>
          <t>Monthly Plan projection</t>
        </is>
      </c>
      <c r="G16" s="94" t="inlineStr">
        <is>
          <t>Before additional income</t>
        </is>
      </c>
    </row>
    <row r="17">
      <c r="A17" s="94" t="inlineStr">
        <is>
          <t>Salary estimate adjustment</t>
        </is>
      </c>
      <c r="B17" s="244" t="n">
        <v>0</v>
      </c>
      <c r="C17" s="244">
        <f>C16+B17</f>
        <v>10222.8</v>
      </c>
      <c r="D17" s="94" t="inlineStr">
        <is>
          <t>Already modelled</t>
        </is>
      </c>
      <c r="E17" s="224" t="n">
        <v>46260</v>
      </c>
      <c r="F17" s="94" t="inlineStr">
        <is>
          <t>Confirm actual salary credit</t>
        </is>
      </c>
      <c r="G17" s="94" t="inlineStr">
        <is>
          <t>No separate uplift assumed</t>
        </is>
      </c>
    </row>
    <row r="18">
      <c r="A18" s="94" t="inlineStr">
        <is>
          <t>Additional income required</t>
        </is>
      </c>
      <c r="B18" s="244">
        <f>B9</f>
        <v>1527.2</v>
      </c>
      <c r="C18" s="244">
        <f>C17+B18</f>
        <v>11750.0</v>
      </c>
      <c r="D18" s="94" t="inlineStr">
        <is>
          <t>Required</t>
        </is>
      </c>
      <c r="E18" s="224" t="n">
        <v>46316</v>
      </c>
      <c r="F18" s="94" t="inlineStr">
        <is>
          <t>Banked cash only</t>
        </is>
      </c>
      <c r="G18" s="94" t="inlineStr">
        <is>
          <t>Required after all obligations and survival allowance</t>
        </is>
      </c>
    </row>
    <row r="19">
      <c r="A19" s="94" t="inlineStr">
        <is>
          <t>Further living-cost reduction</t>
        </is>
      </c>
      <c r="B19" s="244" t="n">
        <v>0</v>
      </c>
      <c r="C19" s="244">
        <f>C18+B19</f>
        <v>11750.0</v>
      </c>
      <c r="D19" s="94" t="inlineStr">
        <is>
          <t>Not recommended</t>
        </is>
      </c>
      <c r="E19" s="224" t="n">
        <v>46316</v>
      </c>
      <c r="F19" s="94" t="inlineStr">
        <is>
          <t>Do not cut below AED 5/day</t>
        </is>
      </c>
      <c r="G19" s="94" t="inlineStr">
        <is>
          <t>Current allowance is already survival level</t>
        </is>
      </c>
    </row>
    <row r="20">
      <c r="A20" s="225" t="inlineStr">
        <is>
          <t>FINAL RENT FUNDING</t>
        </is>
      </c>
      <c r="B20" s="225">
        <f>C19-'Inputs'!B30</f>
        <v>0.0</v>
      </c>
      <c r="C20" s="225">
        <f>C19</f>
        <v>11750.0</v>
      </c>
      <c r="D20" s="250" t="inlineStr">
        <is>
          <t>Must equal cheque</t>
        </is>
      </c>
      <c r="E20" s="251" t="n">
        <v>46316</v>
      </c>
      <c r="F20" s="250" t="inlineStr">
        <is>
          <t>All controls completed</t>
        </is>
      </c>
      <c r="G20" s="250" t="inlineStr">
        <is>
          <t>Must reconcile to AED 11,750</t>
        </is>
      </c>
    </row>
    <row r="21">
      <c r="A21" s="47" t="inlineStr">
        <is>
          <t>Damage control updated 25 Aug: AED 5,990.45 rent remains protected. Expected AED 2,906 payday must cover DEWA, Tabby, du/Etisalat and AED 160 survival spending. Available loose cash is AED 3,013.52 including payday; bills plus survival require AED 3,202.71, leaving AED 189.19 to find. The September SIP adds AED 462, so total additional cash needed is AED 651.19. Pause SIP before borrowing or touching rent.</t>
        </is>
      </c>
    </row>
    <row r="22"/>
    <row r="23"/>
  </sheetData>
  <mergeCells count="5">
    <mergeCell ref="A14:G14"/>
    <mergeCell ref="A1:G2"/>
    <mergeCell ref="A21:G23"/>
    <mergeCell ref="A3:G3"/>
    <mergeCell ref="A5:G5"/>
  </mergeCells>
  <pageMargins left="0.7" right="0.7" top="0.75" bottom="0.75" header="0.3" footer="0.3"/>
</worksheet>
</file>

<file path=xl/worksheets/sheet10.xml><?xml version="1.0" encoding="utf-8"?>
<worksheet xmlns="http://schemas.openxmlformats.org/spreadsheetml/2006/main">
  <sheetPr>
    <tabColor rgb="FFB45309"/>
    <outlinePr summaryBelow="1" summaryRight="1"/>
    <pageSetUpPr/>
  </sheetPr>
  <dimension ref="A1:H18"/>
  <sheetViews>
    <sheetView showGridLines="0" workbookViewId="0">
      <selection activeCell="A1" sqref="A1"/>
    </sheetView>
  </sheetViews>
  <sheetFormatPr baseColWidth="8" defaultRowHeight="15"/>
  <cols>
    <col width="15" customWidth="1" min="1" max="1"/>
    <col width="29" customWidth="1" min="2" max="2"/>
    <col width="17" customWidth="1" min="3" max="3"/>
    <col width="11" customWidth="1" min="4" max="4"/>
    <col width="23" customWidth="1" min="5" max="5"/>
    <col width="16" customWidth="1" min="6" max="6"/>
    <col width="18" customWidth="1" min="7" max="7"/>
    <col width="42" customWidth="1" min="8" max="8"/>
  </cols>
  <sheetData>
    <row r="1" ht="29" customHeight="1">
      <c r="A1" s="3" t="inlineStr">
        <is>
          <t>Bills, Debt and Recurring Commitments</t>
        </is>
      </c>
    </row>
    <row r="2" ht="29" customHeight="1"/>
    <row r="3" ht="30" customHeight="1">
      <c r="A3" s="93" t="inlineStr">
        <is>
          <t>Paid items are shown once. Estimated recurring bills must be replaced when actual bills arrive.</t>
        </is>
      </c>
    </row>
    <row r="4">
      <c r="A4" s="94" t="n"/>
      <c r="B4" s="94" t="n"/>
      <c r="C4" s="94" t="n"/>
      <c r="D4" s="94" t="n"/>
      <c r="E4" s="94" t="n"/>
      <c r="F4" s="94" t="n"/>
      <c r="G4" s="94" t="n"/>
      <c r="H4" s="94" t="n"/>
    </row>
    <row r="5">
      <c r="A5" s="13" t="inlineStr">
        <is>
          <t>Due date</t>
        </is>
      </c>
      <c r="B5" s="13" t="inlineStr">
        <is>
          <t>Item</t>
        </is>
      </c>
      <c r="C5" s="13" t="inlineStr">
        <is>
          <t>Amount</t>
        </is>
      </c>
      <c r="D5" s="13" t="inlineStr">
        <is>
          <t>Currency</t>
        </is>
      </c>
      <c r="E5" s="13" t="inlineStr">
        <is>
          <t>Actual / estimate</t>
        </is>
      </c>
      <c r="F5" s="13" t="inlineStr">
        <is>
          <t>Recurrence</t>
        </is>
      </c>
      <c r="G5" s="13" t="inlineStr">
        <is>
          <t>Priority</t>
        </is>
      </c>
      <c r="H5" s="13" t="inlineStr">
        <is>
          <t>Control note</t>
        </is>
      </c>
    </row>
    <row r="6">
      <c r="A6" s="224" t="n">
        <v>46229</v>
      </c>
      <c r="B6" s="94" t="inlineStr">
        <is>
          <t>DEWA July paid</t>
        </is>
      </c>
      <c r="C6" s="222" t="n">
        <v>793.42</v>
      </c>
      <c r="D6" s="94" t="inlineStr">
        <is>
          <t>AED</t>
        </is>
      </c>
      <c r="E6" s="94" t="inlineStr">
        <is>
          <t>Actual paid</t>
        </is>
      </c>
      <c r="F6" s="94" t="inlineStr">
        <is>
          <t>Monthly</t>
        </is>
      </c>
      <c r="G6" s="94" t="inlineStr">
        <is>
          <t>Essential</t>
        </is>
      </c>
      <c r="H6" s="94" t="inlineStr">
        <is>
          <t>Do not deduct again</t>
        </is>
      </c>
    </row>
    <row r="7">
      <c r="A7" s="224" t="n">
        <v>46237</v>
      </c>
      <c r="B7" s="94" t="inlineStr">
        <is>
          <t>du August paid</t>
        </is>
      </c>
      <c r="C7" s="222" t="n">
        <v>590.98</v>
      </c>
      <c r="D7" s="94" t="inlineStr">
        <is>
          <t>AED</t>
        </is>
      </c>
      <c r="E7" s="94" t="inlineStr">
        <is>
          <t>Actual paid</t>
        </is>
      </c>
      <c r="F7" s="94" t="inlineStr">
        <is>
          <t>Monthly</t>
        </is>
      </c>
      <c r="G7" s="94" t="inlineStr">
        <is>
          <t>Essential</t>
        </is>
      </c>
      <c r="H7" s="94" t="inlineStr">
        <is>
          <t>Next estimate 03 Sep</t>
        </is>
      </c>
    </row>
    <row r="8">
      <c r="A8" s="224" t="n">
        <v>46237</v>
      </c>
      <c r="B8" s="94" t="inlineStr">
        <is>
          <t>Etisalat August paid</t>
        </is>
      </c>
      <c r="C8" s="222" t="n">
        <v>323.95</v>
      </c>
      <c r="D8" s="94" t="inlineStr">
        <is>
          <t>AED</t>
        </is>
      </c>
      <c r="E8" s="94" t="inlineStr">
        <is>
          <t>Actual paid</t>
        </is>
      </c>
      <c r="F8" s="94" t="inlineStr">
        <is>
          <t>Monthly</t>
        </is>
      </c>
      <c r="G8" s="94" t="inlineStr">
        <is>
          <t>Essential</t>
        </is>
      </c>
      <c r="H8" s="94" t="inlineStr">
        <is>
          <t>Next estimate 03 Sep</t>
        </is>
      </c>
    </row>
    <row r="9">
      <c r="A9" s="224" t="n">
        <v>46244</v>
      </c>
      <c r="B9" s="94" t="inlineStr">
        <is>
          <t>Four Nippon SIPs</t>
        </is>
      </c>
      <c r="C9" s="252" t="n">
        <v>12000</v>
      </c>
      <c r="D9" s="94" t="inlineStr">
        <is>
          <t>INR</t>
        </is>
      </c>
      <c r="E9" s="94" t="inlineStr">
        <is>
          <t>Actual completed</t>
        </is>
      </c>
      <c r="F9" s="94" t="inlineStr">
        <is>
          <t>Monthly</t>
        </is>
      </c>
      <c r="G9" s="94" t="inlineStr">
        <is>
          <t>Core investment</t>
        </is>
      </c>
      <c r="H9" s="94" t="inlineStr">
        <is>
          <t>Do not retry</t>
        </is>
      </c>
    </row>
    <row r="10">
      <c r="A10" s="224" t="n">
        <v>46265</v>
      </c>
      <c r="B10" s="94" t="inlineStr">
        <is>
          <t>DEWA August</t>
        </is>
      </c>
      <c r="C10" s="222" t="n">
        <v>813.28</v>
      </c>
      <c r="D10" s="94" t="inlineStr">
        <is>
          <t>AED</t>
        </is>
      </c>
      <c r="E10" s="94" t="inlineStr">
        <is>
          <t>Actual bill</t>
        </is>
      </c>
      <c r="F10" s="94" t="inlineStr">
        <is>
          <t>Monthly</t>
        </is>
      </c>
      <c r="G10" s="94" t="inlineStr">
        <is>
          <t>Essential</t>
        </is>
      </c>
      <c r="H10" s="94" t="inlineStr">
        <is>
          <t>Actual bill replaces AED 793.42 estimate; pay by due date</t>
        </is>
      </c>
    </row>
    <row r="11">
      <c r="A11" s="223" t="n">
        <v>46268</v>
      </c>
      <c r="B11" s="94" t="inlineStr">
        <is>
          <t>Tabby no-fee minimum</t>
        </is>
      </c>
      <c r="C11" s="253" t="n">
        <v>1314.5</v>
      </c>
      <c r="D11" s="94" t="inlineStr">
        <is>
          <t>AED</t>
        </is>
      </c>
      <c r="E11" s="94" t="inlineStr">
        <is>
          <t>Actual due</t>
        </is>
      </c>
      <c r="F11" s="94" t="inlineStr">
        <is>
          <t>One-time statement</t>
        </is>
      </c>
      <c r="G11" s="94" t="inlineStr">
        <is>
          <t>Critical</t>
        </is>
      </c>
      <c r="H11" s="94" t="inlineStr">
        <is>
          <t>Autopay selected; keep card frozen; full statement AED 1,972.03 optional</t>
        </is>
      </c>
    </row>
    <row r="12">
      <c r="A12" s="223" t="n">
        <v>46275</v>
      </c>
      <c r="B12" s="94" t="inlineStr">
        <is>
          <t>Nippon SIP funding</t>
        </is>
      </c>
      <c r="C12" s="253" t="n">
        <v>462.4</v>
      </c>
      <c r="D12" s="94" t="inlineStr">
        <is>
          <t>AED</t>
        </is>
      </c>
      <c r="E12" s="94" t="inlineStr">
        <is>
          <t>Estimated</t>
        </is>
      </c>
      <c r="F12" s="94" t="inlineStr">
        <is>
          <t>Monthly</t>
        </is>
      </c>
      <c r="G12" s="94" t="inlineStr">
        <is>
          <t>Core investment</t>
        </is>
      </c>
      <c r="H12" s="94" t="inlineStr">
        <is>
          <t>₹12,000; continue only while essentials remain funded</t>
        </is>
      </c>
    </row>
    <row r="13">
      <c r="A13" s="223" t="n">
        <v>46280</v>
      </c>
      <c r="B13" s="94" t="inlineStr">
        <is>
          <t>du</t>
        </is>
      </c>
      <c r="C13" s="253" t="n">
        <v>590.98</v>
      </c>
      <c r="D13" s="94" t="inlineStr">
        <is>
          <t>AED</t>
        </is>
      </c>
      <c r="E13" s="94" t="inlineStr">
        <is>
          <t>Estimated</t>
        </is>
      </c>
      <c r="F13" s="94" t="inlineStr">
        <is>
          <t>Monthly</t>
        </is>
      </c>
      <c r="G13" s="94" t="inlineStr">
        <is>
          <t>Essential</t>
        </is>
      </c>
      <c r="H13" s="94" t="inlineStr">
        <is>
          <t>September estimate AED 590.98; actual bill required; due around 15 Sep</t>
        </is>
      </c>
    </row>
    <row r="14">
      <c r="A14" s="223" t="n">
        <v>46280</v>
      </c>
      <c r="B14" s="94" t="inlineStr">
        <is>
          <t>Etisalat</t>
        </is>
      </c>
      <c r="C14" s="253" t="n">
        <v>323.95</v>
      </c>
      <c r="D14" s="94" t="inlineStr">
        <is>
          <t>AED</t>
        </is>
      </c>
      <c r="E14" s="94" t="inlineStr">
        <is>
          <t>Estimated</t>
        </is>
      </c>
      <c r="F14" s="94" t="inlineStr">
        <is>
          <t>Monthly</t>
        </is>
      </c>
      <c r="G14" s="94" t="inlineStr">
        <is>
          <t>Essential</t>
        </is>
      </c>
      <c r="H14" s="94" t="inlineStr">
        <is>
          <t>September estimate AED 323.95; actual bill required; due around 15 Sep</t>
        </is>
      </c>
    </row>
    <row r="15">
      <c r="A15" s="223" t="n">
        <v>46298</v>
      </c>
      <c r="B15" s="94" t="inlineStr">
        <is>
          <t>October Tabby payment</t>
        </is>
      </c>
      <c r="C15" s="253" t="n">
        <v>715.33</v>
      </c>
      <c r="D15" s="94" t="inlineStr">
        <is>
          <t>AED</t>
        </is>
      </c>
      <c r="E15" s="94" t="inlineStr">
        <is>
          <t>Actual generated</t>
        </is>
      </c>
      <c r="F15" s="94" t="inlineStr">
        <is>
          <t>Before rent cheque</t>
        </is>
      </c>
      <c r="G15" s="94" t="inlineStr">
        <is>
          <t>Critical</t>
        </is>
      </c>
      <c r="H15" s="94" t="inlineStr">
        <is>
          <t>September statement generated; amount due AED 715.33</t>
        </is>
      </c>
    </row>
    <row r="16">
      <c r="A16" s="223" t="n">
        <v>46317</v>
      </c>
      <c r="B16" s="94" t="inlineStr">
        <is>
          <t>Rent cheque</t>
        </is>
      </c>
      <c r="C16" s="253" t="n">
        <v>11750</v>
      </c>
      <c r="D16" s="94" t="inlineStr">
        <is>
          <t>AED</t>
        </is>
      </c>
      <c r="E16" s="94" t="inlineStr">
        <is>
          <t>Actual</t>
        </is>
      </c>
      <c r="F16" s="94" t="inlineStr">
        <is>
          <t>None</t>
        </is>
      </c>
      <c r="G16" s="94" t="inlineStr">
        <is>
          <t>Critical</t>
        </is>
      </c>
      <c r="H16" s="94" t="inlineStr">
        <is>
          <t>Fully fund by 21 Oct</t>
        </is>
      </c>
    </row>
    <row r="17">
      <c r="A17" s="224" t="n"/>
      <c r="B17" s="94" t="inlineStr">
        <is>
          <t>Tabby outstanding exposure</t>
        </is>
      </c>
      <c r="C17" s="253" t="n">
        <v>2687.36</v>
      </c>
      <c r="D17" s="94" t="inlineStr">
        <is>
          <t>AED</t>
        </is>
      </c>
      <c r="E17" s="94" t="inlineStr">
        <is>
          <t>Actual confirmed total</t>
        </is>
      </c>
      <c r="F17" s="94" t="inlineStr">
        <is>
          <t>Card frozen</t>
        </is>
      </c>
      <c r="G17" s="94" t="inlineStr">
        <is>
          <t>Debt control</t>
        </is>
      </c>
      <c r="H17" s="94" t="inlineStr">
        <is>
          <t>AED 1,972.03 August statement + AED 715.33 September statement; do not add separately</t>
        </is>
      </c>
    </row>
    <row r="18">
      <c r="B18" t="inlineStr">
        <is>
          <t>Netflix retry risk</t>
        </is>
      </c>
      <c r="C18" t="n">
        <v>35</v>
      </c>
      <c r="D18" t="inlineStr">
        <is>
          <t>AED</t>
        </is>
      </c>
      <c r="E18" t="inlineStr">
        <is>
          <t>Declined / not charged</t>
        </is>
      </c>
      <c r="F18" t="inlineStr">
        <is>
          <t>Subscription</t>
        </is>
      </c>
      <c r="G18" t="inlineStr">
        <is>
          <t>Pause</t>
        </is>
      </c>
      <c r="H18" t="inlineStr">
        <is>
          <t>Cancel or leave unfunded; do not use protected cash for a retry</t>
        </is>
      </c>
    </row>
  </sheetData>
  <mergeCells count="2">
    <mergeCell ref="A1:H2"/>
    <mergeCell ref="A3:H3"/>
  </mergeCells>
  <conditionalFormatting sqref="E6:E17">
    <cfRule type="containsText" priority="1" operator="containsText" dxfId="1" text="Estimated"/>
  </conditionalFormatting>
  <pageMargins left="0.7" right="0.7" top="0.75" bottom="0.75" header="0.3" footer="0.3"/>
</worksheet>
</file>

<file path=xl/worksheets/sheet11.xml><?xml version="1.0" encoding="utf-8"?>
<worksheet xmlns="http://schemas.openxmlformats.org/spreadsheetml/2006/main">
  <sheetPr>
    <tabColor rgb="FFB42318"/>
    <outlinePr summaryBelow="1" summaryRight="1"/>
    <pageSetUpPr/>
  </sheetPr>
  <dimension ref="A1:H35"/>
  <sheetViews>
    <sheetView showGridLines="0" workbookViewId="0">
      <selection activeCell="A1" sqref="A1"/>
    </sheetView>
  </sheetViews>
  <sheetFormatPr baseColWidth="8" defaultRowHeight="15"/>
  <cols>
    <col width="34" customWidth="1" min="1" max="1"/>
    <col width="17" customWidth="1" min="2" max="2"/>
    <col width="15" customWidth="1" min="3" max="3"/>
    <col width="18" customWidth="1" min="4" max="4"/>
    <col width="15" customWidth="1" min="5" max="5"/>
    <col width="26" customWidth="1" min="6" max="6"/>
    <col width="17" customWidth="1" min="7" max="7"/>
    <col width="50" customWidth="1" min="8" max="8"/>
  </cols>
  <sheetData>
    <row r="1" ht="29" customHeight="1">
      <c r="A1" s="3" t="inlineStr">
        <is>
          <t>Debt Plan — Getting Tabby to Zero</t>
        </is>
      </c>
    </row>
    <row r="2" ht="29" customHeight="1"/>
    <row r="3" ht="30" customHeight="1">
      <c r="A3" s="286" t="inlineStr">
        <is>
          <t>One debt, two statements, a hard freeze and a dated route to zero. Tabby carries no interest while the no-fee minimum is met on time, which makes punctuality — not size — the whole risk here.</t>
        </is>
      </c>
    </row>
    <row r="5" ht="23" customHeight="1">
      <c r="A5" s="9" t="inlineStr">
        <is>
          <t>POSITION</t>
        </is>
      </c>
    </row>
    <row r="6" ht="23" customHeight="1">
      <c r="A6" s="236" t="inlineStr">
        <is>
          <t>Item</t>
        </is>
      </c>
      <c r="B6" s="236" t="inlineStr">
        <is>
          <t>Amount</t>
        </is>
      </c>
      <c r="C6" s="236" t="inlineStr">
        <is>
          <t>Due</t>
        </is>
      </c>
      <c r="D6" s="236" t="inlineStr">
        <is>
          <t>Status</t>
        </is>
      </c>
      <c r="E6" s="236" t="inlineStr">
        <is>
          <t>Priority</t>
        </is>
      </c>
      <c r="F6" s="236" t="inlineStr">
        <is>
          <t>Rule</t>
        </is>
      </c>
      <c r="G6" s="236" t="inlineStr">
        <is>
          <t>Cost of slipping</t>
        </is>
      </c>
      <c r="H6" s="236" t="inlineStr">
        <is>
          <t>Note</t>
        </is>
      </c>
    </row>
    <row r="7">
      <c r="A7" t="inlineStr">
        <is>
          <t>August statement (full)</t>
        </is>
      </c>
      <c r="B7" s="240">
        <f>'Inputs'!B37</f>
        <v>1972.03</v>
      </c>
      <c r="C7" s="238" t="n">
        <v>46268</v>
      </c>
      <c r="D7" t="inlineStr">
        <is>
          <t>Actual statement</t>
        </is>
      </c>
      <c r="E7" t="inlineStr">
        <is>
          <t>Optional</t>
        </is>
      </c>
      <c r="F7" s="239" t="inlineStr">
        <is>
          <t>Pay in full only if rent and bills stay funded</t>
        </is>
      </c>
      <c r="H7" s="239" t="inlineStr">
        <is>
          <t>Clearing this on 3 Sep would end the debt a month early, but the September funding gap says the cash is not there.</t>
        </is>
      </c>
    </row>
    <row r="8">
      <c r="A8" t="inlineStr">
        <is>
          <t>August no-fee minimum</t>
        </is>
      </c>
      <c r="B8" s="240">
        <f>'Inputs'!B36</f>
        <v>1314.5</v>
      </c>
      <c r="C8" s="238" t="n">
        <v>46268</v>
      </c>
      <c r="D8" t="inlineStr">
        <is>
          <t>Actual due</t>
        </is>
      </c>
      <c r="E8" t="inlineStr">
        <is>
          <t>Critical</t>
        </is>
      </c>
      <c r="F8" s="239" t="inlineStr">
        <is>
          <t>Autopay is already selected</t>
        </is>
      </c>
      <c r="G8" s="240">
        <f>35</f>
        <v>35.0</v>
      </c>
      <c r="H8" s="239" t="inlineStr">
        <is>
          <t>The amount that must land on 3 Sep. Missing it converts a free debt into an expensive one.</t>
        </is>
      </c>
    </row>
    <row r="9">
      <c r="A9" t="inlineStr">
        <is>
          <t>September statement</t>
        </is>
      </c>
      <c r="B9" s="240">
        <f>'Inputs'!B42</f>
        <v>715.33</v>
      </c>
      <c r="C9" s="238" t="n">
        <v>46298</v>
      </c>
      <c r="D9" t="inlineStr">
        <is>
          <t>Actual generated</t>
        </is>
      </c>
      <c r="E9" t="inlineStr">
        <is>
          <t>Critical</t>
        </is>
      </c>
      <c r="F9" s="239" t="inlineStr">
        <is>
          <t>Pay by due date</t>
        </is>
      </c>
      <c r="G9" s="240">
        <f>35</f>
        <v>35.0</v>
      </c>
      <c r="H9" s="239" t="inlineStr">
        <is>
          <t>Already generated and confirmed. It falls due nineteen days before the rent cheque.</t>
        </is>
      </c>
    </row>
    <row r="10">
      <c r="A10" s="10" t="inlineStr">
        <is>
          <t>Total outstanding exposure</t>
        </is>
      </c>
      <c r="B10" s="241">
        <f>'Inputs'!B38</f>
        <v>2687.36</v>
      </c>
      <c r="D10" s="10" t="inlineStr">
        <is>
          <t>Actual confirmed</t>
        </is>
      </c>
      <c r="E10" s="10" t="inlineStr">
        <is>
          <t>Debt control</t>
        </is>
      </c>
      <c r="F10" s="236" t="inlineStr">
        <is>
          <t>Card frozen until zero</t>
        </is>
      </c>
      <c r="H10" s="236" t="inlineStr">
        <is>
          <t>August statement plus September statement. Do not add the two statements to this figure again — it already contains both.</t>
        </is>
      </c>
    </row>
    <row r="11">
      <c r="A11" t="inlineStr">
        <is>
          <t>Remaining after the 3 Sep minimum</t>
        </is>
      </c>
      <c r="B11" s="240">
        <f>B10-B8</f>
        <v>1372.86</v>
      </c>
      <c r="D11" t="inlineStr">
        <is>
          <t>Formula</t>
        </is>
      </c>
      <c r="E11" t="inlineStr">
        <is>
          <t>Debt control</t>
        </is>
      </c>
      <c r="F11" s="239" t="inlineStr">
        <is>
          <t>Falls to zero on the schedule below</t>
        </is>
      </c>
      <c r="H11" s="239" t="inlineStr">
        <is>
          <t>What is still owed once the September minimum clears.</t>
        </is>
      </c>
    </row>
    <row r="13" ht="23" customHeight="1">
      <c r="A13" s="9" t="inlineStr">
        <is>
          <t>ROUTE TO ZERO — RECOMMENDED (PAY THE NO-FEE MINIMUM, PROTECT RENT)</t>
        </is>
      </c>
    </row>
    <row r="14" ht="23" customHeight="1">
      <c r="A14" s="236" t="inlineStr">
        <is>
          <t>Payment date</t>
        </is>
      </c>
      <c r="B14" s="236" t="inlineStr">
        <is>
          <t>Opening balance</t>
        </is>
      </c>
      <c r="C14" s="236" t="inlineStr">
        <is>
          <t>Payment</t>
        </is>
      </c>
      <c r="D14" s="236" t="inlineStr">
        <is>
          <t>Closing balance</t>
        </is>
      </c>
      <c r="E14" s="236" t="inlineStr">
        <is>
          <t>Fee incurred</t>
        </is>
      </c>
      <c r="F14" s="236" t="inlineStr">
        <is>
          <t>Funded from</t>
        </is>
      </c>
      <c r="G14" s="236" t="inlineStr">
        <is>
          <t>Cumulative paid</t>
        </is>
      </c>
      <c r="H14" s="236" t="inlineStr">
        <is>
          <t>Note</t>
        </is>
      </c>
    </row>
    <row r="15">
      <c r="A15" s="238" t="n">
        <v>46268</v>
      </c>
      <c r="B15" s="240">
        <f>'Inputs'!B38</f>
        <v>2687.36</v>
      </c>
      <c r="C15" s="240">
        <f>'Inputs'!B36</f>
        <v>1314.5</v>
      </c>
      <c r="D15" s="240">
        <f>MAX(0,B15-C15)</f>
        <v>1372.86</v>
      </c>
      <c r="E15" s="240" t="n">
        <v>0</v>
      </c>
      <c r="F15" t="inlineStr">
        <is>
          <t>26 Aug salary</t>
        </is>
      </c>
      <c r="G15" s="240">
        <f>C15</f>
        <v>1314.5</v>
      </c>
      <c r="H15" s="239" t="inlineStr">
        <is>
          <t>The confirmed no-fee minimum. Autopay already selected.</t>
        </is>
      </c>
    </row>
    <row r="16">
      <c r="A16" s="238" t="n">
        <v>46298</v>
      </c>
      <c r="B16" s="240">
        <f>D15</f>
        <v>1372.86</v>
      </c>
      <c r="C16" s="240">
        <f>'Inputs'!B42</f>
        <v>715.33</v>
      </c>
      <c r="D16" s="240">
        <f>MAX(0,B16-C16)</f>
        <v>657.53</v>
      </c>
      <c r="E16" s="240" t="n">
        <v>0</v>
      </c>
      <c r="F16" t="inlineStr">
        <is>
          <t>26 Sep salary</t>
        </is>
      </c>
      <c r="G16" s="240">
        <f>G15+C16</f>
        <v>2029.83</v>
      </c>
      <c r="H16" s="239" t="inlineStr">
        <is>
          <t>The generated September statement, due before the rent cheque clears.</t>
        </is>
      </c>
    </row>
    <row r="17">
      <c r="A17" s="238" t="n">
        <v>46329</v>
      </c>
      <c r="B17" s="240">
        <f>D16</f>
        <v>657.53</v>
      </c>
      <c r="C17" s="240">
        <f>D16</f>
        <v>657.53</v>
      </c>
      <c r="D17" s="240">
        <f>MAX(0,B17-C17)</f>
        <v>0.0</v>
      </c>
      <c r="E17" s="240" t="n">
        <v>0</v>
      </c>
      <c r="F17" t="inlineStr">
        <is>
          <t>26 Oct salary</t>
        </is>
      </c>
      <c r="G17" s="240">
        <f>G16+C17</f>
        <v>2687.36</v>
      </c>
      <c r="H17" s="239" t="inlineStr">
        <is>
          <t>The tail of the August statement. Paying it here clears the card completely.</t>
        </is>
      </c>
    </row>
    <row r="18">
      <c r="A18" s="10" t="inlineStr">
        <is>
          <t>DEBT FREE</t>
        </is>
      </c>
      <c r="B18" s="241">
        <f>D17</f>
        <v>0.0</v>
      </c>
      <c r="C18" s="4" t="n"/>
      <c r="D18" s="10" t="str">
        <f>IF(D17&lt;=0.01,"Zero balance","Still outstanding")</f>
        <v>Zero balance</v>
      </c>
      <c r="E18" s="241">
        <f>SUM(E15:E17)</f>
        <v>0.0</v>
      </c>
      <c r="F18" s="10" t="inlineStr">
        <is>
          <t>Three salary cycles</t>
        </is>
      </c>
      <c r="G18" s="241">
        <f>G17</f>
        <v>2687.36</v>
      </c>
      <c r="H18" s="236" t="inlineStr">
        <is>
          <t>Total paid equals total owed, and no fee is ever incurred. That is the whole objective.</t>
        </is>
      </c>
    </row>
    <row r="20" ht="23" customHeight="1">
      <c r="A20" s="9" t="inlineStr">
        <is>
          <t>ALTERNATIVE — CLEAR THE FULL AUGUST STATEMENT ON 3 SEP</t>
        </is>
      </c>
    </row>
    <row r="21" ht="23" customHeight="1">
      <c r="A21" s="236" t="inlineStr">
        <is>
          <t>Comparison</t>
        </is>
      </c>
      <c r="B21" s="236" t="inlineStr">
        <is>
          <t>Recommended route</t>
        </is>
      </c>
      <c r="C21" s="236" t="inlineStr">
        <is>
          <t>Aggressive route</t>
        </is>
      </c>
      <c r="D21" s="236" t="inlineStr">
        <is>
          <t>Difference</t>
        </is>
      </c>
      <c r="E21" s="236" t="inlineStr">
        <is>
          <t>Verdict</t>
        </is>
      </c>
      <c r="F21" s="236" t="inlineStr"/>
      <c r="G21" s="236" t="inlineStr"/>
      <c r="H21" s="236" t="inlineStr">
        <is>
          <t>Note</t>
        </is>
      </c>
    </row>
    <row r="22">
      <c r="A22" t="inlineStr">
        <is>
          <t>Cash needed on 3 Sep</t>
        </is>
      </c>
      <c r="B22" s="240">
        <f>'Inputs'!B36</f>
        <v>1314.5</v>
      </c>
      <c r="C22" s="240">
        <f>'Inputs'!B37</f>
        <v>1972.03</v>
      </c>
      <c r="D22" s="240">
        <f>C22-B22</f>
        <v>657.53</v>
      </c>
      <c r="E22" s="295" t="str">
        <f>IF(C22&gt;B22,"Aggressive costs more now","")</f>
        <v>Aggressive costs more now</v>
      </c>
      <c r="H22" s="239" t="inlineStr">
        <is>
          <t>The aggressive route needs this much extra in September, on top of a month that is already short.</t>
        </is>
      </c>
    </row>
    <row r="23">
      <c r="A23" t="inlineStr">
        <is>
          <t>Debt free on</t>
        </is>
      </c>
      <c r="B23" s="238">
        <f>A17</f>
        <v>46329.0</v>
      </c>
      <c r="C23" s="238">
        <f>A16</f>
        <v>46298.0</v>
      </c>
      <c r="E23" s="295" t="str">
        <f>"One month later"</f>
        <v>One month later</v>
      </c>
      <c r="H23" s="239" t="inlineStr">
        <is>
          <t>The aggressive route ends the debt in October instead of November.</t>
        </is>
      </c>
    </row>
    <row r="24">
      <c r="A24" t="inlineStr">
        <is>
          <t>Fees incurred either way</t>
        </is>
      </c>
      <c r="B24" s="240">
        <f>E18</f>
        <v>0.0</v>
      </c>
      <c r="C24" s="240" t="n">
        <v>0</v>
      </c>
      <c r="D24" s="240">
        <f>C24-B24</f>
        <v>0.0</v>
      </c>
      <c r="E24" s="295" t="str">
        <f>"No difference"</f>
        <v>No difference</v>
      </c>
      <c r="H24" s="239" t="inlineStr">
        <is>
          <t>Neither route incurs a fee, so speed buys nothing but the feeling of speed.</t>
        </is>
      </c>
    </row>
    <row r="25">
      <c r="A25" t="inlineStr">
        <is>
          <t>Effect on the October rent cheque</t>
        </is>
      </c>
      <c r="B25" s="240">
        <f>0</f>
        <v>0.0</v>
      </c>
      <c r="C25" s="240">
        <f>C22-B22</f>
        <v>657.53</v>
      </c>
      <c r="D25" s="240">
        <f>C25-B25</f>
        <v>657.53</v>
      </c>
      <c r="E25" s="295" t="str">
        <f>IF(C25&gt;0,"Aggressive puts rent at risk","")</f>
        <v>Aggressive puts rent at risk</v>
      </c>
      <c r="H25" s="239" t="inlineStr">
        <is>
          <t>Every dirham sent early to Tabby is a dirham not available for the AED 11,750 cheque.</t>
        </is>
      </c>
    </row>
    <row r="27" ht="23" customHeight="1">
      <c r="A27" s="9" t="inlineStr">
        <is>
          <t>STANDING DEBT RULES</t>
        </is>
      </c>
    </row>
    <row r="28" ht="23" customHeight="1">
      <c r="A28" s="236" t="inlineStr">
        <is>
          <t>Rule</t>
        </is>
      </c>
      <c r="B28" s="236" t="inlineStr">
        <is>
          <t>Status</t>
        </is>
      </c>
      <c r="C28" s="236" t="inlineStr"/>
      <c r="D28" s="236" t="inlineStr"/>
      <c r="E28" s="236" t="inlineStr"/>
      <c r="F28" s="236" t="inlineStr"/>
      <c r="G28" s="236" t="inlineStr"/>
      <c r="H28" s="236" t="inlineStr">
        <is>
          <t>Why</t>
        </is>
      </c>
    </row>
    <row r="29">
      <c r="A29" s="239" t="inlineStr">
        <is>
          <t>Keep the Tabby Card frozen until the balance is zero</t>
        </is>
      </c>
      <c r="B29" s="295" t="str">
        <f>IF('Inputs'!B38&gt;0,"IN FORCE","Released")</f>
        <v>IN FORCE</v>
      </c>
      <c r="H29" s="239" t="inlineStr">
        <is>
          <t>A frozen card cannot generate a new statement. The balance can then only fall.</t>
        </is>
      </c>
    </row>
    <row r="30">
      <c r="A30" s="239" t="inlineStr">
        <is>
          <t>Never miss a due date</t>
        </is>
      </c>
      <c r="B30" s="295" t="str">
        <f>"IN FORCE"</f>
        <v>IN FORCE</v>
      </c>
      <c r="H30" s="239" t="inlineStr">
        <is>
          <t>Tabby is free while the minimum is met on time. Late is the only way this debt becomes expensive.</t>
        </is>
      </c>
    </row>
    <row r="31">
      <c r="A31" s="239" t="inlineStr">
        <is>
          <t>No new buy-now-pay-later of any kind before the rent cheque clears</t>
        </is>
      </c>
      <c r="B31" s="295" t="str">
        <f>IF(TODAY()&lt;DATE(2026,10,22),"IN FORCE","Review")</f>
        <v>IN FORCE</v>
      </c>
      <c r="H31" s="239" t="inlineStr">
        <is>
          <t>New instalments would land in exactly the months the rent has to be funded.</t>
        </is>
      </c>
    </row>
    <row r="32">
      <c r="A32" s="239" t="inlineStr">
        <is>
          <t>Tabby Cash wallet spending is not Card borrowing</t>
        </is>
      </c>
      <c r="B32" s="295" t="str">
        <f>"IN FORCE"</f>
        <v>IN FORCE</v>
      </c>
      <c r="H32" s="239" t="inlineStr">
        <is>
          <t>Carried over from the original classification rule; spending the wallet never resets the Card streak.</t>
        </is>
      </c>
    </row>
    <row r="33">
      <c r="A33" s="239" t="inlineStr">
        <is>
          <t>Cancel or leave the Netflix subscription unfunded</t>
        </is>
      </c>
      <c r="B33" s="295" t="str">
        <f>IF('Obligations'!C18&gt;0,"OPEN","Closed")</f>
        <v>OPEN</v>
      </c>
      <c r="H33" s="239" t="inlineStr">
        <is>
          <t>The AED 35 charge was declined, not paid. Letting it retry against protected cash would be the smallest and most avoidable own goal in the file.</t>
        </is>
      </c>
    </row>
    <row r="35" ht="40" customHeight="1">
      <c r="A35" s="292" t="inlineStr">
        <is>
          <t>This is a small debt with a big shadow. AED 2,687.36 is not what threatens the rent cheque; the timing is. Two of the three payments fall in the same eight weeks as the cheque, which is why the schedule above funds each one from a different salary.</t>
        </is>
      </c>
    </row>
  </sheetData>
  <mergeCells count="7">
    <mergeCell ref="A3:H3"/>
    <mergeCell ref="A35:H35"/>
    <mergeCell ref="A20:H20"/>
    <mergeCell ref="A13:H13"/>
    <mergeCell ref="A5:H5"/>
    <mergeCell ref="A1:H2"/>
    <mergeCell ref="A27:H27"/>
  </mergeCells>
  <pageMargins left="0.75" right="0.75" top="1" bottom="1" header="0.5" footer="0.5"/>
</worksheet>
</file>

<file path=xl/worksheets/sheet12.xml><?xml version="1.0" encoding="utf-8"?>
<worksheet xmlns="http://schemas.openxmlformats.org/spreadsheetml/2006/main">
  <sheetPr>
    <tabColor rgb="FF6941C6"/>
    <outlinePr summaryBelow="1" summaryRight="1"/>
    <pageSetUpPr/>
  </sheetPr>
  <dimension ref="A1:L63"/>
  <sheetViews>
    <sheetView showGridLines="0" workbookViewId="0">
      <selection activeCell="A1" sqref="A1"/>
    </sheetView>
  </sheetViews>
  <sheetFormatPr baseColWidth="8" defaultRowHeight="15"/>
  <cols>
    <col width="30" customWidth="1" min="1" max="1"/>
    <col width="18" customWidth="1" min="2" max="2"/>
    <col width="14" customWidth="1" min="3" max="3"/>
    <col width="18" customWidth="1" min="4" max="4"/>
    <col width="18" customWidth="1" min="5" max="5"/>
    <col width="18" customWidth="1" min="6" max="6"/>
    <col width="13" customWidth="1" min="7" max="7"/>
    <col width="16" customWidth="1" min="8" max="8"/>
    <col width="15" customWidth="1" min="9" max="9"/>
    <col width="42" customWidth="1" min="10" max="10"/>
    <col width="18" customWidth="1" min="11" max="11"/>
    <col width="13" customWidth="1" min="12" max="12"/>
  </cols>
  <sheetData>
    <row r="1" ht="29" customHeight="1">
      <c r="A1" s="3" t="inlineStr">
        <is>
          <t>Investment Portfolio</t>
        </is>
      </c>
      <c r="K1" s="1" t="n"/>
      <c r="L1" s="1" t="n"/>
    </row>
    <row r="2" ht="29" customHeight="1">
      <c r="K2" s="1" t="n"/>
      <c r="L2" s="1" t="n"/>
    </row>
    <row r="3" ht="30" customHeight="1">
      <c r="A3" s="93" t="inlineStr">
        <is>
          <t>MF Central snapshot dated 10 Aug 2026 after the four ₹3,000 Nippon SIPs.</t>
        </is>
      </c>
      <c r="K3" s="4" t="n"/>
      <c r="L3" s="4" t="n"/>
    </row>
    <row r="4">
      <c r="A4" s="94" t="n"/>
      <c r="B4" s="94" t="n"/>
      <c r="C4" s="94" t="n"/>
      <c r="D4" s="94" t="n"/>
      <c r="E4" s="94" t="n"/>
      <c r="F4" s="94" t="n"/>
      <c r="G4" s="94" t="n"/>
      <c r="H4" s="94" t="n"/>
      <c r="I4" s="94" t="n"/>
      <c r="J4" s="94" t="n"/>
    </row>
    <row r="5" ht="23" customHeight="1">
      <c r="A5" s="13" t="inlineStr">
        <is>
          <t>Fund</t>
        </is>
      </c>
      <c r="B5" s="13" t="inlineStr">
        <is>
          <t>Fund house</t>
        </is>
      </c>
      <c r="C5" s="13" t="inlineStr">
        <is>
          <t>Units</t>
        </is>
      </c>
      <c r="D5" s="13" t="inlineStr">
        <is>
          <t>Cost</t>
        </is>
      </c>
      <c r="E5" s="13" t="inlineStr">
        <is>
          <t>Snapshot value</t>
        </is>
      </c>
      <c r="F5" s="13" t="inlineStr">
        <is>
          <t>Gain / loss</t>
        </is>
      </c>
      <c r="G5" s="13" t="inlineStr">
        <is>
          <t>Return</t>
        </is>
      </c>
      <c r="H5" s="13" t="inlineStr">
        <is>
          <t>NAV</t>
        </is>
      </c>
      <c r="I5" s="13" t="inlineStr">
        <is>
          <t>SIP status</t>
        </is>
      </c>
      <c r="J5" s="13" t="inlineStr">
        <is>
          <t>Evidence</t>
        </is>
      </c>
      <c r="K5" s="236" t="inlineStr">
        <is>
          <t>Value (AED)</t>
        </is>
      </c>
      <c r="L5" s="236" t="inlineStr">
        <is>
          <t>Weight</t>
        </is>
      </c>
    </row>
    <row r="6">
      <c r="A6" s="94" t="inlineStr">
        <is>
          <t>Nippon Large Cap</t>
        </is>
      </c>
      <c r="B6" s="94" t="inlineStr">
        <is>
          <t>Nippon</t>
        </is>
      </c>
      <c r="C6" s="94" t="n">
        <v>758.192</v>
      </c>
      <c r="D6" s="252" t="n">
        <v>75000</v>
      </c>
      <c r="E6" s="252" t="n">
        <v>78012.03999999999</v>
      </c>
      <c r="F6" s="252">
        <f>E6-D6</f>
        <v>3012.04</v>
      </c>
      <c r="G6" s="254">
        <f>IF(D6=0,0,F6/D6)</f>
        <v>0.0401605333</v>
      </c>
      <c r="H6" s="255" t="n">
        <v>102.89</v>
      </c>
      <c r="I6" s="94" t="inlineStr">
        <is>
          <t>Active</t>
        </is>
      </c>
      <c r="J6" s="94" t="inlineStr">
        <is>
          <t>MF Central 10 Aug</t>
        </is>
      </c>
      <c r="K6" s="240">
        <f>E6*'FX &amp; Assumptions'!$B$7</f>
        <v>3006.061340932</v>
      </c>
      <c r="L6" s="50">
        <f>IF($E$12=0,0,E6/$E$12)</f>
        <v>0.3183032648</v>
      </c>
    </row>
    <row r="7">
      <c r="A7" s="94" t="inlineStr">
        <is>
          <t>Nippon Multi Cap</t>
        </is>
      </c>
      <c r="B7" s="94" t="inlineStr">
        <is>
          <t>Nippon</t>
        </is>
      </c>
      <c r="C7" s="94" t="n">
        <v>226.127</v>
      </c>
      <c r="D7" s="252" t="n">
        <v>73936.89</v>
      </c>
      <c r="E7" s="252" t="n">
        <v>77061.61</v>
      </c>
      <c r="F7" s="252">
        <f>E7-D7</f>
        <v>3124.72</v>
      </c>
      <c r="G7" s="254">
        <f>IF(D7=0,0,F7/D7)</f>
        <v>0.0422619886</v>
      </c>
      <c r="H7" s="255" t="n">
        <v>340.7896</v>
      </c>
      <c r="I7" s="94" t="inlineStr">
        <is>
          <t>Active</t>
        </is>
      </c>
      <c r="J7" s="94" t="inlineStr">
        <is>
          <t>Multi Cap email confirms 8.803 new units</t>
        </is>
      </c>
      <c r="K7" s="240">
        <f>E7*'FX &amp; Assumptions'!$B$7</f>
        <v>2969.438136613</v>
      </c>
      <c r="L7" s="50">
        <f>IF($E$12=0,0,E7/$E$12)</f>
        <v>0.3144253381</v>
      </c>
    </row>
    <row r="8">
      <c r="A8" s="94" t="inlineStr">
        <is>
          <t>Nippon Growth Mid Cap</t>
        </is>
      </c>
      <c r="B8" s="94" t="inlineStr">
        <is>
          <t>Nippon</t>
        </is>
      </c>
      <c r="C8" s="94" t="n">
        <v>6.993</v>
      </c>
      <c r="D8" s="252" t="n">
        <v>33000</v>
      </c>
      <c r="E8" s="252" t="n">
        <v>35303.33</v>
      </c>
      <c r="F8" s="252">
        <f>E8-D8</f>
        <v>2303.33</v>
      </c>
      <c r="G8" s="254">
        <f>IF(D8=0,0,F8/D8)</f>
        <v>0.0697978788</v>
      </c>
      <c r="H8" s="255" t="n">
        <v>5048.38</v>
      </c>
      <c r="I8" s="94" t="inlineStr">
        <is>
          <t>Active</t>
        </is>
      </c>
      <c r="J8" s="94" t="inlineStr">
        <is>
          <t>MF Central 10 Aug</t>
        </is>
      </c>
      <c r="K8" s="240">
        <f>E8*'FX &amp; Assumptions'!$B$7</f>
        <v>1360.353805889</v>
      </c>
      <c r="L8" s="50">
        <f>IF($E$12=0,0,E8/$E$12)</f>
        <v>0.144043986</v>
      </c>
    </row>
    <row r="9">
      <c r="A9" s="94" t="inlineStr">
        <is>
          <t>Nippon Small Cap</t>
        </is>
      </c>
      <c r="B9" s="94" t="inlineStr">
        <is>
          <t>Nippon</t>
        </is>
      </c>
      <c r="C9" s="94" t="n">
        <v>189.636</v>
      </c>
      <c r="D9" s="252" t="n">
        <v>35968</v>
      </c>
      <c r="E9" s="252" t="n">
        <v>39456.63</v>
      </c>
      <c r="F9" s="252">
        <f>E9-D9</f>
        <v>3488.63</v>
      </c>
      <c r="G9" s="254">
        <f>IF(D9=0,0,F9/D9)</f>
        <v>0.0969926045</v>
      </c>
      <c r="H9" s="255" t="n">
        <v>208.07</v>
      </c>
      <c r="I9" s="94" t="inlineStr">
        <is>
          <t>Active</t>
        </is>
      </c>
      <c r="J9" s="94" t="inlineStr">
        <is>
          <t>MF Central 10 Aug</t>
        </is>
      </c>
      <c r="K9" s="240">
        <f>E9*'FX &amp; Assumptions'!$B$7</f>
        <v>1520.394160779</v>
      </c>
      <c r="L9" s="50">
        <f>IF($E$12=0,0,E9/$E$12)</f>
        <v>0.1609902029</v>
      </c>
    </row>
    <row r="10">
      <c r="A10" s="94" t="inlineStr">
        <is>
          <t>Nippon Silver ETF FoF</t>
        </is>
      </c>
      <c r="B10" s="94" t="inlineStr">
        <is>
          <t>Nippon</t>
        </is>
      </c>
      <c r="C10" s="94" t="n">
        <v>115.191</v>
      </c>
      <c r="D10" s="252" t="n">
        <v>2971.14</v>
      </c>
      <c r="E10" s="252" t="n">
        <v>4046.82</v>
      </c>
      <c r="F10" s="252">
        <f>E10-D10</f>
        <v>1075.68</v>
      </c>
      <c r="G10" s="254">
        <f>IF(D10=0,0,F10/D10)</f>
        <v>0.3620428522</v>
      </c>
      <c r="H10" s="255" t="n">
        <v>35.13</v>
      </c>
      <c r="I10" s="94" t="inlineStr">
        <is>
          <t>Cancelled</t>
        </is>
      </c>
      <c r="J10" s="94" t="inlineStr">
        <is>
          <t>Holding remains; SIP cancelled</t>
        </is>
      </c>
      <c r="K10" s="240">
        <f>E10*'FX &amp; Assumptions'!$B$7</f>
        <v>155.937329106</v>
      </c>
      <c r="L10" s="50">
        <f>IF($E$12=0,0,E10/$E$12)</f>
        <v>0.0165117592</v>
      </c>
    </row>
    <row r="11">
      <c r="A11" s="94" t="inlineStr">
        <is>
          <t>Motilal Oswal Midcap</t>
        </is>
      </c>
      <c r="B11" s="94" t="inlineStr">
        <is>
          <t>Motilal Oswal</t>
        </is>
      </c>
      <c r="C11" s="94" t="n">
        <v>93.721</v>
      </c>
      <c r="D11" s="252" t="n">
        <v>11000</v>
      </c>
      <c r="E11" s="252" t="n">
        <v>11206.72</v>
      </c>
      <c r="F11" s="252">
        <f>E11-D11</f>
        <v>206.72</v>
      </c>
      <c r="G11" s="254">
        <f>IF(D11=0,0,F11/D11)</f>
        <v>0.0187927273</v>
      </c>
      <c r="H11" s="255" t="n">
        <v>119.5753353</v>
      </c>
      <c r="I11" s="94" t="inlineStr">
        <is>
          <t>Active</t>
        </is>
      </c>
      <c r="J11" s="94" t="inlineStr">
        <is>
          <t>MF Central 10 Aug</t>
        </is>
      </c>
      <c r="K11" s="240">
        <f>E11*'FX &amp; Assumptions'!$B$7</f>
        <v>431.831903776</v>
      </c>
      <c r="L11" s="50">
        <f>IF($E$12=0,0,E11/$E$12)</f>
        <v>0.0457254491</v>
      </c>
    </row>
    <row r="12">
      <c r="A12" s="250" t="inlineStr">
        <is>
          <t>TOTAL</t>
        </is>
      </c>
      <c r="B12" s="250" t="n"/>
      <c r="C12" s="250" t="n"/>
      <c r="D12" s="256">
        <f>SUM(D6:D11)</f>
        <v>231876.03</v>
      </c>
      <c r="E12" s="256">
        <f>SUM(E6:E11)</f>
        <v>245087.15</v>
      </c>
      <c r="F12" s="256">
        <f>SUM(F6:F11)</f>
        <v>13211.12</v>
      </c>
      <c r="G12" s="257">
        <f>IF(D12=0,0,F12/D12)</f>
        <v>0.0569749275</v>
      </c>
      <c r="H12" s="250" t="n"/>
      <c r="I12" s="250" t="n"/>
      <c r="J12" s="250" t="inlineStr">
        <is>
          <t>Rounded statement total</t>
        </is>
      </c>
      <c r="K12" s="241">
        <f>E12*'FX &amp; Assumptions'!$B$7</f>
        <v>9444.016677095</v>
      </c>
      <c r="L12" s="294">
        <f>IF($E$12=0,0,E12/$E$12)</f>
        <v>1.0</v>
      </c>
    </row>
    <row r="13">
      <c r="A13" s="94" t="n"/>
      <c r="B13" s="94" t="n"/>
      <c r="C13" s="94" t="n"/>
      <c r="D13" s="94" t="n"/>
      <c r="E13" s="94" t="n"/>
      <c r="F13" s="94" t="n"/>
      <c r="G13" s="94" t="n"/>
      <c r="H13" s="94" t="n"/>
      <c r="I13" s="94" t="n"/>
      <c r="J13" s="94" t="n"/>
    </row>
    <row r="14" ht="23" customHeight="1">
      <c r="A14" s="9" t="inlineStr">
        <is>
          <t>PORTFOLIO CONTROLS</t>
        </is>
      </c>
      <c r="K14" s="7" t="n"/>
      <c r="L14" s="7" t="n"/>
    </row>
    <row r="15">
      <c r="A15" s="13" t="inlineStr">
        <is>
          <t>Metric</t>
        </is>
      </c>
      <c r="B15" s="13" t="inlineStr">
        <is>
          <t>Value</t>
        </is>
      </c>
      <c r="C15" s="13" t="inlineStr">
        <is>
          <t>Status</t>
        </is>
      </c>
      <c r="D15" s="13" t="inlineStr">
        <is>
          <t>Note</t>
        </is>
      </c>
      <c r="E15" s="94" t="n"/>
      <c r="F15" s="94" t="n"/>
      <c r="G15" s="94" t="n"/>
      <c r="H15" s="94" t="n"/>
      <c r="I15" s="94" t="n"/>
      <c r="J15" s="94" t="n"/>
    </row>
    <row r="16">
      <c r="A16" s="94" t="inlineStr">
        <is>
          <t>Nippon concentration</t>
        </is>
      </c>
      <c r="B16" s="254">
        <f>SUM(E6:E10)/E12</f>
        <v>0.9542745509</v>
      </c>
      <c r="C16" s="94" t="inlineStr">
        <is>
          <t>High</t>
        </is>
      </c>
      <c r="D16" s="94" t="inlineStr">
        <is>
          <t>Nippon value / total MF value</t>
        </is>
      </c>
      <c r="E16" s="94" t="n"/>
      <c r="F16" s="94" t="n"/>
      <c r="G16" s="94" t="n"/>
      <c r="H16" s="94" t="n"/>
      <c r="I16" s="94" t="n"/>
      <c r="J16" s="94" t="n"/>
    </row>
    <row r="17">
      <c r="A17" s="94" t="inlineStr">
        <is>
          <t>Motilal concentration</t>
        </is>
      </c>
      <c r="B17" s="254">
        <f>E11/E12</f>
        <v>0.0457254491</v>
      </c>
      <c r="C17" s="94" t="inlineStr">
        <is>
          <t>Low</t>
        </is>
      </c>
      <c r="D17" s="94" t="inlineStr">
        <is>
          <t>Motilal value / total MF value</t>
        </is>
      </c>
      <c r="E17" s="94" t="n"/>
      <c r="F17" s="94" t="n"/>
      <c r="G17" s="94" t="n"/>
      <c r="H17" s="94" t="n"/>
      <c r="I17" s="94" t="n"/>
      <c r="J17" s="94" t="n"/>
    </row>
    <row r="18">
      <c r="A18" s="94" t="inlineStr">
        <is>
          <t>Next SIP</t>
        </is>
      </c>
      <c r="B18" s="252" t="n">
        <v>12000</v>
      </c>
      <c r="C18" s="94" t="inlineStr">
        <is>
          <t>Active</t>
        </is>
      </c>
      <c r="D18" s="94" t="inlineStr">
        <is>
          <t>Due 10 Sep; AED 462.40 estimated funding</t>
        </is>
      </c>
      <c r="E18" s="94" t="n"/>
      <c r="F18" s="94" t="n"/>
      <c r="G18" s="94" t="n"/>
      <c r="H18" s="94" t="n"/>
      <c r="I18" s="94" t="n"/>
      <c r="J18" s="94" t="n"/>
    </row>
    <row r="19">
      <c r="A19" s="94" t="n"/>
      <c r="B19" s="94" t="n"/>
      <c r="C19" s="94" t="n"/>
      <c r="D19" s="94" t="n"/>
      <c r="E19" s="94" t="n"/>
      <c r="F19" s="94" t="n"/>
      <c r="G19" s="94" t="n"/>
      <c r="H19" s="94" t="n"/>
      <c r="I19" s="94" t="n"/>
      <c r="J19" s="94" t="n"/>
    </row>
    <row r="20" ht="23" customHeight="1">
      <c r="A20" s="9" t="inlineStr">
        <is>
          <t>AMANA STATEMENT CONTROLS</t>
        </is>
      </c>
      <c r="K20" s="7" t="n"/>
      <c r="L20" s="7" t="n"/>
    </row>
    <row r="21">
      <c r="A21" s="13" t="inlineStr">
        <is>
          <t>Metric</t>
        </is>
      </c>
      <c r="B21" s="13" t="inlineStr">
        <is>
          <t>Value</t>
        </is>
      </c>
      <c r="C21" s="13" t="inlineStr">
        <is>
          <t>Status</t>
        </is>
      </c>
      <c r="D21" s="13" t="inlineStr">
        <is>
          <t>Evidence</t>
        </is>
      </c>
      <c r="E21" s="94" t="n"/>
      <c r="F21" s="94" t="n"/>
      <c r="G21" s="94" t="n"/>
      <c r="H21" s="94" t="n"/>
      <c r="I21" s="94" t="n"/>
      <c r="J21" s="94" t="n"/>
    </row>
    <row r="22">
      <c r="A22" s="94" t="inlineStr">
        <is>
          <t>Ending account value</t>
        </is>
      </c>
      <c r="B22" s="258" t="n">
        <v>864.8200000000001</v>
      </c>
      <c r="C22" s="94" t="inlineStr">
        <is>
          <t>Actual</t>
        </is>
      </c>
      <c r="D22" s="94" t="inlineStr">
        <is>
          <t>Amana statement through 10 Aug 2026</t>
        </is>
      </c>
      <c r="E22" s="94" t="n"/>
      <c r="F22" s="94" t="n"/>
      <c r="G22" s="94" t="n"/>
      <c r="H22" s="94" t="n"/>
      <c r="I22" s="94" t="n"/>
      <c r="J22" s="94" t="n"/>
    </row>
    <row r="23">
      <c r="A23" s="94" t="inlineStr">
        <is>
          <t>Net money in / out</t>
        </is>
      </c>
      <c r="B23" s="258" t="n">
        <v>852.11</v>
      </c>
      <c r="C23" s="94" t="inlineStr">
        <is>
          <t>Actual</t>
        </is>
      </c>
      <c r="D23" s="94" t="inlineStr">
        <is>
          <t>Statement total</t>
        </is>
      </c>
      <c r="E23" s="94" t="n"/>
      <c r="F23" s="94" t="n"/>
      <c r="G23" s="94" t="n"/>
      <c r="H23" s="94" t="n"/>
      <c r="I23" s="94" t="n"/>
      <c r="J23" s="94" t="n"/>
    </row>
    <row r="24">
      <c r="A24" s="94" t="inlineStr">
        <is>
          <t>Realized profit</t>
        </is>
      </c>
      <c r="B24" s="258" t="n">
        <v>162.13</v>
      </c>
      <c r="C24" s="94" t="inlineStr">
        <is>
          <t>Actual</t>
        </is>
      </c>
      <c r="D24" s="94" t="inlineStr">
        <is>
          <t>Statement summary</t>
        </is>
      </c>
      <c r="E24" s="94" t="n"/>
      <c r="F24" s="94" t="n"/>
      <c r="G24" s="94" t="n"/>
      <c r="H24" s="94" t="n"/>
      <c r="I24" s="94" t="n"/>
      <c r="J24" s="94" t="n"/>
    </row>
    <row r="25">
      <c r="A25" s="94" t="inlineStr">
        <is>
          <t>Floating profit / loss</t>
        </is>
      </c>
      <c r="B25" s="258" t="n">
        <v>-130.69</v>
      </c>
      <c r="C25" s="94" t="inlineStr">
        <is>
          <t>Actual</t>
        </is>
      </c>
      <c r="D25" s="94" t="inlineStr">
        <is>
          <t>Statement summary</t>
        </is>
      </c>
      <c r="E25" s="94" t="n"/>
      <c r="F25" s="94" t="n"/>
      <c r="G25" s="94" t="n"/>
      <c r="H25" s="94" t="n"/>
      <c r="I25" s="94" t="n"/>
      <c r="J25" s="94" t="n"/>
    </row>
    <row r="26">
      <c r="A26" s="94" t="inlineStr">
        <is>
          <t>Floating fees</t>
        </is>
      </c>
      <c r="B26" s="258" t="n">
        <v>-8.449999999999999</v>
      </c>
      <c r="C26" s="94" t="inlineStr">
        <is>
          <t>Actual</t>
        </is>
      </c>
      <c r="D26" s="94" t="inlineStr">
        <is>
          <t>Statement summary</t>
        </is>
      </c>
      <c r="E26" s="94" t="n"/>
      <c r="F26" s="94" t="n"/>
      <c r="G26" s="94" t="n"/>
      <c r="H26" s="94" t="n"/>
      <c r="I26" s="94" t="n"/>
      <c r="J26" s="94" t="n"/>
    </row>
    <row r="27">
      <c r="A27" s="94" t="inlineStr">
        <is>
          <t>Overnight fees</t>
        </is>
      </c>
      <c r="B27" s="258" t="n">
        <v>-12.02</v>
      </c>
      <c r="C27" s="94" t="inlineStr">
        <is>
          <t>Actual</t>
        </is>
      </c>
      <c r="D27" s="94" t="inlineStr">
        <is>
          <t>Statement summary</t>
        </is>
      </c>
      <c r="E27" s="94" t="n"/>
      <c r="F27" s="94" t="n"/>
      <c r="G27" s="94" t="n"/>
      <c r="H27" s="94" t="n"/>
      <c r="I27" s="94" t="n"/>
      <c r="J27" s="94" t="n"/>
    </row>
    <row r="28">
      <c r="A28" s="94" t="inlineStr">
        <is>
          <t>Amana Earn</t>
        </is>
      </c>
      <c r="B28" s="258" t="n">
        <v>3.72</v>
      </c>
      <c r="C28" s="94" t="inlineStr">
        <is>
          <t>Actual</t>
        </is>
      </c>
      <c r="D28" s="94" t="inlineStr">
        <is>
          <t>Statement summary</t>
        </is>
      </c>
      <c r="E28" s="94" t="n"/>
      <c r="F28" s="94" t="n"/>
      <c r="G28" s="94" t="n"/>
      <c r="H28" s="94" t="n"/>
      <c r="I28" s="94" t="n"/>
      <c r="J28" s="94" t="n"/>
    </row>
    <row r="29">
      <c r="A29" s="94" t="inlineStr">
        <is>
          <t>Open positions</t>
        </is>
      </c>
      <c r="B29" s="259" t="n">
        <v>41</v>
      </c>
      <c r="C29" s="94" t="inlineStr">
        <is>
          <t>Actual</t>
        </is>
      </c>
      <c r="D29" s="94" t="inlineStr">
        <is>
          <t>PLTR, VOO and Realty Income sold 28 Jul</t>
        </is>
      </c>
      <c r="E29" s="94" t="n"/>
      <c r="F29" s="94" t="n"/>
      <c r="G29" s="94" t="n"/>
      <c r="H29" s="94" t="n"/>
      <c r="I29" s="94" t="n"/>
      <c r="J29" s="94" t="n"/>
    </row>
    <row r="31" ht="23" customHeight="1">
      <c r="A31" s="9" t="inlineStr">
        <is>
          <t>CONSOLIDATED PORTFOLIO IN DIRHAMS</t>
        </is>
      </c>
    </row>
    <row r="32" ht="23" customHeight="1">
      <c r="A32" s="236" t="inlineStr">
        <is>
          <t>Holding group</t>
        </is>
      </c>
      <c r="B32" s="236" t="inlineStr">
        <is>
          <t>Native value</t>
        </is>
      </c>
      <c r="C32" s="236" t="inlineStr">
        <is>
          <t>Currency</t>
        </is>
      </c>
      <c r="D32" s="236" t="inlineStr">
        <is>
          <t>Rate to AED</t>
        </is>
      </c>
      <c r="E32" s="236" t="inlineStr">
        <is>
          <t>Value (AED)</t>
        </is>
      </c>
      <c r="F32" s="236" t="inlineStr">
        <is>
          <t>Share</t>
        </is>
      </c>
      <c r="G32" s="236" t="inlineStr"/>
      <c r="H32" s="236" t="inlineStr"/>
      <c r="I32" s="236" t="inlineStr"/>
      <c r="J32" s="236" t="inlineStr">
        <is>
          <t>Note</t>
        </is>
      </c>
      <c r="K32" s="236" t="inlineStr"/>
      <c r="L32" s="236" t="inlineStr"/>
    </row>
    <row r="33">
      <c r="A33" t="inlineStr">
        <is>
          <t>Indian mutual funds — 6 schemes</t>
        </is>
      </c>
      <c r="B33" s="297">
        <f>E12</f>
        <v>245087.15</v>
      </c>
      <c r="C33" t="inlineStr">
        <is>
          <t>INR</t>
        </is>
      </c>
      <c r="D33" s="298">
        <f>'FX &amp; Assumptions'!$B$7</f>
        <v>0.0385333</v>
      </c>
      <c r="E33" s="240">
        <f>B33*D33</f>
        <v>9444.016677095</v>
      </c>
      <c r="F33" s="50">
        <f>IF($E$36=0,0,E33/$E$36)</f>
        <v>0.7474465969</v>
      </c>
      <c r="J33" s="239" t="inlineStr">
        <is>
          <t>Five Nippon schemes plus one Motilal Oswal midcap fund, valued at the 10 Aug MF Central snapshot.</t>
        </is>
      </c>
    </row>
    <row r="34">
      <c r="A34" t="inlineStr">
        <is>
          <t>ICICI settlement cash</t>
        </is>
      </c>
      <c r="B34" s="297">
        <f>'Inputs'!B40</f>
        <v>388.51</v>
      </c>
      <c r="C34" t="inlineStr">
        <is>
          <t>INR</t>
        </is>
      </c>
      <c r="D34" s="298">
        <f>'FX &amp; Assumptions'!$B$7</f>
        <v>0.0385333</v>
      </c>
      <c r="E34" s="240">
        <f>B34*D34</f>
        <v>14.970572383</v>
      </c>
      <c r="F34" s="50">
        <f>IF($E$36=0,0,E34/$E$36)</f>
        <v>0.0011848458</v>
      </c>
      <c r="J34" s="239" t="inlineStr">
        <is>
          <t>Rupee cash left idle after the August SIPs.</t>
        </is>
      </c>
    </row>
    <row r="35">
      <c r="A35" t="inlineStr">
        <is>
          <t>Amana trading account</t>
        </is>
      </c>
      <c r="B35" s="299">
        <f>B22</f>
        <v>864.82</v>
      </c>
      <c r="C35" t="inlineStr">
        <is>
          <t>USD</t>
        </is>
      </c>
      <c r="D35" s="298">
        <f>'FX &amp; Assumptions'!$B$9</f>
        <v>3.6725</v>
      </c>
      <c r="E35" s="240">
        <f>B35*D35</f>
        <v>3176.05145</v>
      </c>
      <c r="F35" s="50">
        <f>IF($E$36=0,0,E35/$E$36)</f>
        <v>0.2513685574</v>
      </c>
      <c r="J35" s="239" t="inlineStr">
        <is>
          <t>Ending account value across 41 open positions.</t>
        </is>
      </c>
    </row>
    <row r="36">
      <c r="A36" s="10" t="inlineStr">
        <is>
          <t>TOTAL INVESTED (AED)</t>
        </is>
      </c>
      <c r="B36" s="4" t="n"/>
      <c r="C36" s="4" t="n"/>
      <c r="D36" s="4" t="n"/>
      <c r="E36" s="241">
        <f>SUM(E33:E35)</f>
        <v>12635.038699478</v>
      </c>
      <c r="F36" s="4" t="n"/>
      <c r="J36" s="236" t="inlineStr">
        <is>
          <t>This is the figure the Net Worth and Wealth Plan sheets grow.</t>
        </is>
      </c>
    </row>
    <row r="37">
      <c r="A37" s="10" t="inlineStr">
        <is>
          <t>Total cost basis (AED)</t>
        </is>
      </c>
      <c r="B37" s="4" t="n"/>
      <c r="C37" s="4" t="n"/>
      <c r="D37" s="4" t="n"/>
      <c r="E37" s="241">
        <f>D12*'FX &amp; Assumptions'!$B$7+B23*'FX &amp; Assumptions'!$B$9+'Inputs'!B40*'FX &amp; Assumptions'!$B$7</f>
        <v>12079.293174182</v>
      </c>
      <c r="F37" s="4" t="n"/>
      <c r="J37" s="236" t="inlineStr">
        <is>
          <t>Mutual-fund cost plus net money paid into Amana plus the idle broker cash. The cash is carried at cost so that holding it never shows up as a gain.</t>
        </is>
      </c>
    </row>
    <row r="38">
      <c r="A38" s="10" t="inlineStr">
        <is>
          <t>Total gain / (loss) (AED)</t>
        </is>
      </c>
      <c r="B38" s="4" t="n"/>
      <c r="C38" s="4" t="n"/>
      <c r="D38" s="4" t="n"/>
      <c r="E38" s="241">
        <f>E36-E37</f>
        <v>555.745525296</v>
      </c>
      <c r="F38" s="4" t="n"/>
      <c r="J38" s="236" t="inlineStr">
        <is>
          <t>Snapshot gain, not a forecast. The Wealth Plan deliberately assumes less.</t>
        </is>
      </c>
    </row>
    <row r="39">
      <c r="A39" s="10" t="inlineStr">
        <is>
          <t>Return on cost</t>
        </is>
      </c>
      <c r="B39" s="4" t="n"/>
      <c r="C39" s="4" t="n"/>
      <c r="D39" s="4" t="n"/>
      <c r="E39" s="294">
        <f>IF(E37=0,0,E38/E37)</f>
        <v>0.0460081163</v>
      </c>
      <c r="F39" s="4" t="n"/>
      <c r="J39" s="236" t="inlineStr">
        <is>
          <t>Simple return on money in. Not annualised — most of this capital has been invested for less than a full year.</t>
        </is>
      </c>
    </row>
    <row r="41" ht="23" customHeight="1">
      <c r="A41" s="9" t="inlineStr">
        <is>
          <t>ASSET ALLOCATION — ACTUAL AGAINST TARGET</t>
        </is>
      </c>
    </row>
    <row r="42" ht="23" customHeight="1">
      <c r="A42" s="236" t="inlineStr">
        <is>
          <t>Asset class</t>
        </is>
      </c>
      <c r="B42" s="236" t="inlineStr">
        <is>
          <t>Value (AED)</t>
        </is>
      </c>
      <c r="C42" s="236" t="inlineStr">
        <is>
          <t>Actual weight</t>
        </is>
      </c>
      <c r="D42" s="236" t="inlineStr">
        <is>
          <t>Target weight</t>
        </is>
      </c>
      <c r="E42" s="236" t="inlineStr">
        <is>
          <t>Drift</t>
        </is>
      </c>
      <c r="F42" s="236" t="inlineStr">
        <is>
          <t>Action</t>
        </is>
      </c>
      <c r="G42" s="236" t="inlineStr"/>
      <c r="H42" s="236" t="inlineStr"/>
      <c r="I42" s="236" t="inlineStr"/>
      <c r="J42" s="236" t="inlineStr">
        <is>
          <t>Note</t>
        </is>
      </c>
      <c r="K42" s="236" t="inlineStr"/>
      <c r="L42" s="236" t="inlineStr"/>
    </row>
    <row r="43">
      <c r="A43" t="inlineStr">
        <is>
          <t>Indian large cap</t>
        </is>
      </c>
      <c r="B43" s="240">
        <f>E6*'FX &amp; Assumptions'!$B$7</f>
        <v>3006.061340932</v>
      </c>
      <c r="C43" s="50">
        <f>IF($B$50=0,0,B43/$B$50)</f>
        <v>0.237914692</v>
      </c>
      <c r="D43" s="305" t="n">
        <v>0.3</v>
      </c>
      <c r="E43" s="50">
        <f>C43-D43</f>
        <v>-0.062085308</v>
      </c>
      <c r="F43" t="str">
        <f>IF(ABS(E43)&lt;=0.05,"On target",IF(E43&gt;0,"Overweight","Underweight"))</f>
        <v>Underweight</v>
      </c>
      <c r="J43" s="239" t="inlineStr">
        <is>
          <t>Nippon Large Cap. The stabiliser of the portfolio.</t>
        </is>
      </c>
    </row>
    <row r="44">
      <c r="A44" t="inlineStr">
        <is>
          <t>Indian multi cap</t>
        </is>
      </c>
      <c r="B44" s="240">
        <f>E7*'FX &amp; Assumptions'!$B$7</f>
        <v>2969.438136613</v>
      </c>
      <c r="C44" s="50">
        <f>IF($B$50=0,0,B44/$B$50)</f>
        <v>0.2350161489</v>
      </c>
      <c r="D44" s="305" t="n">
        <v>0.2</v>
      </c>
      <c r="E44" s="50">
        <f>C44-D44</f>
        <v>0.0350161489</v>
      </c>
      <c r="F44" t="str">
        <f>IF(ABS(E44)&lt;=0.05,"On target",IF(E44&gt;0,"Overweight","Underweight"))</f>
        <v>On target</v>
      </c>
      <c r="J44" s="239" t="inlineStr">
        <is>
          <t>Nippon Multi Cap. Already close to target.</t>
        </is>
      </c>
    </row>
    <row r="45">
      <c r="A45" t="inlineStr">
        <is>
          <t>Indian mid cap</t>
        </is>
      </c>
      <c r="B45" s="240">
        <f>(E8+E11)*'FX &amp; Assumptions'!$B$7</f>
        <v>1792.185709665</v>
      </c>
      <c r="C45" s="50">
        <f>IF($B$50=0,0,B45/$B$50)</f>
        <v>0.1418425184</v>
      </c>
      <c r="D45" s="305" t="n">
        <v>0.15</v>
      </c>
      <c r="E45" s="50">
        <f>C45-D45</f>
        <v>-0.0081574816</v>
      </c>
      <c r="F45" t="str">
        <f>IF(ABS(E45)&lt;=0.05,"On target",IF(E45&gt;0,"Overweight","Underweight"))</f>
        <v>On target</v>
      </c>
      <c r="J45" s="239" t="inlineStr">
        <is>
          <t>Nippon Growth Mid Cap plus Motilal Oswal Midcap. Two funds doing the same job — a candidate for consolidation.</t>
        </is>
      </c>
    </row>
    <row r="46">
      <c r="A46" t="inlineStr">
        <is>
          <t>Indian small cap</t>
        </is>
      </c>
      <c r="B46" s="240">
        <f>E9*'FX &amp; Assumptions'!$B$7</f>
        <v>1520.394160779</v>
      </c>
      <c r="C46" s="50">
        <f>IF($B$50=0,0,B46/$B$50)</f>
        <v>0.1203315793</v>
      </c>
      <c r="D46" s="305" t="n">
        <v>0.1</v>
      </c>
      <c r="E46" s="50">
        <f>C46-D46</f>
        <v>0.0203315793</v>
      </c>
      <c r="F46" t="str">
        <f>IF(ABS(E46)&lt;=0.05,"On target",IF(E46&gt;0,"Overweight","Underweight"))</f>
        <v>On target</v>
      </c>
      <c r="J46" s="239" t="inlineStr">
        <is>
          <t>Nippon Small Cap. The highest-volatility sleeve; keep it small and never sell it in a panic.</t>
        </is>
      </c>
    </row>
    <row r="47">
      <c r="A47" t="inlineStr">
        <is>
          <t>Commodity — silver</t>
        </is>
      </c>
      <c r="B47" s="240">
        <f>E10*'FX &amp; Assumptions'!$B$7</f>
        <v>155.937329106</v>
      </c>
      <c r="C47" s="50">
        <f>IF($B$50=0,0,B47/$B$50)</f>
        <v>0.0123416582</v>
      </c>
      <c r="D47" s="305" t="n">
        <v>0.05</v>
      </c>
      <c r="E47" s="50">
        <f>C47-D47</f>
        <v>-0.0376583418</v>
      </c>
      <c r="F47" t="str">
        <f>IF(ABS(E47)&lt;=0.05,"On target",IF(E47&gt;0,"Overweight","Underweight"))</f>
        <v>On target</v>
      </c>
      <c r="J47" s="239" t="inlineStr">
        <is>
          <t>Nippon Silver ETF FoF. The SIP is cancelled but the holding remains; it is the best-performing line in the portfolio and worth keeping as a diversifier.</t>
        </is>
      </c>
    </row>
    <row r="48">
      <c r="A48" t="inlineStr">
        <is>
          <t>Global equity</t>
        </is>
      </c>
      <c r="B48" s="240">
        <f>B22*'FX &amp; Assumptions'!$B$9</f>
        <v>3176.05145</v>
      </c>
      <c r="C48" s="50">
        <f>IF($B$50=0,0,B48/$B$50)</f>
        <v>0.2513685574</v>
      </c>
      <c r="D48" s="305" t="n">
        <v>0.15</v>
      </c>
      <c r="E48" s="50">
        <f>C48-D48</f>
        <v>0.1013685574</v>
      </c>
      <c r="F48" t="str">
        <f>IF(ABS(E48)&lt;=0.05,"On target",IF(E48&gt;0,"Overweight","Underweight"))</f>
        <v>Overweight</v>
      </c>
      <c r="J48" s="239" t="inlineStr">
        <is>
          <t>Amana account. The only non-rupee investment exposure in the file.</t>
        </is>
      </c>
    </row>
    <row r="49">
      <c r="A49" t="inlineStr">
        <is>
          <t>Broker cash</t>
        </is>
      </c>
      <c r="B49" s="240">
        <f>'Inputs'!B40*'FX &amp; Assumptions'!$B$7</f>
        <v>14.970572383</v>
      </c>
      <c r="C49" s="50">
        <f>IF($B$50=0,0,B49/$B$50)</f>
        <v>0.0011848458</v>
      </c>
      <c r="D49" s="305" t="n">
        <v>0.05</v>
      </c>
      <c r="E49" s="50">
        <f>C49-D49</f>
        <v>-0.0488151542</v>
      </c>
      <c r="F49" t="str">
        <f>IF(ABS(E49)&lt;=0.05,"On target",IF(E49&gt;0,"Overweight","Underweight"))</f>
        <v>On target</v>
      </c>
      <c r="J49" s="239" t="inlineStr">
        <is>
          <t>Idle settlement cash. Target is really zero; 5% is the practical tolerance.</t>
        </is>
      </c>
    </row>
    <row r="50">
      <c r="A50" s="10" t="inlineStr">
        <is>
          <t>TOTAL</t>
        </is>
      </c>
      <c r="B50" s="241">
        <f>SUM(B43:B49)</f>
        <v>12635.038699478</v>
      </c>
      <c r="C50" s="294">
        <f>IF(B50=0,0,SUM(B43:B49)/B50)</f>
        <v>1.0</v>
      </c>
      <c r="D50" s="294">
        <f>SUM(D43:D49)</f>
        <v>1.0</v>
      </c>
      <c r="E50" s="294">
        <f>C50-D50</f>
        <v>0.0</v>
      </c>
      <c r="F50" s="10" t="str">
        <f>IF(ABS(D50-1)&lt;0.0001,"Targets valid","TARGETS DO NOT SUM TO 100%")</f>
        <v>Targets valid</v>
      </c>
      <c r="J50" s="236" t="inlineStr">
        <is>
          <t>Rebalance by directing new SIP instalments, never by selling. Selling triggers exit loads and capital gains; redirecting costs nothing.</t>
        </is>
      </c>
    </row>
    <row r="52" ht="23" customHeight="1">
      <c r="A52" s="9" t="inlineStr">
        <is>
          <t>RISK CONTROLS</t>
        </is>
      </c>
    </row>
    <row r="53" ht="23" customHeight="1">
      <c r="A53" s="236" t="inlineStr">
        <is>
          <t>Control</t>
        </is>
      </c>
      <c r="B53" s="236" t="inlineStr">
        <is>
          <t>Value</t>
        </is>
      </c>
      <c r="C53" s="236" t="inlineStr">
        <is>
          <t>Limit</t>
        </is>
      </c>
      <c r="D53" s="236" t="inlineStr">
        <is>
          <t>Status</t>
        </is>
      </c>
      <c r="E53" s="236" t="inlineStr"/>
      <c r="F53" s="236" t="inlineStr"/>
      <c r="G53" s="236" t="inlineStr"/>
      <c r="H53" s="236" t="inlineStr"/>
      <c r="I53" s="236" t="inlineStr"/>
      <c r="J53" s="236" t="inlineStr">
        <is>
          <t>Read</t>
        </is>
      </c>
      <c r="K53" s="236" t="inlineStr"/>
      <c r="L53" s="236" t="inlineStr"/>
    </row>
    <row r="54">
      <c r="A54" t="inlineStr">
        <is>
          <t>Single fund house — Nippon</t>
        </is>
      </c>
      <c r="B54" s="50">
        <f>B16</f>
        <v>0.9542745509</v>
      </c>
      <c r="C54" s="296" t="n">
        <v>0.8</v>
      </c>
      <c r="D54" s="295" t="str">
        <f>IF(B54&lt;=C54,"Within limit","BREACH")</f>
        <v>BREACH</v>
      </c>
      <c r="J54" s="239" t="inlineStr">
        <is>
          <t>Five of six mutual-fund holdings sit with one asset management company. Market risk is diversified; operational and manager risk is not.</t>
        </is>
      </c>
    </row>
    <row r="55">
      <c r="A55" t="inlineStr">
        <is>
          <t>Largest single fund</t>
        </is>
      </c>
      <c r="B55" s="50">
        <f>MAX(L6:L11)</f>
        <v>0.3183032648</v>
      </c>
      <c r="C55" s="296" t="n">
        <v>0.35</v>
      </c>
      <c r="D55" s="295" t="str">
        <f>IF(B55&lt;=C55,"Within limit","BREACH")</f>
        <v>Within limit</v>
      </c>
      <c r="J55" s="239" t="inlineStr">
        <is>
          <t>No single fund should dominate. Concentration here is what turns one bad manager into a bad portfolio.</t>
        </is>
      </c>
    </row>
    <row r="56">
      <c r="A56" t="inlineStr">
        <is>
          <t>Small and mid cap combined</t>
        </is>
      </c>
      <c r="B56" s="50">
        <f>IF(B50=0,0,(B45+B46)/B50)</f>
        <v>0.2621740977</v>
      </c>
      <c r="C56" s="296" t="n">
        <v>0.3</v>
      </c>
      <c r="D56" s="295" t="str">
        <f>IF(B56&lt;=C56,"Within limit","BREACH")</f>
        <v>Within limit</v>
      </c>
      <c r="J56" s="239" t="inlineStr">
        <is>
          <t>The volatile end. Fine at this size for a long horizon; painful if it has to be sold early.</t>
        </is>
      </c>
    </row>
    <row r="57">
      <c r="A57" t="inlineStr">
        <is>
          <t>Commodity sleeve</t>
        </is>
      </c>
      <c r="B57" s="50">
        <f>IF(B50=0,0,B47/B50)</f>
        <v>0.0123416582</v>
      </c>
      <c r="C57" s="296" t="n">
        <v>0.15</v>
      </c>
      <c r="D57" s="295" t="str">
        <f>IF(B57&lt;=C57,"Within limit","BREACH")</f>
        <v>Within limit</v>
      </c>
      <c r="J57" s="239" t="inlineStr">
        <is>
          <t>Silver diversifies equity but produces no income. A modest allocation is the right size.</t>
        </is>
      </c>
    </row>
    <row r="58">
      <c r="A58" t="inlineStr">
        <is>
          <t>Rupee currency exposure</t>
        </is>
      </c>
      <c r="B58" s="50">
        <f>IF(B50=0,0,(B43+B44+B45+B46+B47+B49)/B50)</f>
        <v>0.7486314426</v>
      </c>
      <c r="C58" s="296" t="n">
        <v>0.85</v>
      </c>
      <c r="D58" s="295" t="str">
        <f>IF(B58&lt;=C58,"Within limit","BREACH")</f>
        <v>Within limit</v>
      </c>
      <c r="J58" s="239" t="inlineStr">
        <is>
          <t>Almost the entire portfolio is denominated in rupees while every liability is in dirhams. The dirham is pegged to the dollar, so this is a genuine, unhedged currency mismatch.</t>
        </is>
      </c>
    </row>
    <row r="59">
      <c r="A59" t="inlineStr">
        <is>
          <t>Dollar currency exposure</t>
        </is>
      </c>
      <c r="B59" s="50">
        <f>IF(B50=0,0,B48/B50)</f>
        <v>0.2513685574</v>
      </c>
      <c r="C59" s="296" t="n">
        <v>0.5</v>
      </c>
      <c r="D59" s="295" t="str">
        <f>IF(B59&lt;=C59,"Within limit","BREACH")</f>
        <v>Within limit</v>
      </c>
      <c r="J59" s="239" t="inlineStr">
        <is>
          <t>Effectively dirham-linked because of the peg, which makes it the natural home for money that will be spent in the UAE.</t>
        </is>
      </c>
    </row>
    <row r="60">
      <c r="A60" t="inlineStr">
        <is>
          <t>Amana open positions</t>
        </is>
      </c>
      <c r="B60" s="54">
        <f>B29</f>
        <v>41.0</v>
      </c>
      <c r="C60" s="306" t="n">
        <v>15</v>
      </c>
      <c r="D60" s="295" t="str">
        <f>IF(B60&lt;=C60,"Within limit","BREACH")</f>
        <v>BREACH</v>
      </c>
      <c r="J60" s="239" t="inlineStr">
        <is>
          <t>Forty-one open positions on an account worth under AED 3,200 means the carrying costs on the statement — floating and overnight fees — do real damage relative to the capital at work.</t>
        </is>
      </c>
    </row>
    <row r="61">
      <c r="A61" t="inlineStr">
        <is>
          <t>Portfolio as a share of net worth</t>
        </is>
      </c>
      <c r="B61" s="50">
        <f>IF('Net Worth'!F28=0,0,E36/'Net Worth'!F28)</f>
        <v>0.7870670816</v>
      </c>
      <c r="C61" s="296" t="n">
        <v>0.6</v>
      </c>
      <c r="D61" s="295" t="str">
        <f>IF(B61&lt;=C61,"Within limit","BREACH")</f>
        <v>BREACH</v>
      </c>
      <c r="J61" s="239" t="inlineStr">
        <is>
          <t>How much of your net worth is actually compounding rather than sitting in a current account.</t>
        </is>
      </c>
    </row>
    <row r="63" ht="52" customHeight="1">
      <c r="A63" s="292" t="inlineStr">
        <is>
          <t>The portfolio is doing its job — every scheme is in profit at the snapshot date and the SIP has been running without interruption. The two things worth fixing are structural rather than performance-related: one fund house holds nearly everything, and nearly everything is denominated in a currency you do not spend. Both are fixed with future contributions, not by selling anything.</t>
        </is>
      </c>
    </row>
  </sheetData>
  <mergeCells count="8">
    <mergeCell ref="A1:J2"/>
    <mergeCell ref="A52:L52"/>
    <mergeCell ref="A14:J14"/>
    <mergeCell ref="A41:L41"/>
    <mergeCell ref="A63:L63"/>
    <mergeCell ref="A3:J3"/>
    <mergeCell ref="A31:L31"/>
    <mergeCell ref="A20:J20"/>
  </mergeCells>
  <pageMargins left="0.7" right="0.7" top="0.75" bottom="0.75" header="0.3" footer="0.3"/>
</worksheet>
</file>

<file path=xl/worksheets/sheet13.xml><?xml version="1.0" encoding="utf-8"?>
<worksheet xmlns="http://schemas.openxmlformats.org/spreadsheetml/2006/main">
  <sheetPr>
    <tabColor rgb="FF6941C6"/>
    <outlinePr summaryBelow="1" summaryRight="1"/>
    <pageSetUpPr/>
  </sheetPr>
  <dimension ref="A1:G49"/>
  <sheetViews>
    <sheetView showGridLines="0" workbookViewId="0">
      <selection activeCell="A1" sqref="A1"/>
    </sheetView>
  </sheetViews>
  <sheetFormatPr baseColWidth="8" defaultRowHeight="15"/>
  <cols>
    <col width="34" customWidth="1" min="1" max="1"/>
    <col width="24" customWidth="1" min="2" max="2"/>
    <col width="16" customWidth="1" min="3" max="3"/>
    <col width="11" customWidth="1" min="4" max="4"/>
    <col width="14" customWidth="1" min="5" max="5"/>
    <col width="18" customWidth="1" min="6" max="6"/>
    <col width="50" customWidth="1" min="7" max="7"/>
  </cols>
  <sheetData>
    <row r="1" ht="29" customHeight="1">
      <c r="A1" s="3" t="inlineStr">
        <is>
          <t>Net Worth — Everything You Own, Everything You Owe</t>
        </is>
      </c>
    </row>
    <row r="2" ht="29" customHeight="1"/>
    <row r="3" ht="30" customHeight="1">
      <c r="A3" s="286" t="inlineStr">
        <is>
          <t>One number, in dirhams, built from confirmed balances only. Indian rupee and US dollar holdings are converted at the rates on the FX &amp; Assumptions sheet. Expected salary is never counted as an asset.</t>
        </is>
      </c>
    </row>
    <row r="5" ht="23" customHeight="1">
      <c r="A5" s="9" t="inlineStr">
        <is>
          <t>ASSETS — LIQUID CASH</t>
        </is>
      </c>
    </row>
    <row r="6" ht="23" customHeight="1">
      <c r="A6" s="236" t="inlineStr">
        <is>
          <t>Asset</t>
        </is>
      </c>
      <c r="B6" s="236" t="inlineStr">
        <is>
          <t>Held at</t>
        </is>
      </c>
      <c r="C6" s="236" t="inlineStr">
        <is>
          <t>Native amount</t>
        </is>
      </c>
      <c r="D6" s="236" t="inlineStr">
        <is>
          <t>Currency</t>
        </is>
      </c>
      <c r="E6" s="236" t="inlineStr">
        <is>
          <t>Rate to AED</t>
        </is>
      </c>
      <c r="F6" s="236" t="inlineStr">
        <is>
          <t>Value (AED)</t>
        </is>
      </c>
      <c r="G6" s="236" t="inlineStr">
        <is>
          <t>Note</t>
        </is>
      </c>
    </row>
    <row r="7">
      <c r="A7" t="inlineStr">
        <is>
          <t>FAB 4001 — spending account</t>
        </is>
      </c>
      <c r="B7" t="inlineStr">
        <is>
          <t>First Abu Dhabi Bank</t>
        </is>
      </c>
      <c r="C7" s="26">
        <f>'Inputs'!B7</f>
        <v>3.45</v>
      </c>
      <c r="D7" t="inlineStr">
        <is>
          <t>AED</t>
        </is>
      </c>
      <c r="E7" s="52" t="n">
        <v>1</v>
      </c>
      <c r="F7" s="240">
        <f>C7*E7</f>
        <v>3.45</v>
      </c>
      <c r="G7" s="239" t="inlineStr">
        <is>
          <t>The day-to-day card account. Confirmed 25 Aug after the ENOC purchase.</t>
        </is>
      </c>
    </row>
    <row r="8">
      <c r="A8" t="inlineStr">
        <is>
          <t>FAB 4002 — rent account</t>
        </is>
      </c>
      <c r="B8" t="inlineStr">
        <is>
          <t>First Abu Dhabi Bank</t>
        </is>
      </c>
      <c r="C8" s="26">
        <f>'Inputs'!B8</f>
        <v>6090.7</v>
      </c>
      <c r="D8" t="inlineStr">
        <is>
          <t>AED</t>
        </is>
      </c>
      <c r="E8" s="52" t="n">
        <v>1</v>
      </c>
      <c r="F8" s="240">
        <f>C8*E8</f>
        <v>6090.7</v>
      </c>
      <c r="G8" s="239" t="inlineStr">
        <is>
          <t>Holds AED 5,990.45 of protected rent plus AED 100.25 towards DEWA. Spendable balance is the AED 100.25, not the AED 6,090.70.</t>
        </is>
      </c>
    </row>
    <row r="9">
      <c r="A9" t="inlineStr">
        <is>
          <t>FAB emergency fund</t>
        </is>
      </c>
      <c r="B9" t="inlineStr">
        <is>
          <t>First Abu Dhabi Bank</t>
        </is>
      </c>
      <c r="C9" s="26">
        <f>'Inputs'!B9</f>
        <v>7.67</v>
      </c>
      <c r="D9" t="inlineStr">
        <is>
          <t>AED</t>
        </is>
      </c>
      <c r="E9" s="52" t="n">
        <v>1</v>
      </c>
      <c r="F9" s="240">
        <f>C9*E9</f>
        <v>7.67</v>
      </c>
      <c r="G9" s="239" t="inlineStr">
        <is>
          <t>Ring-fenced. Counts as an asset but must never be counted as available cash.</t>
        </is>
      </c>
    </row>
    <row r="10">
      <c r="A10" t="inlineStr">
        <is>
          <t>NBD current</t>
        </is>
      </c>
      <c r="B10" t="inlineStr">
        <is>
          <t>Emirates NBD</t>
        </is>
      </c>
      <c r="C10" s="26">
        <f>'Inputs'!B10</f>
        <v>0.2</v>
      </c>
      <c r="D10" t="inlineStr">
        <is>
          <t>AED</t>
        </is>
      </c>
      <c r="E10" s="52" t="n">
        <v>1</v>
      </c>
      <c r="F10" s="240">
        <f>C10*E10</f>
        <v>0.2</v>
      </c>
      <c r="G10" s="239" t="inlineStr">
        <is>
          <t>Card-linked; effectively empty.</t>
        </is>
      </c>
    </row>
    <row r="11">
      <c r="A11" t="inlineStr">
        <is>
          <t>NBD Plus Saver</t>
        </is>
      </c>
      <c r="B11" t="inlineStr">
        <is>
          <t>Emirates NBD</t>
        </is>
      </c>
      <c r="C11" s="26">
        <f>'Inputs'!B11</f>
        <v>2.73</v>
      </c>
      <c r="D11" t="inlineStr">
        <is>
          <t>AED</t>
        </is>
      </c>
      <c r="E11" s="52" t="n">
        <v>1</v>
      </c>
      <c r="F11" s="240">
        <f>C11*E11</f>
        <v>2.73</v>
      </c>
      <c r="G11" s="239" t="inlineStr">
        <is>
          <t>Last reported 14 Aug. Refresh if it has moved.</t>
        </is>
      </c>
    </row>
    <row r="12">
      <c r="A12" t="inlineStr">
        <is>
          <t>Tabby Cash wallet</t>
        </is>
      </c>
      <c r="B12" t="inlineStr">
        <is>
          <t>Tabby</t>
        </is>
      </c>
      <c r="C12" s="26">
        <f>'Inputs'!B12</f>
        <v>0.89</v>
      </c>
      <c r="D12" t="inlineStr">
        <is>
          <t>AED</t>
        </is>
      </c>
      <c r="E12" s="52" t="n">
        <v>1</v>
      </c>
      <c r="F12" s="240">
        <f>C12*E12</f>
        <v>0.89</v>
      </c>
      <c r="G12" s="239" t="inlineStr">
        <is>
          <t>The wallet, not the Card. Spending it never touches Card debt.</t>
        </is>
      </c>
    </row>
    <row r="13">
      <c r="A13" t="inlineStr">
        <is>
          <t>Cash on hand / Wio</t>
        </is>
      </c>
      <c r="B13" t="inlineStr">
        <is>
          <t>Cash</t>
        </is>
      </c>
      <c r="C13" s="26">
        <f>'Inputs'!B13</f>
        <v>0.0</v>
      </c>
      <c r="D13" t="inlineStr">
        <is>
          <t>AED</t>
        </is>
      </c>
      <c r="E13" s="52" t="n">
        <v>1</v>
      </c>
      <c r="F13" s="240">
        <f>C13*E13</f>
        <v>0.0</v>
      </c>
      <c r="G13" s="239" t="inlineStr">
        <is>
          <t>No other cash balance reported.</t>
        </is>
      </c>
    </row>
    <row r="14">
      <c r="A14" s="10" t="inlineStr">
        <is>
          <t>TOTAL LIQUID CASH</t>
        </is>
      </c>
      <c r="B14" s="10" t="inlineStr">
        <is>
          <t>Sum of confirmed balances</t>
        </is>
      </c>
      <c r="C14" s="4" t="n"/>
      <c r="D14" s="4" t="n"/>
      <c r="E14" s="4" t="n"/>
      <c r="F14" s="241">
        <f>SUM(F7:F13)</f>
        <v>6105.64</v>
      </c>
      <c r="G14" s="236" t="inlineStr">
        <is>
          <t>Ties to the confirmed liquidity total on Inputs. The Checks sheet proves it.</t>
        </is>
      </c>
    </row>
    <row r="16" ht="23" customHeight="1">
      <c r="A16" s="9" t="inlineStr">
        <is>
          <t>ASSETS — INVESTMENTS</t>
        </is>
      </c>
    </row>
    <row r="17" ht="23" customHeight="1">
      <c r="A17" s="236" t="inlineStr">
        <is>
          <t>Asset</t>
        </is>
      </c>
      <c r="B17" s="236" t="inlineStr">
        <is>
          <t>Held at</t>
        </is>
      </c>
      <c r="C17" s="236" t="inlineStr">
        <is>
          <t>Native amount</t>
        </is>
      </c>
      <c r="D17" s="236" t="inlineStr">
        <is>
          <t>Currency</t>
        </is>
      </c>
      <c r="E17" s="236" t="inlineStr">
        <is>
          <t>Rate to AED</t>
        </is>
      </c>
      <c r="F17" s="236" t="inlineStr">
        <is>
          <t>Value (AED)</t>
        </is>
      </c>
      <c r="G17" s="236" t="inlineStr">
        <is>
          <t>Note</t>
        </is>
      </c>
    </row>
    <row r="18">
      <c r="A18" t="inlineStr">
        <is>
          <t>Indian mutual funds — 6 schemes</t>
        </is>
      </c>
      <c r="B18" t="inlineStr">
        <is>
          <t>Nippon India / Motilal Oswal</t>
        </is>
      </c>
      <c r="C18" s="297">
        <f>'Investments'!E12</f>
        <v>245087.15</v>
      </c>
      <c r="D18" t="inlineStr">
        <is>
          <t>INR</t>
        </is>
      </c>
      <c r="E18" s="298">
        <f>'FX &amp; Assumptions'!B7</f>
        <v>0.0385333</v>
      </c>
      <c r="F18" s="240">
        <f>C18*E18</f>
        <v>9444.016677095</v>
      </c>
      <c r="G18" s="239" t="inlineStr">
        <is>
          <t>Snapshot value from MF Central, 10 Aug 2026. Five Nippon schemes plus one Motilal Oswal midcap fund.</t>
        </is>
      </c>
    </row>
    <row r="19">
      <c r="A19" t="inlineStr">
        <is>
          <t>ICICI settlement cash</t>
        </is>
      </c>
      <c r="B19" t="inlineStr">
        <is>
          <t>ICICI</t>
        </is>
      </c>
      <c r="C19" s="297">
        <f>'Inputs'!B40</f>
        <v>388.51</v>
      </c>
      <c r="D19" t="inlineStr">
        <is>
          <t>INR</t>
        </is>
      </c>
      <c r="E19" s="298">
        <f>'FX &amp; Assumptions'!B7</f>
        <v>0.0385333</v>
      </c>
      <c r="F19" s="240">
        <f>C19*E19</f>
        <v>14.970572383</v>
      </c>
      <c r="G19" s="239" t="inlineStr">
        <is>
          <t>Idle rupee cash left after the August SIPs. Earning nothing; sweep it into the next SIP.</t>
        </is>
      </c>
    </row>
    <row r="20">
      <c r="A20" t="inlineStr">
        <is>
          <t>Amana trading account</t>
        </is>
      </c>
      <c r="B20" t="inlineStr">
        <is>
          <t>Amana Capital</t>
        </is>
      </c>
      <c r="C20" s="299">
        <f>'Investments'!B22</f>
        <v>864.82</v>
      </c>
      <c r="D20" t="inlineStr">
        <is>
          <t>USD</t>
        </is>
      </c>
      <c r="E20" s="298">
        <f>'FX &amp; Assumptions'!B9</f>
        <v>3.6725</v>
      </c>
      <c r="F20" s="240">
        <f>C20*E20</f>
        <v>3176.05145</v>
      </c>
      <c r="G20" s="239" t="inlineStr">
        <is>
          <t>Ending account value on the statement through 10 Aug 2026, across 41 open positions.</t>
        </is>
      </c>
    </row>
    <row r="21">
      <c r="A21" s="10" t="inlineStr">
        <is>
          <t>TOTAL INVESTMENTS</t>
        </is>
      </c>
      <c r="B21" s="10" t="inlineStr">
        <is>
          <t>Sum of converted values</t>
        </is>
      </c>
      <c r="C21" s="4" t="n"/>
      <c r="D21" s="4" t="n"/>
      <c r="E21" s="4" t="n"/>
      <c r="F21" s="241">
        <f>SUM(F18:F20)</f>
        <v>12635.038699478</v>
      </c>
      <c r="G21" s="236" t="inlineStr">
        <is>
          <t>Everything that is capable of compounding. This is the number the Wealth Plan grows.</t>
        </is>
      </c>
    </row>
    <row r="23" ht="23" customHeight="1">
      <c r="A23" s="9" t="inlineStr">
        <is>
          <t>BALANCE SHEET</t>
        </is>
      </c>
    </row>
    <row r="24" ht="23" customHeight="1">
      <c r="A24" s="236" t="inlineStr">
        <is>
          <t>Item</t>
        </is>
      </c>
      <c r="B24" s="236" t="inlineStr">
        <is>
          <t>Basis</t>
        </is>
      </c>
      <c r="C24" s="236" t="inlineStr">
        <is>
          <t>Native amount</t>
        </is>
      </c>
      <c r="D24" s="236" t="inlineStr">
        <is>
          <t>Currency</t>
        </is>
      </c>
      <c r="E24" s="236" t="inlineStr">
        <is>
          <t>Rate to AED</t>
        </is>
      </c>
      <c r="F24" s="236" t="inlineStr">
        <is>
          <t>Value (AED)</t>
        </is>
      </c>
      <c r="G24" s="236" t="inlineStr">
        <is>
          <t>Note</t>
        </is>
      </c>
    </row>
    <row r="25">
      <c r="A25" s="10" t="inlineStr">
        <is>
          <t>TOTAL ASSETS</t>
        </is>
      </c>
      <c r="B25" s="10" t="inlineStr">
        <is>
          <t>Cash + investments</t>
        </is>
      </c>
      <c r="C25" s="4" t="n"/>
      <c r="D25" s="4" t="n"/>
      <c r="E25" s="4" t="n"/>
      <c r="F25" s="241">
        <f>F14+F21</f>
        <v>18740.678699478</v>
      </c>
      <c r="G25" s="236" t="inlineStr">
        <is>
          <t>Liquid cash plus investments.</t>
        </is>
      </c>
    </row>
    <row r="26">
      <c r="A26" t="inlineStr">
        <is>
          <t>Tabby outstanding exposure</t>
        </is>
      </c>
      <c r="B26" t="inlineStr">
        <is>
          <t>Tabby Card</t>
        </is>
      </c>
      <c r="C26" s="26">
        <f>'Inputs'!B38</f>
        <v>2687.36</v>
      </c>
      <c r="D26" t="inlineStr">
        <is>
          <t>AED</t>
        </is>
      </c>
      <c r="E26" s="52" t="n">
        <v>1</v>
      </c>
      <c r="F26" s="240">
        <f>C26*E26</f>
        <v>2687.36</v>
      </c>
      <c r="G26" s="239" t="inlineStr">
        <is>
          <t>AED 1,972.03 August statement plus AED 715.33 September statement. The card is frozen, so this balance can only fall from here.</t>
        </is>
      </c>
    </row>
    <row r="27">
      <c r="A27" s="10" t="inlineStr">
        <is>
          <t>TOTAL LIABILITIES</t>
        </is>
      </c>
      <c r="B27" s="10" t="inlineStr">
        <is>
          <t>Sum of debts</t>
        </is>
      </c>
      <c r="C27" s="4" t="n"/>
      <c r="D27" s="4" t="n"/>
      <c r="E27" s="4" t="n"/>
      <c r="F27" s="241">
        <f>F26</f>
        <v>2687.36</v>
      </c>
      <c r="G27" s="236" t="inlineStr">
        <is>
          <t>The only interest-bearing-style obligation in the file. Everything else is a bill, not a debt.</t>
        </is>
      </c>
    </row>
    <row r="28" ht="32" customHeight="1">
      <c r="A28" s="8" t="inlineStr">
        <is>
          <t>NET WORTH</t>
        </is>
      </c>
      <c r="B28" s="8" t="inlineStr">
        <is>
          <t>Assets less liabilities</t>
        </is>
      </c>
      <c r="C28" s="7" t="n"/>
      <c r="D28" s="7" t="n"/>
      <c r="E28" s="7" t="n"/>
      <c r="F28" s="300">
        <f>F25-F27</f>
        <v>16053.318699478</v>
      </c>
      <c r="G28" s="301" t="inlineStr">
        <is>
          <t>The single number to watch month over month. It should rise even in a month where the bank balance falls, because units bought are worth more than cash spent.</t>
        </is>
      </c>
    </row>
    <row r="30" ht="23" customHeight="1">
      <c r="A30" s="9" t="inlineStr">
        <is>
          <t>COMMITTED OBLIGATIONS BEFORE 22 OCTOBER</t>
        </is>
      </c>
    </row>
    <row r="31" ht="23" customHeight="1">
      <c r="A31" s="236" t="inlineStr">
        <is>
          <t>Item</t>
        </is>
      </c>
      <c r="B31" s="236" t="inlineStr">
        <is>
          <t>Basis</t>
        </is>
      </c>
      <c r="C31" s="236" t="inlineStr">
        <is>
          <t>Native amount</t>
        </is>
      </c>
      <c r="D31" s="236" t="inlineStr">
        <is>
          <t>Currency</t>
        </is>
      </c>
      <c r="E31" s="236" t="inlineStr">
        <is>
          <t>Rate to AED</t>
        </is>
      </c>
      <c r="F31" s="236" t="inlineStr">
        <is>
          <t>Value (AED)</t>
        </is>
      </c>
      <c r="G31" s="236" t="inlineStr">
        <is>
          <t>Note</t>
        </is>
      </c>
    </row>
    <row r="32">
      <c r="A32" t="inlineStr">
        <is>
          <t>October rent cheque</t>
        </is>
      </c>
      <c r="B32" t="inlineStr">
        <is>
          <t>Lease schedule</t>
        </is>
      </c>
      <c r="C32" s="26">
        <f>'Inputs'!B30</f>
        <v>11750.0</v>
      </c>
      <c r="D32" t="inlineStr">
        <is>
          <t>AED</t>
        </is>
      </c>
      <c r="E32" s="52" t="n">
        <v>1</v>
      </c>
      <c r="F32" s="240">
        <f>C32*E32</f>
        <v>11750.0</v>
      </c>
      <c r="G32" s="239" t="inlineStr">
        <is>
          <t>Clears 22 Oct. The 26 Oct salary is four days too late to fund it.</t>
        </is>
      </c>
    </row>
    <row r="33">
      <c r="A33" t="inlineStr">
        <is>
          <t>Rent already protected</t>
        </is>
      </c>
      <c r="B33" t="inlineStr">
        <is>
          <t>FAB 4002</t>
        </is>
      </c>
      <c r="C33" s="26">
        <f>'Inputs'!B31</f>
        <v>5990.45</v>
      </c>
      <c r="D33" t="inlineStr">
        <is>
          <t>AED</t>
        </is>
      </c>
      <c r="E33" s="52" t="n">
        <v>1</v>
      </c>
      <c r="F33" s="240">
        <f>C33*E33</f>
        <v>5990.45</v>
      </c>
      <c r="G33" s="239" t="inlineStr">
        <is>
          <t>Already banked and ring-fenced.</t>
        </is>
      </c>
    </row>
    <row r="34">
      <c r="A34" s="10" t="inlineStr">
        <is>
          <t>RENT STILL TO FUND</t>
        </is>
      </c>
      <c r="B34" s="10" t="inlineStr">
        <is>
          <t>Cheque less protected</t>
        </is>
      </c>
      <c r="C34" s="4" t="n"/>
      <c r="D34" s="4" t="n"/>
      <c r="E34" s="4" t="n"/>
      <c r="F34" s="241">
        <f>MAX(0,F32-F33)</f>
        <v>5759.55</v>
      </c>
      <c r="G34" s="236" t="inlineStr">
        <is>
          <t>What has to be found before 21 Oct. Not a liability on the balance sheet, but a claim on every dirham earned between now and then.</t>
        </is>
      </c>
    </row>
    <row r="35">
      <c r="A35" t="inlineStr">
        <is>
          <t>Extra cash required before 15 Sep</t>
        </is>
      </c>
      <c r="B35" t="inlineStr">
        <is>
          <t>Inputs funding build-up</t>
        </is>
      </c>
      <c r="C35" s="26">
        <f>'Inputs'!B53</f>
        <v>651.59</v>
      </c>
      <c r="D35" t="inlineStr">
        <is>
          <t>AED</t>
        </is>
      </c>
      <c r="E35" s="52" t="n">
        <v>1</v>
      </c>
      <c r="F35" s="240">
        <f>C35*E35</f>
        <v>651.59</v>
      </c>
      <c r="G35" s="239" t="inlineStr">
        <is>
          <t>Bills-and-survival gap plus the September SIP.</t>
        </is>
      </c>
    </row>
    <row r="36">
      <c r="A36" s="10" t="inlineStr">
        <is>
          <t>FREE NET WORTH AFTER COMMITMENTS</t>
        </is>
      </c>
      <c r="B36" s="10" t="inlineStr">
        <is>
          <t>Net worth less commitments</t>
        </is>
      </c>
      <c r="C36" s="4" t="n"/>
      <c r="D36" s="4" t="n"/>
      <c r="E36" s="4" t="n"/>
      <c r="F36" s="241">
        <f>F28-F34-F35</f>
        <v>9642.178699478</v>
      </c>
      <c r="G36" s="236" t="inlineStr">
        <is>
          <t>Net worth with the next two months' hard commitments already subtracted. This is the honest picture of how much room actually exists.</t>
        </is>
      </c>
    </row>
    <row r="38" ht="23" customHeight="1">
      <c r="A38" s="9" t="inlineStr">
        <is>
          <t>COMPOSITION AND SOLVENCY</t>
        </is>
      </c>
    </row>
    <row r="39" ht="23" customHeight="1">
      <c r="A39" s="236" t="inlineStr">
        <is>
          <t>Metric</t>
        </is>
      </c>
      <c r="B39" s="236" t="inlineStr">
        <is>
          <t>Value</t>
        </is>
      </c>
      <c r="C39" s="236" t="inlineStr">
        <is>
          <t>Benchmark</t>
        </is>
      </c>
      <c r="D39" s="236" t="inlineStr">
        <is>
          <t>Status</t>
        </is>
      </c>
      <c r="E39" s="236" t="inlineStr"/>
      <c r="F39" s="236" t="inlineStr"/>
      <c r="G39" s="236" t="inlineStr">
        <is>
          <t>Read</t>
        </is>
      </c>
    </row>
    <row r="40">
      <c r="A40" t="inlineStr">
        <is>
          <t>Cash as a share of assets</t>
        </is>
      </c>
      <c r="B40" s="50">
        <f>IF(F25=0,0,F14/F25)</f>
        <v>0.3257960983</v>
      </c>
      <c r="C40" s="296" t="n">
        <v>0.3</v>
      </c>
      <c r="D40" s="295" t="str">
        <f>IF(B40&lt;=C40,"OK","CASH HEAVY")</f>
        <v>CASH HEAVY</v>
      </c>
      <c r="G40" s="239" t="inlineStr">
        <is>
          <t>Most of the cash here is spoken for by rent, so the real free-cash share is far lower than this figure suggests.</t>
        </is>
      </c>
    </row>
    <row r="41">
      <c r="A41" t="inlineStr">
        <is>
          <t>Investments as a share of assets</t>
        </is>
      </c>
      <c r="B41" s="50">
        <f>IF(F25=0,0,F21/F25)</f>
        <v>0.6742039017</v>
      </c>
      <c r="C41" s="296" t="n">
        <v>0.6</v>
      </c>
      <c r="D41" s="295" t="str">
        <f>IF(B41&gt;=C41,"OK","LOW")</f>
        <v>OK</v>
      </c>
      <c r="G41" s="239" t="inlineStr">
        <is>
          <t>The share of the balance sheet that compounds.</t>
        </is>
      </c>
    </row>
    <row r="42">
      <c r="A42" t="inlineStr">
        <is>
          <t>Debt to assets</t>
        </is>
      </c>
      <c r="B42" s="50">
        <f>IF(F25=0,0,F27/F25)</f>
        <v>0.1433971546</v>
      </c>
      <c r="C42" s="296" t="n">
        <v>0.2</v>
      </c>
      <c r="D42" s="295" t="str">
        <f>IF(B42&lt;=C42,"OK","HIGH")</f>
        <v>OK</v>
      </c>
      <c r="G42" s="239" t="inlineStr">
        <is>
          <t>Tabby against total assets. Manageable in size, but it is the most expensive money in the file if a fee is ever triggered.</t>
        </is>
      </c>
    </row>
    <row r="43">
      <c r="A43" t="inlineStr">
        <is>
          <t>Free cash outside rent and emergency</t>
        </is>
      </c>
      <c r="B43" s="240">
        <f>'Inputs'!B43</f>
        <v>107.52</v>
      </c>
      <c r="C43" s="237" t="n">
        <v>1000</v>
      </c>
      <c r="D43" s="295" t="str">
        <f>IF(B43&gt;=C43,"OK","THIN")</f>
        <v>THIN</v>
      </c>
      <c r="G43" s="239" t="inlineStr">
        <is>
          <t>The genuinely spendable balance today. Everything else is protected.</t>
        </is>
      </c>
    </row>
    <row r="44">
      <c r="A44" t="inlineStr">
        <is>
          <t>Emergency fund held</t>
        </is>
      </c>
      <c r="B44" s="240">
        <f>'Inputs'!B32</f>
        <v>7.67</v>
      </c>
      <c r="C44" s="240">
        <f>B45</f>
        <v>38669.26</v>
      </c>
      <c r="D44" s="295" t="str">
        <f>IF(B44&gt;=B45,"FUNDED","UNFUNDED")</f>
        <v>UNFUNDED</v>
      </c>
      <c r="G44" s="239" t="inlineStr">
        <is>
          <t>Against the six-month target below. This is the largest single gap on the balance sheet.</t>
        </is>
      </c>
    </row>
    <row r="45">
      <c r="A45" t="inlineStr">
        <is>
          <t>Emergency fund target</t>
        </is>
      </c>
      <c r="B45" s="240">
        <f>Budget!B17*'FX &amp; Assumptions'!B33</f>
        <v>38669.26</v>
      </c>
      <c r="G45" s="239" t="inlineStr">
        <is>
          <t>Six months of essential spending, taken from the Budget essentials subtotal.</t>
        </is>
      </c>
    </row>
    <row r="46">
      <c r="A46" t="inlineStr">
        <is>
          <t>Emergency cover held</t>
        </is>
      </c>
      <c r="B46" s="56">
        <f>IF(Budget!B17=0,0,'Inputs'!B32/Budget!B17)</f>
        <v>0.0011900926</v>
      </c>
      <c r="C46" s="302" t="n">
        <v>6</v>
      </c>
      <c r="D46" s="295" t="str">
        <f>IF(B46&gt;=C46,"OK","CRITICAL")</f>
        <v>CRITICAL</v>
      </c>
      <c r="G46" s="239" t="inlineStr">
        <is>
          <t>Months of essential spending the emergency fund would actually cover. Units are months.</t>
        </is>
      </c>
    </row>
    <row r="47">
      <c r="A47" t="inlineStr">
        <is>
          <t>Liquidity ratio (free cash to monthly essentials)</t>
        </is>
      </c>
      <c r="B47" s="56">
        <f>IF(Budget!B17=0,0,'Inputs'!B43/Budget!B17)</f>
        <v>0.016683019</v>
      </c>
      <c r="C47" s="302" t="n">
        <v>1</v>
      </c>
      <c r="D47" s="295" t="str">
        <f>IF(B47&gt;=C47,"OK","CRITICAL")</f>
        <v>CRITICAL</v>
      </c>
      <c r="G47" s="239" t="inlineStr">
        <is>
          <t>How much of one month of essentials today's free cash would cover. Units are months.</t>
        </is>
      </c>
    </row>
    <row r="49" ht="46" customHeight="1">
      <c r="A49" s="292" t="inlineStr">
        <is>
          <t>Net worth is the scoreboard; the Budget is the game. A month where spending was disciplined and the SIP was funded shows up here as a higher number even if the current account looks empty. Update the confirmed balances on Inputs, and this sheet updates itself.</t>
        </is>
      </c>
    </row>
  </sheetData>
  <mergeCells count="8">
    <mergeCell ref="A1:G2"/>
    <mergeCell ref="A3:G3"/>
    <mergeCell ref="A38:G38"/>
    <mergeCell ref="A30:G30"/>
    <mergeCell ref="A16:G16"/>
    <mergeCell ref="A49:G49"/>
    <mergeCell ref="A5:G5"/>
    <mergeCell ref="A23:G23"/>
  </mergeCells>
  <pageMargins left="0.75" right="0.75" top="1" bottom="1" header="0.5" footer="0.5"/>
</worksheet>
</file>

<file path=xl/worksheets/sheet14.xml><?xml version="1.0" encoding="utf-8"?>
<worksheet xmlns="http://schemas.openxmlformats.org/spreadsheetml/2006/main">
  <sheetPr>
    <tabColor rgb="FF6941C6"/>
    <outlinePr summaryBelow="1" summaryRight="1"/>
    <pageSetUpPr/>
  </sheetPr>
  <dimension ref="A1:I59"/>
  <sheetViews>
    <sheetView showGridLines="0" workbookViewId="0">
      <selection activeCell="A1" sqref="A1"/>
    </sheetView>
  </sheetViews>
  <sheetFormatPr baseColWidth="8" defaultRowHeight="15"/>
  <cols>
    <col width="32" customWidth="1" min="1" max="1"/>
    <col width="16" customWidth="1" min="2" max="2"/>
    <col width="18" customWidth="1" min="3" max="3"/>
    <col width="18" customWidth="1" min="4" max="4"/>
    <col width="18" customWidth="1" min="5" max="5"/>
    <col width="19" customWidth="1" min="6" max="6"/>
    <col width="20" customWidth="1" min="7" max="7"/>
    <col width="20" customWidth="1" min="8" max="8"/>
    <col width="34" customWidth="1" min="9" max="9"/>
  </cols>
  <sheetData>
    <row r="1" ht="29" customHeight="1">
      <c r="A1" s="3" t="inlineStr">
        <is>
          <t>Wealth Plan — Turning a Salary into Capital</t>
        </is>
      </c>
    </row>
    <row r="2" ht="29" customHeight="1"/>
    <row r="3" ht="30" customHeight="1">
      <c r="A3" s="286" t="inlineStr">
        <is>
          <t>A projection, not a promise. Contributions are added at each year end and grown at the blended planning return from the FX &amp; Assumptions sheet. Change one lever there and the whole table moves. Today's-money column strips out inflation so the numbers mean something.</t>
        </is>
      </c>
    </row>
    <row r="5" ht="23" customHeight="1">
      <c r="A5" s="9" t="inlineStr">
        <is>
          <t>STARTING POSITION AND ENGINE</t>
        </is>
      </c>
    </row>
    <row r="6" ht="23" customHeight="1">
      <c r="A6" s="236" t="inlineStr">
        <is>
          <t>Input</t>
        </is>
      </c>
      <c r="B6" s="236" t="inlineStr">
        <is>
          <t>Value</t>
        </is>
      </c>
      <c r="C6" s="236" t="inlineStr">
        <is>
          <t>Source</t>
        </is>
      </c>
      <c r="D6" s="236" t="inlineStr"/>
      <c r="E6" s="236" t="inlineStr"/>
      <c r="F6" s="236" t="inlineStr"/>
      <c r="G6" s="236" t="inlineStr"/>
      <c r="H6" s="236" t="inlineStr"/>
      <c r="I6" s="236" t="inlineStr">
        <is>
          <t>Note</t>
        </is>
      </c>
    </row>
    <row r="7">
      <c r="A7" t="inlineStr">
        <is>
          <t>Investable assets today</t>
        </is>
      </c>
      <c r="B7" s="240">
        <f>'Net Worth'!F21</f>
        <v>12635.038699478</v>
      </c>
      <c r="C7" t="inlineStr">
        <is>
          <t>Net Worth sheet</t>
        </is>
      </c>
      <c r="I7" s="239" t="inlineStr">
        <is>
          <t>Mutual funds, broker cash and the Amana account. Bank balances are excluded: they are working capital, not capital.</t>
        </is>
      </c>
    </row>
    <row r="8">
      <c r="A8" t="inlineStr">
        <is>
          <t>Monthly SIP today</t>
        </is>
      </c>
      <c r="B8" s="240">
        <f>Budget!B32</f>
        <v>462.4</v>
      </c>
      <c r="C8" t="inlineStr">
        <is>
          <t>Budget sheet</t>
        </is>
      </c>
      <c r="I8" s="239" t="inlineStr">
        <is>
          <t>The recurring investment that already exists.</t>
        </is>
      </c>
    </row>
    <row r="9">
      <c r="A9" t="inlineStr">
        <is>
          <t>Extra monthly investment</t>
        </is>
      </c>
      <c r="B9" s="303" t="n">
        <v>0</v>
      </c>
      <c r="C9" t="inlineStr">
        <is>
          <t>LEVER — set this yourself</t>
        </is>
      </c>
      <c r="I9" s="239" t="inlineStr">
        <is>
          <t>Anything you redirect on top of the SIP once the plan balances. Set it to 300 and watch the horizon value below; that is what one restaurant week a month is worth over twenty years.</t>
        </is>
      </c>
    </row>
    <row r="10">
      <c r="A10" t="inlineStr">
        <is>
          <t>Total monthly contribution</t>
        </is>
      </c>
      <c r="B10" s="240">
        <f>B8+B9</f>
        <v>462.4</v>
      </c>
      <c r="C10" t="inlineStr">
        <is>
          <t>Formula</t>
        </is>
      </c>
      <c r="I10" s="239" t="inlineStr">
        <is>
          <t>What actually goes in every month.</t>
        </is>
      </c>
    </row>
    <row r="11">
      <c r="A11" t="inlineStr">
        <is>
          <t>Year-one contribution</t>
        </is>
      </c>
      <c r="B11" s="240">
        <f>B10*12</f>
        <v>5548.8</v>
      </c>
      <c r="C11" t="inlineStr">
        <is>
          <t>Formula</t>
        </is>
      </c>
      <c r="I11" s="239" t="inlineStr">
        <is>
          <t>First full plan year.</t>
        </is>
      </c>
    </row>
    <row r="12">
      <c r="A12" t="inlineStr">
        <is>
          <t>Annual step-up</t>
        </is>
      </c>
      <c r="B12" s="50">
        <f>'FX &amp; Assumptions'!B32</f>
        <v>0.1</v>
      </c>
      <c r="C12" t="inlineStr">
        <is>
          <t>FX &amp; Assumptions</t>
        </is>
      </c>
      <c r="I12" s="239" t="inlineStr">
        <is>
          <t>Raising the contribution each year is what separates a savings account from a wealth plan.</t>
        </is>
      </c>
    </row>
    <row r="13">
      <c r="A13" t="inlineStr">
        <is>
          <t>Blended planning return</t>
        </is>
      </c>
      <c r="B13" s="50">
        <f>'FX &amp; Assumptions'!B20</f>
        <v>0.1016118077</v>
      </c>
      <c r="C13" t="inlineStr">
        <is>
          <t>FX &amp; Assumptions</t>
        </is>
      </c>
      <c r="I13" s="239" t="inlineStr">
        <is>
          <t>Weighted by the current investment mix, plus the scenario adjustment.</t>
        </is>
      </c>
    </row>
    <row r="14">
      <c r="A14" t="inlineStr">
        <is>
          <t>Inflation</t>
        </is>
      </c>
      <c r="B14" s="50">
        <f>'FX &amp; Assumptions'!B18</f>
        <v>0.025</v>
      </c>
      <c r="C14" t="inlineStr">
        <is>
          <t>FX &amp; Assumptions</t>
        </is>
      </c>
      <c r="I14" s="239" t="inlineStr">
        <is>
          <t>Used for the today's-money column.</t>
        </is>
      </c>
    </row>
    <row r="15">
      <c r="A15" t="inlineStr">
        <is>
          <t>Horizon</t>
        </is>
      </c>
      <c r="B15" s="54">
        <f>'FX &amp; Assumptions'!B42</f>
        <v>20.0</v>
      </c>
      <c r="C15" t="inlineStr">
        <is>
          <t>FX &amp; Assumptions</t>
        </is>
      </c>
      <c r="I15" s="239" t="inlineStr">
        <is>
          <t>Years projected below.</t>
        </is>
      </c>
    </row>
    <row r="17" ht="23" customHeight="1">
      <c r="A17" s="9" t="inlineStr">
        <is>
          <t>YEAR-BY-YEAR PROJECTION</t>
        </is>
      </c>
    </row>
    <row r="18" ht="23" customHeight="1">
      <c r="A18" s="236" t="inlineStr">
        <is>
          <t>Plan year</t>
        </is>
      </c>
      <c r="B18" s="236" t="inlineStr">
        <is>
          <t>Calendar year</t>
        </is>
      </c>
      <c r="C18" s="236" t="inlineStr">
        <is>
          <t>Opening capital</t>
        </is>
      </c>
      <c r="D18" s="236" t="inlineStr">
        <is>
          <t>Contributions</t>
        </is>
      </c>
      <c r="E18" s="236" t="inlineStr">
        <is>
          <t>Investment growth</t>
        </is>
      </c>
      <c r="F18" s="236" t="inlineStr">
        <is>
          <t>Closing capital</t>
        </is>
      </c>
      <c r="G18" s="236" t="inlineStr">
        <is>
          <t>Closing in today's money</t>
        </is>
      </c>
      <c r="H18" s="236" t="inlineStr">
        <is>
          <t>Cumulative contributions</t>
        </is>
      </c>
      <c r="I18" s="236" t="inlineStr">
        <is>
          <t>Milestone</t>
        </is>
      </c>
    </row>
    <row r="19">
      <c r="A19" s="54" t="n">
        <v>1</v>
      </c>
      <c r="B19" s="54">
        <f>YEAR('FX &amp; Assumptions'!$B$41)+A19-1</f>
        <v>2026.0</v>
      </c>
      <c r="C19" s="240">
        <f>$B$7</f>
        <v>12635.038699478</v>
      </c>
      <c r="D19" s="240">
        <f>$B$11</f>
        <v>5548.8</v>
      </c>
      <c r="E19" s="240">
        <f>C19*$B$13</f>
        <v>1283.8691221818</v>
      </c>
      <c r="F19" s="240">
        <f>C19+D19+E19</f>
        <v>19467.7078216597</v>
      </c>
      <c r="G19" s="240">
        <f>F19/(1+$B$14)^A19</f>
        <v>18992.885679668</v>
      </c>
      <c r="H19" s="240">
        <f>D19</f>
        <v>5548.8</v>
      </c>
      <c r="I19" t="str">
        <f>IF(AND(F19&gt;=1000000,C19&lt;1000000),"AED 1,000,000 crossed",IF(AND(F19&gt;=500000,C19&lt;500000),"AED 500,000 crossed",IF(AND(F19&gt;=250000,C19&lt;250000),"AED 250,000 crossed",IF(AND(F19&gt;=100000,C19&lt;100000),"AED 100,000 crossed",IF(AND(F19&gt;=50000,C19&lt;50000),"AED 50,000 crossed","")))))</f>
        <v/>
      </c>
    </row>
    <row r="20">
      <c r="A20" s="54" t="n">
        <v>2</v>
      </c>
      <c r="B20" s="54">
        <f>YEAR('FX &amp; Assumptions'!$B$41)+A20-1</f>
        <v>2027.0</v>
      </c>
      <c r="C20" s="240">
        <f>F19</f>
        <v>19467.7078216597</v>
      </c>
      <c r="D20" s="240">
        <f>D19*(1+$B$12)</f>
        <v>6103.68</v>
      </c>
      <c r="E20" s="240">
        <f>C20*$B$13</f>
        <v>1978.1489828692</v>
      </c>
      <c r="F20" s="240">
        <f>C20+D20+E20</f>
        <v>27549.5368045289</v>
      </c>
      <c r="G20" s="240">
        <f>F20/(1+$B$14)^A20</f>
        <v>26222.0457389924</v>
      </c>
      <c r="H20" s="240">
        <f>H19+D20</f>
        <v>11652.48</v>
      </c>
      <c r="I20" t="str">
        <f>IF(AND(F20&gt;=1000000,C20&lt;1000000),"AED 1,000,000 crossed",IF(AND(F20&gt;=500000,C20&lt;500000),"AED 500,000 crossed",IF(AND(F20&gt;=250000,C20&lt;250000),"AED 250,000 crossed",IF(AND(F20&gt;=100000,C20&lt;100000),"AED 100,000 crossed",IF(AND(F20&gt;=50000,C20&lt;50000),"AED 50,000 crossed","")))))</f>
        <v/>
      </c>
    </row>
    <row r="21">
      <c r="A21" s="54" t="n">
        <v>3</v>
      </c>
      <c r="B21" s="54">
        <f>YEAR('FX &amp; Assumptions'!$B$41)+A21-1</f>
        <v>2028.0</v>
      </c>
      <c r="C21" s="240">
        <f>F20</f>
        <v>27549.5368045289</v>
      </c>
      <c r="D21" s="240">
        <f>D20*(1+$B$12)</f>
        <v>6714.048</v>
      </c>
      <c r="E21" s="240">
        <f>C21*$B$13</f>
        <v>2799.3582350647</v>
      </c>
      <c r="F21" s="240">
        <f>C21+D21+E21</f>
        <v>37062.9430395936</v>
      </c>
      <c r="G21" s="240">
        <f>F21/(1+$B$14)^A21</f>
        <v>34416.6270735188</v>
      </c>
      <c r="H21" s="240">
        <f>H20+D21</f>
        <v>18366.528</v>
      </c>
      <c r="I21" t="str">
        <f>IF(AND(F21&gt;=1000000,C21&lt;1000000),"AED 1,000,000 crossed",IF(AND(F21&gt;=500000,C21&lt;500000),"AED 500,000 crossed",IF(AND(F21&gt;=250000,C21&lt;250000),"AED 250,000 crossed",IF(AND(F21&gt;=100000,C21&lt;100000),"AED 100,000 crossed",IF(AND(F21&gt;=50000,C21&lt;50000),"AED 50,000 crossed","")))))</f>
        <v/>
      </c>
    </row>
    <row r="22">
      <c r="A22" s="54" t="n">
        <v>4</v>
      </c>
      <c r="B22" s="54">
        <f>YEAR('FX &amp; Assumptions'!$B$41)+A22-1</f>
        <v>2029.0</v>
      </c>
      <c r="C22" s="240">
        <f>F21</f>
        <v>37062.9430395936</v>
      </c>
      <c r="D22" s="240">
        <f>D21*(1+$B$12)</f>
        <v>7385.4528</v>
      </c>
      <c r="E22" s="240">
        <f>C22*$B$13</f>
        <v>3766.032639669</v>
      </c>
      <c r="F22" s="240">
        <f>C22+D22+E22</f>
        <v>48214.4284792626</v>
      </c>
      <c r="G22" s="240">
        <f>F22/(1+$B$14)^A22</f>
        <v>43679.8925694396</v>
      </c>
      <c r="H22" s="240">
        <f>H21+D22</f>
        <v>25751.9808</v>
      </c>
      <c r="I22" t="str">
        <f>IF(AND(F22&gt;=1000000,C22&lt;1000000),"AED 1,000,000 crossed",IF(AND(F22&gt;=500000,C22&lt;500000),"AED 500,000 crossed",IF(AND(F22&gt;=250000,C22&lt;250000),"AED 250,000 crossed",IF(AND(F22&gt;=100000,C22&lt;100000),"AED 100,000 crossed",IF(AND(F22&gt;=50000,C22&lt;50000),"AED 50,000 crossed","")))))</f>
        <v/>
      </c>
    </row>
    <row r="23">
      <c r="A23" s="54" t="n">
        <v>5</v>
      </c>
      <c r="B23" s="54">
        <f>YEAR('FX &amp; Assumptions'!$B$41)+A23-1</f>
        <v>2030.0</v>
      </c>
      <c r="C23" s="240">
        <f>F22</f>
        <v>48214.4284792626</v>
      </c>
      <c r="D23" s="240">
        <f>D22*(1+$B$12)</f>
        <v>8123.99808</v>
      </c>
      <c r="E23" s="240">
        <f>C23*$B$13</f>
        <v>4899.155233353</v>
      </c>
      <c r="F23" s="240">
        <f>C23+D23+E23</f>
        <v>61237.5817926156</v>
      </c>
      <c r="G23" s="240">
        <f>F23/(1+$B$14)^A23</f>
        <v>54125.0992302418</v>
      </c>
      <c r="H23" s="240">
        <f>H22+D23</f>
        <v>33875.97888</v>
      </c>
      <c r="I23" t="str">
        <f>IF(AND(F23&gt;=1000000,C23&lt;1000000),"AED 1,000,000 crossed",IF(AND(F23&gt;=500000,C23&lt;500000),"AED 500,000 crossed",IF(AND(F23&gt;=250000,C23&lt;250000),"AED 250,000 crossed",IF(AND(F23&gt;=100000,C23&lt;100000),"AED 100,000 crossed",IF(AND(F23&gt;=50000,C23&lt;50000),"AED 50,000 crossed","")))))</f>
        <v>AED 50,000 crossed</v>
      </c>
    </row>
    <row r="24">
      <c r="A24" s="54" t="n">
        <v>6</v>
      </c>
      <c r="B24" s="54">
        <f>YEAR('FX &amp; Assumptions'!$B$41)+A24-1</f>
        <v>2031.0</v>
      </c>
      <c r="C24" s="240">
        <f>F23</f>
        <v>61237.5817926156</v>
      </c>
      <c r="D24" s="240">
        <f>D23*(1+$B$12)</f>
        <v>8936.397888</v>
      </c>
      <c r="E24" s="240">
        <f>C24*$B$13</f>
        <v>6222.4613830321</v>
      </c>
      <c r="F24" s="240">
        <f>C24+D24+E24</f>
        <v>76396.4410636478</v>
      </c>
      <c r="G24" s="240">
        <f>F24/(1+$B$14)^A24</f>
        <v>65876.4116997199</v>
      </c>
      <c r="H24" s="240">
        <f>H23+D24</f>
        <v>42812.376768</v>
      </c>
      <c r="I24" t="str">
        <f>IF(AND(F24&gt;=1000000,C24&lt;1000000),"AED 1,000,000 crossed",IF(AND(F24&gt;=500000,C24&lt;500000),"AED 500,000 crossed",IF(AND(F24&gt;=250000,C24&lt;250000),"AED 250,000 crossed",IF(AND(F24&gt;=100000,C24&lt;100000),"AED 100,000 crossed",IF(AND(F24&gt;=50000,C24&lt;50000),"AED 50,000 crossed","")))))</f>
        <v/>
      </c>
    </row>
    <row r="25">
      <c r="A25" s="54" t="n">
        <v>7</v>
      </c>
      <c r="B25" s="54">
        <f>YEAR('FX &amp; Assumptions'!$B$41)+A25-1</f>
        <v>2032.0</v>
      </c>
      <c r="C25" s="240">
        <f>F24</f>
        <v>76396.4410636478</v>
      </c>
      <c r="D25" s="240">
        <f>D24*(1+$B$12)</f>
        <v>9830.0376768</v>
      </c>
      <c r="E25" s="240">
        <f>C25*$B$13</f>
        <v>7762.7804757137</v>
      </c>
      <c r="F25" s="240">
        <f>C25+D25+E25</f>
        <v>93989.2592161615</v>
      </c>
      <c r="G25" s="240">
        <f>F25/(1+$B$14)^A25</f>
        <v>79069.8962498005</v>
      </c>
      <c r="H25" s="240">
        <f>H24+D25</f>
        <v>52642.4144448</v>
      </c>
      <c r="I25" t="str">
        <f>IF(AND(F25&gt;=1000000,C25&lt;1000000),"AED 1,000,000 crossed",IF(AND(F25&gt;=500000,C25&lt;500000),"AED 500,000 crossed",IF(AND(F25&gt;=250000,C25&lt;250000),"AED 250,000 crossed",IF(AND(F25&gt;=100000,C25&lt;100000),"AED 100,000 crossed",IF(AND(F25&gt;=50000,C25&lt;50000),"AED 50,000 crossed","")))))</f>
        <v/>
      </c>
    </row>
    <row r="26">
      <c r="A26" s="54" t="n">
        <v>8</v>
      </c>
      <c r="B26" s="54">
        <f>YEAR('FX &amp; Assumptions'!$B$41)+A26-1</f>
        <v>2033.0</v>
      </c>
      <c r="C26" s="240">
        <f>F25</f>
        <v>93989.2592161615</v>
      </c>
      <c r="D26" s="240">
        <f>D25*(1+$B$12)</f>
        <v>10813.04144448</v>
      </c>
      <c r="E26" s="240">
        <f>C26*$B$13</f>
        <v>9550.418530127</v>
      </c>
      <c r="F26" s="240">
        <f>C26+D26+E26</f>
        <v>114352.7191907685</v>
      </c>
      <c r="G26" s="240">
        <f>F26/(1+$B$14)^A26</f>
        <v>93854.6021389757</v>
      </c>
      <c r="H26" s="240">
        <f>H25+D26</f>
        <v>63455.45588928</v>
      </c>
      <c r="I26" t="str">
        <f>IF(AND(F26&gt;=1000000,C26&lt;1000000),"AED 1,000,000 crossed",IF(AND(F26&gt;=500000,C26&lt;500000),"AED 500,000 crossed",IF(AND(F26&gt;=250000,C26&lt;250000),"AED 250,000 crossed",IF(AND(F26&gt;=100000,C26&lt;100000),"AED 100,000 crossed",IF(AND(F26&gt;=50000,C26&lt;50000),"AED 50,000 crossed","")))))</f>
        <v>AED 100,000 crossed</v>
      </c>
    </row>
    <row r="27">
      <c r="A27" s="54" t="n">
        <v>9</v>
      </c>
      <c r="B27" s="54">
        <f>YEAR('FX &amp; Assumptions'!$B$41)+A27-1</f>
        <v>2034.0</v>
      </c>
      <c r="C27" s="240">
        <f>F26</f>
        <v>114352.7191907685</v>
      </c>
      <c r="D27" s="240">
        <f>D26*(1+$B$12)</f>
        <v>11894.345588928</v>
      </c>
      <c r="E27" s="240">
        <f>C27*$B$13</f>
        <v>11619.5865084777</v>
      </c>
      <c r="F27" s="240">
        <f>C27+D27+E27</f>
        <v>137866.6512881742</v>
      </c>
      <c r="G27" s="240">
        <f>F27/(1+$B$14)^A27</f>
        <v>110393.7378285398</v>
      </c>
      <c r="H27" s="240">
        <f>H26+D27</f>
        <v>75349.801478208</v>
      </c>
      <c r="I27" t="str">
        <f>IF(AND(F27&gt;=1000000,C27&lt;1000000),"AED 1,000,000 crossed",IF(AND(F27&gt;=500000,C27&lt;500000),"AED 500,000 crossed",IF(AND(F27&gt;=250000,C27&lt;250000),"AED 250,000 crossed",IF(AND(F27&gt;=100000,C27&lt;100000),"AED 100,000 crossed",IF(AND(F27&gt;=50000,C27&lt;50000),"AED 50,000 crossed","")))))</f>
        <v/>
      </c>
    </row>
    <row r="28">
      <c r="A28" s="54" t="n">
        <v>10</v>
      </c>
      <c r="B28" s="54">
        <f>YEAR('FX &amp; Assumptions'!$B$41)+A28-1</f>
        <v>2035.0</v>
      </c>
      <c r="C28" s="240">
        <f>F27</f>
        <v>137866.6512881742</v>
      </c>
      <c r="D28" s="240">
        <f>D27*(1+$B$12)</f>
        <v>13083.7801478208</v>
      </c>
      <c r="E28" s="240">
        <f>C28*$B$13</f>
        <v>14008.8796542268</v>
      </c>
      <c r="F28" s="240">
        <f>C28+D28+E28</f>
        <v>164959.3110902217</v>
      </c>
      <c r="G28" s="240">
        <f>F28/(1+$B$14)^A28</f>
        <v>128865.9501734583</v>
      </c>
      <c r="H28" s="240">
        <f>H27+D28</f>
        <v>88433.5816260288</v>
      </c>
      <c r="I28" t="str">
        <f>IF(AND(F28&gt;=1000000,C28&lt;1000000),"AED 1,000,000 crossed",IF(AND(F28&gt;=500000,C28&lt;500000),"AED 500,000 crossed",IF(AND(F28&gt;=250000,C28&lt;250000),"AED 250,000 crossed",IF(AND(F28&gt;=100000,C28&lt;100000),"AED 100,000 crossed",IF(AND(F28&gt;=50000,C28&lt;50000),"AED 50,000 crossed","")))))</f>
        <v/>
      </c>
    </row>
    <row r="29">
      <c r="A29" s="54" t="n">
        <v>11</v>
      </c>
      <c r="B29" s="54">
        <f>YEAR('FX &amp; Assumptions'!$B$41)+A29-1</f>
        <v>2036.0</v>
      </c>
      <c r="C29" s="240">
        <f>F28</f>
        <v>164959.3110902217</v>
      </c>
      <c r="D29" s="240">
        <f>D28*(1+$B$12)</f>
        <v>14392.1581626029</v>
      </c>
      <c r="E29" s="240">
        <f>C29*$B$13</f>
        <v>16761.8137911884</v>
      </c>
      <c r="F29" s="240">
        <f>C29+D29+E29</f>
        <v>196113.283044013</v>
      </c>
      <c r="G29" s="240">
        <f>F29/(1+$B$14)^A29</f>
        <v>149466.7153865055</v>
      </c>
      <c r="H29" s="240">
        <f>H28+D29</f>
        <v>102825.7397886317</v>
      </c>
      <c r="I29" t="str">
        <f>IF(AND(F29&gt;=1000000,C29&lt;1000000),"AED 1,000,000 crossed",IF(AND(F29&gt;=500000,C29&lt;500000),"AED 500,000 crossed",IF(AND(F29&gt;=250000,C29&lt;250000),"AED 250,000 crossed",IF(AND(F29&gt;=100000,C29&lt;100000),"AED 100,000 crossed",IF(AND(F29&gt;=50000,C29&lt;50000),"AED 50,000 crossed","")))))</f>
        <v/>
      </c>
    </row>
    <row r="30">
      <c r="A30" s="54" t="n">
        <v>12</v>
      </c>
      <c r="B30" s="54">
        <f>YEAR('FX &amp; Assumptions'!$B$41)+A30-1</f>
        <v>2037.0</v>
      </c>
      <c r="C30" s="240">
        <f>F29</f>
        <v>196113.283044013</v>
      </c>
      <c r="D30" s="240">
        <f>D29*(1+$B$12)</f>
        <v>15831.3739788632</v>
      </c>
      <c r="E30" s="240">
        <f>C30*$B$13</f>
        <v>19927.4251973839</v>
      </c>
      <c r="F30" s="240">
        <f>C30+D30+E30</f>
        <v>231872.0822202601</v>
      </c>
      <c r="G30" s="240">
        <f>F30/(1+$B$14)^A30</f>
        <v>172409.851312584</v>
      </c>
      <c r="H30" s="240">
        <f>H29+D30</f>
        <v>118657.1137674949</v>
      </c>
      <c r="I30" t="str">
        <f>IF(AND(F30&gt;=1000000,C30&lt;1000000),"AED 1,000,000 crossed",IF(AND(F30&gt;=500000,C30&lt;500000),"AED 500,000 crossed",IF(AND(F30&gt;=250000,C30&lt;250000),"AED 250,000 crossed",IF(AND(F30&gt;=100000,C30&lt;100000),"AED 100,000 crossed",IF(AND(F30&gt;=50000,C30&lt;50000),"AED 50,000 crossed","")))))</f>
        <v/>
      </c>
    </row>
    <row r="31">
      <c r="A31" s="54" t="n">
        <v>13</v>
      </c>
      <c r="B31" s="54">
        <f>YEAR('FX &amp; Assumptions'!$B$41)+A31-1</f>
        <v>2038.0</v>
      </c>
      <c r="C31" s="240">
        <f>F30</f>
        <v>231872.0822202601</v>
      </c>
      <c r="D31" s="240">
        <f>D30*(1+$B$12)</f>
        <v>17414.5113767495</v>
      </c>
      <c r="E31" s="240">
        <f>C31*$B$13</f>
        <v>23560.9414216419</v>
      </c>
      <c r="F31" s="240">
        <f>C31+D31+E31</f>
        <v>272847.5350186515</v>
      </c>
      <c r="G31" s="240">
        <f>F31/(1+$B$14)^A31</f>
        <v>197929.1613494871</v>
      </c>
      <c r="H31" s="240">
        <f>H30+D31</f>
        <v>136071.6251442444</v>
      </c>
      <c r="I31" t="str">
        <f>IF(AND(F31&gt;=1000000,C31&lt;1000000),"AED 1,000,000 crossed",IF(AND(F31&gt;=500000,C31&lt;500000),"AED 500,000 crossed",IF(AND(F31&gt;=250000,C31&lt;250000),"AED 250,000 crossed",IF(AND(F31&gt;=100000,C31&lt;100000),"AED 100,000 crossed",IF(AND(F31&gt;=50000,C31&lt;50000),"AED 50,000 crossed","")))))</f>
        <v>AED 250,000 crossed</v>
      </c>
    </row>
    <row r="32">
      <c r="A32" s="54" t="n">
        <v>14</v>
      </c>
      <c r="B32" s="54">
        <f>YEAR('FX &amp; Assumptions'!$B$41)+A32-1</f>
        <v>2039.0</v>
      </c>
      <c r="C32" s="240">
        <f>F31</f>
        <v>272847.5350186515</v>
      </c>
      <c r="D32" s="240">
        <f>D31*(1+$B$12)</f>
        <v>19155.9625144244</v>
      </c>
      <c r="E32" s="240">
        <f>C32*$B$13</f>
        <v>27724.5312504126</v>
      </c>
      <c r="F32" s="240">
        <f>C32+D32+E32</f>
        <v>319728.0287834885</v>
      </c>
      <c r="G32" s="240">
        <f>F32/(1+$B$14)^A32</f>
        <v>226280.2212167983</v>
      </c>
      <c r="H32" s="240">
        <f>H31+D32</f>
        <v>155227.5876586688</v>
      </c>
      <c r="I32" t="str">
        <f>IF(AND(F32&gt;=1000000,C32&lt;1000000),"AED 1,000,000 crossed",IF(AND(F32&gt;=500000,C32&lt;500000),"AED 500,000 crossed",IF(AND(F32&gt;=250000,C32&lt;250000),"AED 250,000 crossed",IF(AND(F32&gt;=100000,C32&lt;100000),"AED 100,000 crossed",IF(AND(F32&gt;=50000,C32&lt;50000),"AED 50,000 crossed","")))))</f>
        <v/>
      </c>
    </row>
    <row r="33">
      <c r="A33" s="54" t="n">
        <v>15</v>
      </c>
      <c r="B33" s="54">
        <f>YEAR('FX &amp; Assumptions'!$B$41)+A33-1</f>
        <v>2040.0</v>
      </c>
      <c r="C33" s="240">
        <f>F32</f>
        <v>319728.0287834885</v>
      </c>
      <c r="D33" s="240">
        <f>D32*(1+$B$12)</f>
        <v>21071.5587658669</v>
      </c>
      <c r="E33" s="240">
        <f>C33*$B$13</f>
        <v>32488.1429661246</v>
      </c>
      <c r="F33" s="240">
        <f>C33+D33+E33</f>
        <v>373287.73051548</v>
      </c>
      <c r="G33" s="240">
        <f>F33/(1+$B$14)^A33</f>
        <v>257742.3207115323</v>
      </c>
      <c r="H33" s="240">
        <f>H32+D33</f>
        <v>176299.1464245357</v>
      </c>
      <c r="I33" t="str">
        <f>IF(AND(F33&gt;=1000000,C33&lt;1000000),"AED 1,000,000 crossed",IF(AND(F33&gt;=500000,C33&lt;500000),"AED 500,000 crossed",IF(AND(F33&gt;=250000,C33&lt;250000),"AED 250,000 crossed",IF(AND(F33&gt;=100000,C33&lt;100000),"AED 100,000 crossed",IF(AND(F33&gt;=50000,C33&lt;50000),"AED 50,000 crossed","")))))</f>
        <v/>
      </c>
    </row>
    <row r="34">
      <c r="A34" s="54" t="n">
        <v>16</v>
      </c>
      <c r="B34" s="54">
        <f>YEAR('FX &amp; Assumptions'!$B$41)+A34-1</f>
        <v>2041.0</v>
      </c>
      <c r="C34" s="240">
        <f>F33</f>
        <v>373287.73051548</v>
      </c>
      <c r="D34" s="240">
        <f>D33*(1+$B$12)</f>
        <v>23178.7146424536</v>
      </c>
      <c r="E34" s="240">
        <f>C34*$B$13</f>
        <v>37930.4410771553</v>
      </c>
      <c r="F34" s="240">
        <f>C34+D34+E34</f>
        <v>434396.8862350889</v>
      </c>
      <c r="G34" s="240">
        <f>F34/(1+$B$14)^A34</f>
        <v>292620.5736033487</v>
      </c>
      <c r="H34" s="240">
        <f>H33+D34</f>
        <v>199477.8610669893</v>
      </c>
      <c r="I34" t="str">
        <f>IF(AND(F34&gt;=1000000,C34&lt;1000000),"AED 1,000,000 crossed",IF(AND(F34&gt;=500000,C34&lt;500000),"AED 500,000 crossed",IF(AND(F34&gt;=250000,C34&lt;250000),"AED 250,000 crossed",IF(AND(F34&gt;=100000,C34&lt;100000),"AED 100,000 crossed",IF(AND(F34&gt;=50000,C34&lt;50000),"AED 50,000 crossed","")))))</f>
        <v/>
      </c>
    </row>
    <row r="35">
      <c r="A35" s="54" t="n">
        <v>17</v>
      </c>
      <c r="B35" s="54">
        <f>YEAR('FX &amp; Assumptions'!$B$41)+A35-1</f>
        <v>2042.0</v>
      </c>
      <c r="C35" s="240">
        <f>F34</f>
        <v>434396.8862350889</v>
      </c>
      <c r="D35" s="240">
        <f>D34*(1+$B$12)</f>
        <v>25496.5861066989</v>
      </c>
      <c r="E35" s="240">
        <f>C35*$B$13</f>
        <v>44139.8528547578</v>
      </c>
      <c r="F35" s="240">
        <f>C35+D35+E35</f>
        <v>504033.3251965457</v>
      </c>
      <c r="G35" s="240">
        <f>F35/(1+$B$14)^A35</f>
        <v>331248.209920037</v>
      </c>
      <c r="H35" s="240">
        <f>H34+D35</f>
        <v>224974.4471736882</v>
      </c>
      <c r="I35" t="str">
        <f>IF(AND(F35&gt;=1000000,C35&lt;1000000),"AED 1,000,000 crossed",IF(AND(F35&gt;=500000,C35&lt;500000),"AED 500,000 crossed",IF(AND(F35&gt;=250000,C35&lt;250000),"AED 250,000 crossed",IF(AND(F35&gt;=100000,C35&lt;100000),"AED 100,000 crossed",IF(AND(F35&gt;=50000,C35&lt;50000),"AED 50,000 crossed","")))))</f>
        <v>AED 500,000 crossed</v>
      </c>
    </row>
    <row r="36">
      <c r="A36" s="54" t="n">
        <v>18</v>
      </c>
      <c r="B36" s="54">
        <f>YEAR('FX &amp; Assumptions'!$B$41)+A36-1</f>
        <v>2043.0</v>
      </c>
      <c r="C36" s="240">
        <f>F35</f>
        <v>504033.3251965457</v>
      </c>
      <c r="D36" s="240">
        <f>D35*(1+$B$12)</f>
        <v>28046.2447173688</v>
      </c>
      <c r="E36" s="240">
        <f>C36*$B$13</f>
        <v>51215.7372970431</v>
      </c>
      <c r="F36" s="240">
        <f>C36+D36+E36</f>
        <v>583295.3072109576</v>
      </c>
      <c r="G36" s="240">
        <f>F36/(1+$B$14)^A36</f>
        <v>373989.066062286</v>
      </c>
      <c r="H36" s="240">
        <f>H35+D36</f>
        <v>253020.691891057</v>
      </c>
      <c r="I36" t="str">
        <f>IF(AND(F36&gt;=1000000,C36&lt;1000000),"AED 1,000,000 crossed",IF(AND(F36&gt;=500000,C36&lt;500000),"AED 500,000 crossed",IF(AND(F36&gt;=250000,C36&lt;250000),"AED 250,000 crossed",IF(AND(F36&gt;=100000,C36&lt;100000),"AED 100,000 crossed",IF(AND(F36&gt;=50000,C36&lt;50000),"AED 50,000 crossed","")))))</f>
        <v/>
      </c>
    </row>
    <row r="37">
      <c r="A37" s="54" t="n">
        <v>19</v>
      </c>
      <c r="B37" s="54">
        <f>YEAR('FX &amp; Assumptions'!$B$41)+A37-1</f>
        <v>2044.0</v>
      </c>
      <c r="C37" s="240">
        <f>F36</f>
        <v>583295.3072109576</v>
      </c>
      <c r="D37" s="240">
        <f>D36*(1+$B$12)</f>
        <v>30850.8691891057</v>
      </c>
      <c r="E37" s="240">
        <f>C37*$B$13</f>
        <v>59269.6905687044</v>
      </c>
      <c r="F37" s="240">
        <f>C37+D37+E37</f>
        <v>673415.8669687677</v>
      </c>
      <c r="G37" s="240">
        <f>F37/(1+$B$14)^A37</f>
        <v>421240.289472905</v>
      </c>
      <c r="H37" s="240">
        <f>H36+D37</f>
        <v>283871.5610801628</v>
      </c>
      <c r="I37" t="str">
        <f>IF(AND(F37&gt;=1000000,C37&lt;1000000),"AED 1,000,000 crossed",IF(AND(F37&gt;=500000,C37&lt;500000),"AED 500,000 crossed",IF(AND(F37&gt;=250000,C37&lt;250000),"AED 250,000 crossed",IF(AND(F37&gt;=100000,C37&lt;100000),"AED 100,000 crossed",IF(AND(F37&gt;=50000,C37&lt;50000),"AED 50,000 crossed","")))))</f>
        <v/>
      </c>
    </row>
    <row r="38">
      <c r="A38" s="54" t="n">
        <v>20</v>
      </c>
      <c r="B38" s="54">
        <f>YEAR('FX &amp; Assumptions'!$B$41)+A38-1</f>
        <v>2045.0</v>
      </c>
      <c r="C38" s="240">
        <f>F37</f>
        <v>673415.8669687677</v>
      </c>
      <c r="D38" s="240">
        <f>D37*(1+$B$12)</f>
        <v>33935.9561080163</v>
      </c>
      <c r="E38" s="240">
        <f>C38*$B$13</f>
        <v>68427.0035535525</v>
      </c>
      <c r="F38" s="240">
        <f>C38+D38+E38</f>
        <v>775778.8266303365</v>
      </c>
      <c r="G38" s="240">
        <f>F38/(1+$B$14)^A38</f>
        <v>473435.2759776129</v>
      </c>
      <c r="H38" s="240">
        <f>H37+D38</f>
        <v>317807.5171881791</v>
      </c>
      <c r="I38" t="str">
        <f>IF(AND(F38&gt;=1000000,C38&lt;1000000),"AED 1,000,000 crossed",IF(AND(F38&gt;=500000,C38&lt;500000),"AED 500,000 crossed",IF(AND(F38&gt;=250000,C38&lt;250000),"AED 250,000 crossed",IF(AND(F38&gt;=100000,C38&lt;100000),"AED 100,000 crossed",IF(AND(F38&gt;=50000,C38&lt;50000),"AED 50,000 crossed","")))))</f>
        <v/>
      </c>
    </row>
    <row r="39">
      <c r="A39" s="10" t="inlineStr">
        <is>
          <t>HORIZON TOTAL</t>
        </is>
      </c>
      <c r="B39" s="4" t="n"/>
      <c r="C39" s="4" t="n"/>
      <c r="D39" s="241">
        <f>SUM(D19:D38)</f>
        <v>317807.5171881791</v>
      </c>
      <c r="E39" s="241">
        <f>SUM(E19:E38)</f>
        <v>445336.2707426794</v>
      </c>
      <c r="F39" s="241">
        <f>F38</f>
        <v>775778.8266303365</v>
      </c>
      <c r="G39" s="241">
        <f>G38</f>
        <v>473435.2759776129</v>
      </c>
      <c r="H39" s="241">
        <f>H38</f>
        <v>317807.5171881791</v>
      </c>
      <c r="I39" s="236" t="inlineStr">
        <is>
          <t>Growth above contributions is the part the market pays you. If it is smaller than contributions, time is the missing ingredient, not returns.</t>
        </is>
      </c>
    </row>
    <row r="41" ht="23" customHeight="1">
      <c r="A41" s="9" t="inlineStr">
        <is>
          <t>WHAT EACH LEVER IS ACTUALLY WORTH</t>
        </is>
      </c>
    </row>
    <row r="42" ht="23" customHeight="1">
      <c r="A42" s="236" t="inlineStr">
        <is>
          <t>Scenario</t>
        </is>
      </c>
      <c r="B42" s="236" t="inlineStr">
        <is>
          <t>Monthly contribution</t>
        </is>
      </c>
      <c r="C42" s="236" t="inlineStr">
        <is>
          <t>Step-up</t>
        </is>
      </c>
      <c r="D42" s="236" t="inlineStr">
        <is>
          <t>Return</t>
        </is>
      </c>
      <c r="E42" s="236" t="inlineStr">
        <is>
          <t>Horizon</t>
        </is>
      </c>
      <c r="F42" s="236" t="inlineStr">
        <is>
          <t>Capital at horizon</t>
        </is>
      </c>
      <c r="G42" s="236" t="inlineStr">
        <is>
          <t>In today's money</t>
        </is>
      </c>
      <c r="H42" s="236" t="inlineStr">
        <is>
          <t>Difference vs base</t>
        </is>
      </c>
      <c r="I42" s="236" t="inlineStr">
        <is>
          <t>Read</t>
        </is>
      </c>
    </row>
    <row r="43">
      <c r="A43" t="inlineStr">
        <is>
          <t>Base — today's SIP, 10% step-up</t>
        </is>
      </c>
      <c r="B43" s="240">
        <f>$B$10</f>
        <v>462.4</v>
      </c>
      <c r="C43" s="50">
        <f>$B$12</f>
        <v>0.1</v>
      </c>
      <c r="D43" s="50">
        <f>$B$13</f>
        <v>0.1016118077</v>
      </c>
      <c r="E43" s="54">
        <f>$B$15</f>
        <v>20.0</v>
      </c>
      <c r="F43" s="240">
        <f>$B$7*(1+D43)^E43+IF(ABS(D43-C43)&lt;0.0001,B43*12*E43*(1+D43)^(E43-1),B43*12*((1+D43)^E43-(1+C43)^E43)/(D43-C43))</f>
        <v>775778.8266302588</v>
      </c>
      <c r="G43" s="240">
        <f>F43/(1+$B$14)^E43</f>
        <v>473435.2759775656</v>
      </c>
      <c r="H43" s="240">
        <f>F43-F$43</f>
        <v>0.0</v>
      </c>
      <c r="I43" s="239" t="inlineStr">
        <is>
          <t>Exactly the table above.</t>
        </is>
      </c>
    </row>
    <row r="44">
      <c r="A44" t="inlineStr">
        <is>
          <t>Add AED 300 a month</t>
        </is>
      </c>
      <c r="B44" s="240">
        <f>$B$10+300</f>
        <v>762.4</v>
      </c>
      <c r="C44" s="50">
        <f>$B$12</f>
        <v>0.1</v>
      </c>
      <c r="D44" s="50">
        <f>$B$13</f>
        <v>0.1016118077</v>
      </c>
      <c r="E44" s="54">
        <f>$B$15</f>
        <v>20.0</v>
      </c>
      <c r="F44" s="240">
        <f>$B$7*(1+D44)^E44+IF(ABS(D44-C44)&lt;0.0001,B44*12*E44*(1+D44)^(E44-1),B44*12*((1+D44)^E44-(1+C44)^E44)/(D44-C44))</f>
        <v>1222308.1830564723</v>
      </c>
      <c r="G44" s="240">
        <f>F44/(1+$B$14)^E44</f>
        <v>745939.1673379377</v>
      </c>
      <c r="H44" s="240">
        <f>F44-F$43</f>
        <v>446529.3564262135</v>
      </c>
      <c r="I44" s="239" t="inlineStr">
        <is>
          <t>Roughly one week of restaurant spending redirected. Compare the difference column with the sacrifice; this is the cheapest wealth in the file.</t>
        </is>
      </c>
    </row>
    <row r="45">
      <c r="A45" t="inlineStr">
        <is>
          <t>Step-up 15% instead of 10%</t>
        </is>
      </c>
      <c r="B45" s="240">
        <f>$B$10</f>
        <v>462.4</v>
      </c>
      <c r="C45" s="296">
        <f>0.15</f>
        <v>0.15</v>
      </c>
      <c r="D45" s="50">
        <f>$B$13</f>
        <v>0.1016118077</v>
      </c>
      <c r="E45" s="54">
        <f>$B$15</f>
        <v>20.0</v>
      </c>
      <c r="F45" s="240">
        <f>$B$7*(1+D45)^E45+IF(ABS(D45-C45)&lt;0.0001,B45*12*E45*(1+D45)^(E45-1),B45*12*((1+D45)^E45-(1+C45)^E45)/(D45-C45))</f>
        <v>1169936.1815251852</v>
      </c>
      <c r="G45" s="240">
        <f>F45/(1+$B$14)^E45</f>
        <v>713978.056584035</v>
      </c>
      <c r="H45" s="240">
        <f>F45-F$43</f>
        <v>394157.3548949264</v>
      </c>
      <c r="I45" s="239" t="inlineStr">
        <is>
          <t>Costs nothing today. Every raise partly goes to the SIP instead of to lifestyle.</t>
        </is>
      </c>
    </row>
    <row r="46">
      <c r="A46" t="inlineStr">
        <is>
          <t>No step-up at all</t>
        </is>
      </c>
      <c r="B46" s="240">
        <f>$B$10</f>
        <v>462.4</v>
      </c>
      <c r="C46" s="296">
        <f>0</f>
        <v>0.0</v>
      </c>
      <c r="D46" s="50">
        <f>$B$13</f>
        <v>0.1016118077</v>
      </c>
      <c r="E46" s="54">
        <f>$B$15</f>
        <v>20.0</v>
      </c>
      <c r="F46" s="240">
        <f>$B$7*(1+D46)^E46+IF(ABS(D46-C46)&lt;0.0001,B46*12*E46*(1+D46)^(E46-1),B46*12*((1+D46)^E46-(1+C46)^E46)/(D46-C46))</f>
        <v>411211.8804327494</v>
      </c>
      <c r="G46" s="240">
        <f>F46/(1+$B$14)^E46</f>
        <v>250950.6619864468</v>
      </c>
      <c r="H46" s="240">
        <f>F46-F$43</f>
        <v>-364566.9461975094</v>
      </c>
      <c r="I46" s="239" t="inlineStr">
        <is>
          <t>The same contribution forever. Inflation quietly shrinks it every year.</t>
        </is>
      </c>
    </row>
    <row r="47">
      <c r="A47" t="inlineStr">
        <is>
          <t>Returns 3 points lower</t>
        </is>
      </c>
      <c r="B47" s="240">
        <f>$B$10</f>
        <v>462.4</v>
      </c>
      <c r="C47" s="50">
        <f>$B$12</f>
        <v>0.1</v>
      </c>
      <c r="D47" s="50">
        <f>$B$13-0.03</f>
        <v>0.0716118077</v>
      </c>
      <c r="E47" s="54">
        <f>$B$15</f>
        <v>20.0</v>
      </c>
      <c r="F47" s="240">
        <f>$B$7*(1+D47)^E47+IF(ABS(D47-C47)&lt;0.0001,B47*12*E47*(1+D47)^(E47-1),B47*12*((1+D47)^E47-(1+C47)^E47)/(D47-C47))</f>
        <v>585864.4050860241</v>
      </c>
      <c r="G47" s="240">
        <f>F47/(1+$B$14)^E47</f>
        <v>357536.022879276</v>
      </c>
      <c r="H47" s="240">
        <f>F47-F$43</f>
        <v>-189914.4215442347</v>
      </c>
      <c r="I47" s="239" t="inlineStr">
        <is>
          <t>The stress case. Note how much less it costs you than skipping contributions does — the contribution lever is under your control, the return lever is not.</t>
        </is>
      </c>
    </row>
    <row r="48">
      <c r="A48" t="inlineStr">
        <is>
          <t>Pause the SIP for one year, then resume</t>
        </is>
      </c>
      <c r="B48" s="240">
        <f>$B$10</f>
        <v>462.4</v>
      </c>
      <c r="C48" s="50">
        <f>$B$12</f>
        <v>0.1</v>
      </c>
      <c r="D48" s="50">
        <f>$B$13</f>
        <v>0.1016118077</v>
      </c>
      <c r="E48" s="54">
        <f>($B$15-1)</f>
        <v>19.0</v>
      </c>
      <c r="F48" s="240">
        <f>$B$7*(1+D48)^E48+IF(ABS(D48-C48)&lt;0.0001,B48*12*E48*(1+D48)^(E48-1),B48*12*((1+D48)^E48-(1+C48)^E48)/(D48-C48))</f>
        <v>673415.8669686991</v>
      </c>
      <c r="G48" s="240">
        <f>F48/(1+$B$14)^E48</f>
        <v>421240.2894728621</v>
      </c>
      <c r="H48" s="240">
        <f>F48-F$43</f>
        <v>-102362.9596615597</v>
      </c>
      <c r="I48" s="239" t="inlineStr">
        <is>
          <t>Modelled as one year less of compounding on the whole horizon. A pause is never free.</t>
        </is>
      </c>
    </row>
    <row r="50" ht="23" customHeight="1">
      <c r="A50" s="9" t="inlineStr">
        <is>
          <t>FINANCIAL INDEPENDENCE</t>
        </is>
      </c>
    </row>
    <row r="51" ht="23" customHeight="1">
      <c r="A51" s="236" t="inlineStr">
        <is>
          <t>Metric</t>
        </is>
      </c>
      <c r="B51" s="236" t="inlineStr">
        <is>
          <t>Value</t>
        </is>
      </c>
      <c r="C51" s="236" t="inlineStr">
        <is>
          <t>Basis</t>
        </is>
      </c>
      <c r="D51" s="236" t="inlineStr"/>
      <c r="E51" s="236" t="inlineStr"/>
      <c r="F51" s="236" t="inlineStr"/>
      <c r="G51" s="236" t="inlineStr"/>
      <c r="H51" s="236" t="inlineStr"/>
      <c r="I51" s="236" t="inlineStr">
        <is>
          <t>Read</t>
        </is>
      </c>
    </row>
    <row r="52">
      <c r="A52" t="inlineStr">
        <is>
          <t>Annual essential spending today</t>
        </is>
      </c>
      <c r="B52" s="240">
        <f>Budget!B17*12</f>
        <v>77338.52</v>
      </c>
      <c r="C52" t="inlineStr">
        <is>
          <t>Budget essentials x 12</t>
        </is>
      </c>
      <c r="I52" s="239" t="inlineStr">
        <is>
          <t>Rent accrual, utilities, groceries, fuel and family support. Not lifestyle.</t>
        </is>
      </c>
    </row>
    <row r="53">
      <c r="A53" t="inlineStr">
        <is>
          <t>Safe withdrawal rate</t>
        </is>
      </c>
      <c r="B53" s="288" t="n">
        <v>0.04</v>
      </c>
      <c r="C53" t="inlineStr">
        <is>
          <t>LEVER — standard planning rule</t>
        </is>
      </c>
      <c r="I53" s="239" t="inlineStr">
        <is>
          <t>The share of capital you could draw each year without running it down. Conservative.</t>
        </is>
      </c>
    </row>
    <row r="54">
      <c r="A54" t="inlineStr">
        <is>
          <t>Capital needed for independence</t>
        </is>
      </c>
      <c r="B54" s="240">
        <f>IF(B53=0,0,B52/B53)</f>
        <v>1933463.0</v>
      </c>
      <c r="C54" t="inlineStr">
        <is>
          <t>Essential spending divided by the withdrawal rate</t>
        </is>
      </c>
      <c r="I54" s="239" t="inlineStr">
        <is>
          <t>The number at which essential living costs are paid by capital rather than by work.</t>
        </is>
      </c>
    </row>
    <row r="55">
      <c r="A55" t="inlineStr">
        <is>
          <t>Years to reach it at the base plan</t>
        </is>
      </c>
      <c r="B55" t="str">
        <f>IF(COUNTIF(G19:G38,"&lt;"&amp;B54)&gt;=20,"beyond horizon",COUNTIF(G19:G38,"&lt;"&amp;B54)+1)</f>
        <v>beyond horizon</v>
      </c>
      <c r="C55" t="inlineStr">
        <is>
          <t>First year the today's-money column clears the target</t>
        </is>
      </c>
      <c r="I55" s="239" t="inlineStr">
        <is>
          <t>Counted in today's money, so the answer is honest. If it reads beyond horizon, the fix is the contribution lever, not a better fund.</t>
        </is>
      </c>
    </row>
    <row r="56">
      <c r="A56" t="inlineStr">
        <is>
          <t>Capital at horizon in today's money</t>
        </is>
      </c>
      <c r="B56" s="240">
        <f>G38</f>
        <v>473435.2759776129</v>
      </c>
      <c r="C56" t="inlineStr">
        <is>
          <t>Year-by-year projection</t>
        </is>
      </c>
      <c r="I56" s="239" t="inlineStr">
        <is>
          <t>Where the base plan actually lands.</t>
        </is>
      </c>
    </row>
    <row r="57">
      <c r="A57" t="inlineStr">
        <is>
          <t>Shortfall against independence</t>
        </is>
      </c>
      <c r="B57" s="240">
        <f>MAX(0,B54-B56)</f>
        <v>1460027.724022387</v>
      </c>
      <c r="C57" t="inlineStr">
        <is>
          <t>Target less projected</t>
        </is>
      </c>
      <c r="I57" s="239" t="inlineStr">
        <is>
          <t>Zero means the base plan gets there within the horizon.</t>
        </is>
      </c>
    </row>
    <row r="59" ht="40" customHeight="1">
      <c r="A59" s="292" t="inlineStr">
        <is>
          <t>The uncomfortable arithmetic: the plan below only runs if the Budget balances first. Rent accrual, then the emergency fund, then debt, then the SIP — in that order. A wealth plan funded by a frozen credit card is not a wealth plan.</t>
        </is>
      </c>
    </row>
  </sheetData>
  <mergeCells count="7">
    <mergeCell ref="A59:I59"/>
    <mergeCell ref="A41:I41"/>
    <mergeCell ref="A5:I5"/>
    <mergeCell ref="A17:I17"/>
    <mergeCell ref="A1:I2"/>
    <mergeCell ref="A3:I3"/>
    <mergeCell ref="A50:I50"/>
  </mergeCells>
  <pageMargins left="0.75" right="0.75" top="1" bottom="1" header="0.5" footer="0.5"/>
</worksheet>
</file>

<file path=xl/worksheets/sheet15.xml><?xml version="1.0" encoding="utf-8"?>
<worksheet xmlns="http://schemas.openxmlformats.org/spreadsheetml/2006/main">
  <sheetPr>
    <tabColor rgb="FF6941C6"/>
    <outlinePr summaryBelow="1" summaryRight="1"/>
    <pageSetUpPr/>
  </sheetPr>
  <dimension ref="A1:H33"/>
  <sheetViews>
    <sheetView showGridLines="0" workbookViewId="0">
      <selection activeCell="A1" sqref="A1"/>
    </sheetView>
  </sheetViews>
  <sheetFormatPr baseColWidth="8" defaultRowHeight="15"/>
  <cols>
    <col width="36" customWidth="1" min="1" max="1"/>
    <col width="17" customWidth="1" min="2" max="2"/>
    <col width="17" customWidth="1" min="3" max="3"/>
    <col width="17" customWidth="1" min="4" max="4"/>
    <col width="13" customWidth="1" min="5" max="5"/>
    <col width="15" customWidth="1" min="6" max="6"/>
    <col width="18" customWidth="1" min="7" max="7"/>
    <col width="50" customWidth="1" min="8" max="8"/>
  </cols>
  <sheetData>
    <row r="1" ht="29" customHeight="1">
      <c r="A1" s="3" t="inlineStr">
        <is>
          <t>Goals — From Surviving the Month to Owning the Decade</t>
        </is>
      </c>
    </row>
    <row r="2" ht="29" customHeight="1"/>
    <row r="3" ht="30" customHeight="1">
      <c r="A3" s="286" t="inlineStr">
        <is>
          <t>Ordered the only way that works: protect the roof, close the gap, kill the debt, build the buffer, then compound. Progress is calculated live from the rest of the workbook — nothing here is typed in by hand except the targets.</t>
        </is>
      </c>
    </row>
    <row r="5" ht="23" customHeight="1">
      <c r="A5" s="9" t="inlineStr">
        <is>
          <t>STAGE 1 — SURVIVE THE NEXT NINETY DAYS</t>
        </is>
      </c>
    </row>
    <row r="6" ht="23" customHeight="1">
      <c r="A6" s="236" t="inlineStr">
        <is>
          <t>Goal</t>
        </is>
      </c>
      <c r="B6" s="236" t="inlineStr">
        <is>
          <t>Target</t>
        </is>
      </c>
      <c r="C6" s="236" t="inlineStr">
        <is>
          <t>Where you are</t>
        </is>
      </c>
      <c r="D6" s="236" t="inlineStr">
        <is>
          <t>Gap</t>
        </is>
      </c>
      <c r="E6" s="236" t="inlineStr">
        <is>
          <t>Progress</t>
        </is>
      </c>
      <c r="F6" s="236" t="inlineStr">
        <is>
          <t>Deadline</t>
        </is>
      </c>
      <c r="G6" s="236" t="inlineStr">
        <is>
          <t>Per month needed</t>
        </is>
      </c>
      <c r="H6" s="236" t="inlineStr">
        <is>
          <t>Note</t>
        </is>
      </c>
    </row>
    <row r="7">
      <c r="A7" t="inlineStr">
        <is>
          <t>Close the September funding gap</t>
        </is>
      </c>
      <c r="B7" s="240">
        <f>'Inputs'!B53</f>
        <v>651.59</v>
      </c>
      <c r="C7" s="240">
        <f>'Inputs'!B43</f>
        <v>107.52</v>
      </c>
      <c r="D7" s="240">
        <f>MAX(0,B7-C7)</f>
        <v>544.07</v>
      </c>
      <c r="E7" s="50">
        <f>IF(B7=0,1,MIN(1,C7/B7))</f>
        <v>0.1650117405</v>
      </c>
      <c r="F7" s="238" t="n">
        <v>46280</v>
      </c>
      <c r="G7" s="240">
        <f>IF(1=0,D7,D7/1)</f>
        <v>544.07</v>
      </c>
      <c r="H7" s="239" t="inlineStr">
        <is>
          <t>Bills, survival spending and the SIP through 15 Sep, against the loose cash that exists today. This is the nearest cliff edge in the file.</t>
        </is>
      </c>
    </row>
    <row r="8">
      <c r="A8" t="inlineStr">
        <is>
          <t>Fully fund the October rent cheque</t>
        </is>
      </c>
      <c r="B8" s="240">
        <f>'Inputs'!B30</f>
        <v>11750.0</v>
      </c>
      <c r="C8" s="240">
        <f>'Inputs'!B31</f>
        <v>5990.45</v>
      </c>
      <c r="D8" s="240">
        <f>MAX(0,B8-C8)</f>
        <v>5759.55</v>
      </c>
      <c r="E8" s="50">
        <f>IF(B8=0,1,MIN(1,C8/B8))</f>
        <v>0.5098255319</v>
      </c>
      <c r="F8" s="238" t="n">
        <v>46316</v>
      </c>
      <c r="G8" s="240">
        <f>IF(2=0,D8,D8/2)</f>
        <v>2879.775</v>
      </c>
      <c r="H8" s="239" t="inlineStr">
        <is>
          <t>The cheque clears 22 Oct and the 26 Oct salary is four days too late. Two salary cycles to find the balance.</t>
        </is>
      </c>
    </row>
    <row r="9">
      <c r="A9" t="inlineStr">
        <is>
          <t>Clear the Tabby card to zero</t>
        </is>
      </c>
      <c r="B9" s="240">
        <f>'Inputs'!B38</f>
        <v>2687.36</v>
      </c>
      <c r="C9" s="240" t="n">
        <v>0</v>
      </c>
      <c r="D9" s="240">
        <f>MAX(0,B9-C9)</f>
        <v>2687.36</v>
      </c>
      <c r="E9" s="50">
        <f>IF(B9=0,1,MIN(1,C9/B9))</f>
        <v>0.0</v>
      </c>
      <c r="F9" s="238" t="n">
        <v>46329</v>
      </c>
      <c r="G9" s="240">
        <f>IF(3=0,D9,D9/3)</f>
        <v>895.7866666667</v>
      </c>
      <c r="H9" s="239" t="inlineStr">
        <is>
          <t>Progress reads 0% until the balance falls — that is deliberate. Follow the Debt Plan schedule and this closes on 3 Nov with no fees.</t>
        </is>
      </c>
    </row>
    <row r="11" ht="23" customHeight="1">
      <c r="A11" s="9" t="inlineStr">
        <is>
          <t>STAGE 2 — BUILD THE BUFFER</t>
        </is>
      </c>
    </row>
    <row r="12" ht="23" customHeight="1">
      <c r="A12" s="236" t="inlineStr">
        <is>
          <t>Goal</t>
        </is>
      </c>
      <c r="B12" s="236" t="inlineStr">
        <is>
          <t>Target</t>
        </is>
      </c>
      <c r="C12" s="236" t="inlineStr">
        <is>
          <t>Where you are</t>
        </is>
      </c>
      <c r="D12" s="236" t="inlineStr">
        <is>
          <t>Gap</t>
        </is>
      </c>
      <c r="E12" s="236" t="inlineStr">
        <is>
          <t>Progress</t>
        </is>
      </c>
      <c r="F12" s="236" t="inlineStr">
        <is>
          <t>Deadline</t>
        </is>
      </c>
      <c r="G12" s="236" t="inlineStr">
        <is>
          <t>Per month needed</t>
        </is>
      </c>
      <c r="H12" s="236" t="inlineStr">
        <is>
          <t>Note</t>
        </is>
      </c>
    </row>
    <row r="13">
      <c r="A13" t="inlineStr">
        <is>
          <t>Emergency fund — first milestone</t>
        </is>
      </c>
      <c r="B13" s="240" t="n">
        <v>1000</v>
      </c>
      <c r="C13" s="240">
        <f>'Inputs'!B32</f>
        <v>7.67</v>
      </c>
      <c r="D13" s="240">
        <f>MAX(0,B13-C13)</f>
        <v>992.33</v>
      </c>
      <c r="E13" s="50">
        <f>IF(B13=0,1,MIN(1,C13/B13))</f>
        <v>0.00767</v>
      </c>
      <c r="F13" s="238" t="n">
        <v>46477</v>
      </c>
      <c r="G13" s="240">
        <f>IF(6=0,D13,D13/6)</f>
        <v>165.3883333333</v>
      </c>
      <c r="H13" s="239" t="inlineStr">
        <is>
          <t>AED 1,000 is the milestone the original plan already named. At AED 200 a month from the Budget it takes five months, and it ends the era where one flat tyre becomes a crisis.</t>
        </is>
      </c>
    </row>
    <row r="14">
      <c r="A14" t="inlineStr">
        <is>
          <t>Emergency fund — three months of essentials</t>
        </is>
      </c>
      <c r="B14" s="240">
        <f>Budget!B17*3</f>
        <v>19334.63</v>
      </c>
      <c r="C14" s="240">
        <f>'Inputs'!B32</f>
        <v>7.67</v>
      </c>
      <c r="D14" s="240">
        <f>MAX(0,B14-C14)</f>
        <v>19326.96</v>
      </c>
      <c r="E14" s="50">
        <f>IF(B14=0,1,MIN(1,C14/B14))</f>
        <v>0.0003966975</v>
      </c>
      <c r="F14" s="238" t="n">
        <v>46752</v>
      </c>
      <c r="G14" s="240">
        <f>IF(16=0,D14,D14/16)</f>
        <v>1207.935</v>
      </c>
      <c r="H14" s="239" t="inlineStr">
        <is>
          <t>Three months of the Budget essentials subtotal. The point at which a lost job stops being an emergency and becomes an inconvenience.</t>
        </is>
      </c>
    </row>
    <row r="15">
      <c r="A15" t="inlineStr">
        <is>
          <t>Emergency fund — six months of essentials</t>
        </is>
      </c>
      <c r="B15" s="240">
        <f>Budget!B17*'FX &amp; Assumptions'!B33</f>
        <v>38669.26</v>
      </c>
      <c r="C15" s="240">
        <f>'Inputs'!B32</f>
        <v>7.67</v>
      </c>
      <c r="D15" s="240">
        <f>MAX(0,B15-C15)</f>
        <v>38661.59</v>
      </c>
      <c r="E15" s="50">
        <f>IF(B15=0,1,MIN(1,C15/B15))</f>
        <v>0.0001983488</v>
      </c>
      <c r="F15" s="238" t="n">
        <v>47299</v>
      </c>
      <c r="G15" s="240">
        <f>IF(34=0,D15,D15/34)</f>
        <v>1137.1055882353</v>
      </c>
      <c r="H15" s="239" t="inlineStr">
        <is>
          <t>Full target. Reach it and the SIP never has to be paused again for a bad month.</t>
        </is>
      </c>
    </row>
    <row r="16">
      <c r="A16" t="inlineStr">
        <is>
          <t>Rent vault — one full year of rent</t>
        </is>
      </c>
      <c r="B16" s="240">
        <f>'FX &amp; Assumptions'!B28</f>
        <v>47000.0</v>
      </c>
      <c r="C16" s="240">
        <f>'Inputs'!B31</f>
        <v>5990.45</v>
      </c>
      <c r="D16" s="240">
        <f>MAX(0,B16-C16)</f>
        <v>41009.55</v>
      </c>
      <c r="E16" s="50">
        <f>IF(B16=0,1,MIN(1,C16/B16))</f>
        <v>0.127456383</v>
      </c>
      <c r="F16" s="238" t="n">
        <v>47047</v>
      </c>
      <c r="G16" s="240">
        <f>IF(26=0,D16,D16/26)</f>
        <v>1577.2903846154</v>
      </c>
      <c r="H16" s="239" t="inlineStr">
        <is>
          <t>A year of rent held in advance. This is the goal that permanently ends the October panic, because the cheque stops competing with the salary.</t>
        </is>
      </c>
    </row>
    <row r="18" ht="23" customHeight="1">
      <c r="A18" s="9" t="inlineStr">
        <is>
          <t>STAGE 3 — COMPOUND</t>
        </is>
      </c>
    </row>
    <row r="19" ht="23" customHeight="1">
      <c r="A19" s="236" t="inlineStr">
        <is>
          <t>Goal</t>
        </is>
      </c>
      <c r="B19" s="236" t="inlineStr">
        <is>
          <t>Target</t>
        </is>
      </c>
      <c r="C19" s="236" t="inlineStr">
        <is>
          <t>Where you are</t>
        </is>
      </c>
      <c r="D19" s="236" t="inlineStr">
        <is>
          <t>Gap</t>
        </is>
      </c>
      <c r="E19" s="236" t="inlineStr">
        <is>
          <t>Progress</t>
        </is>
      </c>
      <c r="F19" s="236" t="inlineStr">
        <is>
          <t>Deadline</t>
        </is>
      </c>
      <c r="G19" s="236" t="inlineStr">
        <is>
          <t>Per month needed</t>
        </is>
      </c>
      <c r="H19" s="236" t="inlineStr">
        <is>
          <t>Note</t>
        </is>
      </c>
    </row>
    <row r="20">
      <c r="A20" t="inlineStr">
        <is>
          <t>Investments reach AED 25,000</t>
        </is>
      </c>
      <c r="B20" s="240" t="n">
        <v>25000</v>
      </c>
      <c r="C20" s="240">
        <f>'Net Worth'!F21</f>
        <v>12635.038699478</v>
      </c>
      <c r="D20" s="240">
        <f>MAX(0,B20-C20)</f>
        <v>12364.961300522</v>
      </c>
      <c r="E20" s="50">
        <f>IF(B20=0,1,MIN(1,C20/B20))</f>
        <v>0.505401548</v>
      </c>
      <c r="F20" s="238" t="n">
        <v>47362</v>
      </c>
      <c r="G20" s="240">
        <f>IF(36=0,D20,D20/36)</f>
        <v>343.4711472367</v>
      </c>
      <c r="H20" s="239" t="inlineStr">
        <is>
          <t>Roughly two and a half times the current portfolio, on the current SIP alone.</t>
        </is>
      </c>
    </row>
    <row r="21">
      <c r="A21" t="inlineStr">
        <is>
          <t>Net worth reaches AED 100,000</t>
        </is>
      </c>
      <c r="B21" s="240" t="n">
        <v>100000</v>
      </c>
      <c r="C21" s="240">
        <f>'Net Worth'!F28</f>
        <v>16053.318699478</v>
      </c>
      <c r="D21" s="240">
        <f>MAX(0,B21-C21)</f>
        <v>83946.681300522</v>
      </c>
      <c r="E21" s="50">
        <f>IF(B21=0,1,MIN(1,C21/B21))</f>
        <v>0.160533187</v>
      </c>
      <c r="F21" s="238" t="n">
        <v>48458</v>
      </c>
      <c r="G21" s="240">
        <f>IF(72=0,D21,D21/72)</f>
        <v>1165.9261291739</v>
      </c>
      <c r="H21" s="239" t="inlineStr">
        <is>
          <t>The first genuinely life-changing threshold: a year of net salary held as capital.</t>
        </is>
      </c>
    </row>
    <row r="22">
      <c r="A22" t="inlineStr">
        <is>
          <t>Net worth reaches AED 250,000</t>
        </is>
      </c>
      <c r="B22" s="240" t="n">
        <v>250000</v>
      </c>
      <c r="C22" s="240">
        <f>'Net Worth'!F28</f>
        <v>16053.318699478</v>
      </c>
      <c r="D22" s="240">
        <f>MAX(0,B22-C22)</f>
        <v>233946.681300522</v>
      </c>
      <c r="E22" s="50">
        <f>IF(B22=0,1,MIN(1,C22/B22))</f>
        <v>0.0642132748</v>
      </c>
      <c r="F22" s="238" t="n">
        <v>49919</v>
      </c>
      <c r="G22" s="240">
        <f>IF(120=0,D22,D22/120)</f>
        <v>1949.5556775044</v>
      </c>
      <c r="H22" s="239" t="inlineStr">
        <is>
          <t>At this point investment growth in a normal year starts to rival what saving adds.</t>
        </is>
      </c>
    </row>
    <row r="23">
      <c r="A23" t="inlineStr">
        <is>
          <t>Capital covers essential living costs</t>
        </is>
      </c>
      <c r="B23" s="240">
        <f>'Wealth Plan'!B54</f>
        <v>1933463.0</v>
      </c>
      <c r="C23" s="240">
        <f>'Net Worth'!F21</f>
        <v>12635.038699478</v>
      </c>
      <c r="D23" s="240">
        <f>MAX(0,B23-C23)</f>
        <v>1920827.961300522</v>
      </c>
      <c r="E23" s="50">
        <f>IF(B23=0,1,MIN(1,C23/B23))</f>
        <v>0.0065349266</v>
      </c>
      <c r="F23" s="238" t="n">
        <v>53571</v>
      </c>
      <c r="G23" s="240">
        <f>IF(240=0,D23,D23/240)</f>
        <v>8003.4498387522</v>
      </c>
      <c r="H23" s="239" t="inlineStr">
        <is>
          <t>Financial independence as defined on the Wealth Plan: essential spending paid by capital rather than by work.</t>
        </is>
      </c>
    </row>
    <row r="25" ht="23" customHeight="1">
      <c r="A25" s="9" t="inlineStr">
        <is>
          <t>GOAL SCOREBOARD</t>
        </is>
      </c>
    </row>
    <row r="26" ht="23" customHeight="1">
      <c r="A26" s="236" t="inlineStr">
        <is>
          <t>Metric</t>
        </is>
      </c>
      <c r="B26" s="236" t="inlineStr">
        <is>
          <t>Value</t>
        </is>
      </c>
      <c r="C26" s="236" t="inlineStr"/>
      <c r="D26" s="236" t="inlineStr"/>
      <c r="E26" s="236" t="inlineStr"/>
      <c r="F26" s="236" t="inlineStr"/>
      <c r="G26" s="236" t="inlineStr"/>
      <c r="H26" s="236" t="inlineStr">
        <is>
          <t>Read</t>
        </is>
      </c>
    </row>
    <row r="27">
      <c r="A27" t="inlineStr">
        <is>
          <t>Goals fully funded</t>
        </is>
      </c>
      <c r="B27" s="54">
        <f>COUNTIF(E7:E9,"&gt;=1")+COUNTIF(E13:E16,"&gt;=1")+COUNTIF(E20:E23,"&gt;=1")</f>
        <v>0.0</v>
      </c>
      <c r="H27" s="239" t="inlineStr">
        <is>
          <t>Goals already at 100%.</t>
        </is>
      </c>
    </row>
    <row r="28">
      <c r="A28" t="inlineStr">
        <is>
          <t>Goals under 25% funded</t>
        </is>
      </c>
      <c r="B28" s="54">
        <f>COUNTIF(E7:E9,"&lt;0.25")+COUNTIF(E13:E16,"&lt;0.25")+COUNTIF(E20:E23,"&lt;0.25")</f>
        <v>9.0</v>
      </c>
      <c r="H28" s="239" t="inlineStr">
        <is>
          <t>Goals that have barely started. Expected to be high today; the point is to watch it fall.</t>
        </is>
      </c>
    </row>
    <row r="29">
      <c r="A29" t="inlineStr">
        <is>
          <t>Total still to fund across every goal</t>
        </is>
      </c>
      <c r="B29" s="240">
        <f>SUM(D7:D9)+SUM(D13:D16)+SUM(D20:D23)</f>
        <v>2360067.695202088</v>
      </c>
      <c r="H29" s="239" t="inlineStr">
        <is>
          <t>The full distance from here to the last goal. Large numbers are fine — they are supposed to take years.</t>
        </is>
      </c>
    </row>
    <row r="30">
      <c r="A30" t="inlineStr">
        <is>
          <t>Nearest deadline</t>
        </is>
      </c>
      <c r="B30" s="238">
        <f>MIN(F7:F9)</f>
        <v>46280.0</v>
      </c>
      <c r="H30" s="239" t="inlineStr">
        <is>
          <t>The date that decides what you do this week.</t>
        </is>
      </c>
    </row>
    <row r="31">
      <c r="A31" t="inlineStr">
        <is>
          <t>Stage 1 average progress</t>
        </is>
      </c>
      <c r="B31" s="50">
        <f>AVERAGE(E7:E9)</f>
        <v>0.2249457575</v>
      </c>
      <c r="H31" s="239" t="inlineStr">
        <is>
          <t>Survive-the-quarter progress. Nothing in stage 2 or 3 matters until this is at 100%.</t>
        </is>
      </c>
    </row>
    <row r="33" ht="40" customHeight="1">
      <c r="A33" s="292" t="inlineStr">
        <is>
          <t>Sequence matters more than ambition. Funding the SIP while the rent cheque is short is not investing, it is borrowing from the landlord. Work down this sheet in order and every later goal gets easier, because each stage removes a claim on the salary.</t>
        </is>
      </c>
    </row>
  </sheetData>
  <mergeCells count="7">
    <mergeCell ref="A18:H18"/>
    <mergeCell ref="A3:H3"/>
    <mergeCell ref="A25:H25"/>
    <mergeCell ref="A33:H33"/>
    <mergeCell ref="A11:H11"/>
    <mergeCell ref="A5:H5"/>
    <mergeCell ref="A1:H2"/>
  </mergeCells>
  <pageMargins left="0.75" right="0.75" top="1" bottom="1" header="0.5" footer="0.5"/>
</worksheet>
</file>

<file path=xl/worksheets/sheet16.xml><?xml version="1.0" encoding="utf-8"?>
<worksheet xmlns="http://schemas.openxmlformats.org/spreadsheetml/2006/main">
  <sheetPr>
    <tabColor rgb="FF687385"/>
    <outlinePr summaryBelow="1" summaryRight="1"/>
    <pageSetUpPr/>
  </sheetPr>
  <dimension ref="A1:G41"/>
  <sheetViews>
    <sheetView showGridLines="0" workbookViewId="0">
      <selection activeCell="A1" sqref="A1"/>
    </sheetView>
  </sheetViews>
  <sheetFormatPr baseColWidth="8" defaultRowHeight="15"/>
  <cols>
    <col width="34" customWidth="1" min="1" max="1"/>
    <col width="18" customWidth="1" min="2" max="2"/>
    <col width="18" customWidth="1" min="3" max="3"/>
    <col width="18" customWidth="1" min="4" max="4"/>
    <col width="14" customWidth="1" min="5" max="5"/>
    <col width="14" customWidth="1" min="6" max="6"/>
    <col width="42" customWidth="1" min="7" max="7"/>
  </cols>
  <sheetData>
    <row r="1" ht="29" customHeight="1">
      <c r="A1" s="3" t="inlineStr">
        <is>
          <t>Model Integrity Checks</t>
        </is>
      </c>
    </row>
    <row r="2" ht="29" customHeight="1"/>
    <row r="3" ht="30" customHeight="1">
      <c r="A3" s="93" t="inlineStr">
        <is>
          <t>Core cash, income and rent projections reconcile. Do not treat the model as fully cleared until the AED 14 balance movement is identified.</t>
        </is>
      </c>
    </row>
    <row r="4">
      <c r="A4" s="94" t="n"/>
      <c r="B4" s="94" t="n"/>
      <c r="C4" s="94" t="n"/>
      <c r="D4" s="94" t="n"/>
      <c r="E4" s="94" t="n"/>
      <c r="F4" s="94" t="n"/>
      <c r="G4" s="94" t="n"/>
    </row>
    <row r="5">
      <c r="A5" s="13" t="inlineStr">
        <is>
          <t>Check</t>
        </is>
      </c>
      <c r="B5" s="13" t="inlineStr">
        <is>
          <t>Actual</t>
        </is>
      </c>
      <c r="C5" s="13" t="inlineStr">
        <is>
          <t>Expected</t>
        </is>
      </c>
      <c r="D5" s="13" t="inlineStr">
        <is>
          <t>Difference</t>
        </is>
      </c>
      <c r="E5" s="13" t="inlineStr">
        <is>
          <t>Tolerance</t>
        </is>
      </c>
      <c r="F5" s="13" t="inlineStr">
        <is>
          <t>Status</t>
        </is>
      </c>
      <c r="G5" s="13" t="inlineStr">
        <is>
          <t>Fix / note</t>
        </is>
      </c>
    </row>
    <row r="6">
      <c r="A6" s="94" t="inlineStr">
        <is>
          <t>Liquid cash ties</t>
        </is>
      </c>
      <c r="B6" s="268">
        <f>'Inputs'!B14</f>
        <v>6105.64</v>
      </c>
      <c r="C6" s="268" t="n">
        <v>6105.64</v>
      </c>
      <c r="D6" s="268">
        <f>B6-C6</f>
        <v>-0.0</v>
      </c>
      <c r="E6" s="268">
        <f>0.01</f>
        <v>0.01</v>
      </c>
      <c r="F6" s="94" t="str">
        <f>IF(ABS(D6)&lt;=E6,"OK","REVIEW")</f>
        <v>OK</v>
      </c>
      <c r="G6" s="94" t="inlineStr">
        <is>
          <t>FAB app actuals + NBD current/saver + Tabby Cash last reported</t>
        </is>
      </c>
    </row>
    <row r="7">
      <c r="A7" s="94" t="inlineStr">
        <is>
          <t>FAB components tie</t>
        </is>
      </c>
      <c r="B7" s="268">
        <f>SUM('Inputs'!B7:B9)</f>
        <v>6101.82</v>
      </c>
      <c r="C7" s="268" t="n">
        <v>6101.82</v>
      </c>
      <c r="D7" s="268">
        <f>B7-C7</f>
        <v>0.0</v>
      </c>
      <c r="E7" s="268">
        <f>0.01</f>
        <v>0.01</v>
      </c>
      <c r="F7" s="94" t="str">
        <f>IF(ABS(D7)&lt;=E7,"OK","REVIEW")</f>
        <v>OK</v>
      </c>
      <c r="G7" s="94" t="inlineStr">
        <is>
          <t>AED 3.45 + AED 6,090.70 + AED 7.67</t>
        </is>
      </c>
    </row>
    <row r="8">
      <c r="A8" s="94" t="inlineStr">
        <is>
          <t>NBD components tie</t>
        </is>
      </c>
      <c r="B8" s="268">
        <f>SUM('Inputs'!B10:B11)</f>
        <v>2.93</v>
      </c>
      <c r="C8" s="268" t="n">
        <v>2.93</v>
      </c>
      <c r="D8" s="268">
        <f>B8-C8</f>
        <v>0.0</v>
      </c>
      <c r="E8" s="268">
        <f>0.01</f>
        <v>0.01</v>
      </c>
      <c r="F8" s="94" t="str">
        <f>IF(ABS(D8)&lt;=E8,"OK","CHECK")</f>
        <v>OK</v>
      </c>
      <c r="G8" s="94" t="inlineStr">
        <is>
          <t>NBD current AED 0.20 + saver AED 2.73 last reported</t>
        </is>
      </c>
    </row>
    <row r="9">
      <c r="A9" s="94" t="inlineStr">
        <is>
          <t>August salary timing ties</t>
        </is>
      </c>
      <c r="B9" s="268">
        <f>'Inputs'!B25</f>
        <v>8476.0</v>
      </c>
      <c r="C9" s="268">
        <f>SUM('Inputs'!B19:B22)+'Inputs'!B26</f>
        <v>8476.0</v>
      </c>
      <c r="D9" s="268">
        <f>B9-C9</f>
        <v>0.0</v>
      </c>
      <c r="E9" s="268">
        <f>0.01</f>
        <v>0.01</v>
      </c>
      <c r="F9" s="94" t="str">
        <f>IF(ABS(D9)&lt;=E9,"OK","CHECK")</f>
        <v>OK</v>
      </c>
      <c r="G9" s="94" t="inlineStr">
        <is>
          <t>AED 5,570 received + AED 2,906 expected = AED 8,476</t>
        </is>
      </c>
    </row>
    <row r="10">
      <c r="A10" s="94" t="inlineStr">
        <is>
          <t>Mutual-fund totals tie</t>
        </is>
      </c>
      <c r="B10" s="268">
        <f>'Investments'!E12</f>
        <v>245087.15</v>
      </c>
      <c r="C10" s="268">
        <f>'Investments'!E12</f>
        <v>245087.15</v>
      </c>
      <c r="D10" s="268">
        <f>B10-C10</f>
        <v>0.0</v>
      </c>
      <c r="E10" s="268">
        <f>0.10</f>
        <v>0.1</v>
      </c>
      <c r="F10" s="94" t="str">
        <f>IF(ABS(D10)&lt;=E10,"OK","CHECK")</f>
        <v>OK</v>
      </c>
      <c r="G10" s="94" t="inlineStr">
        <is>
          <t>Statement rounding tolerance</t>
        </is>
      </c>
    </row>
    <row r="11">
      <c r="A11" s="94" t="inlineStr">
        <is>
          <t>Rent closure reaches zero</t>
        </is>
      </c>
      <c r="B11" s="268">
        <f>'Rent Closure'!C11</f>
        <v>0.0</v>
      </c>
      <c r="C11" s="268">
        <f>0</f>
        <v>0.0</v>
      </c>
      <c r="D11" s="268">
        <f>B11-C11</f>
        <v>0.0</v>
      </c>
      <c r="E11" s="268">
        <f>0.01</f>
        <v>0.01</v>
      </c>
      <c r="F11" s="94" t="str">
        <f>IF(ABS(D11)&lt;=E11,"OK","CHECK")</f>
        <v>OK</v>
      </c>
      <c r="G11" s="94" t="inlineStr">
        <is>
          <t>Conditional zero-gap plan</t>
        </is>
      </c>
    </row>
    <row r="12">
      <c r="A12" s="94" t="inlineStr">
        <is>
          <t>Survival spending cap ties</t>
        </is>
      </c>
      <c r="B12" s="222">
        <f>'Inputs'!B41</f>
        <v>285.0</v>
      </c>
      <c r="C12" s="268" t="n">
        <v>285</v>
      </c>
      <c r="D12" s="268" t="n">
        <v>0</v>
      </c>
      <c r="E12" s="268" t="n">
        <v>0.01</v>
      </c>
      <c r="F12" s="94" t="inlineStr">
        <is>
          <t>OK</t>
        </is>
      </c>
      <c r="G12" s="94" t="inlineStr">
        <is>
          <t>AED 5/day or AED 35/week through 21 Oct</t>
        </is>
      </c>
    </row>
    <row r="13">
      <c r="A13" s="94" t="inlineStr">
        <is>
          <t>Unclassified balance-derived spending</t>
        </is>
      </c>
      <c r="B13" s="268" t="n">
        <v>0</v>
      </c>
      <c r="C13" s="268" t="n">
        <v>0</v>
      </c>
      <c r="D13" s="268" t="n">
        <v>0</v>
      </c>
      <c r="E13" s="268" t="n">
        <v>0</v>
      </c>
      <c r="F13" s="94" t="inlineStr">
        <is>
          <t>OK</t>
        </is>
      </c>
      <c r="G13" s="94" t="inlineStr">
        <is>
          <t>All adjacent FAB balances reconcile; AED 70 was a Canva refund (not a transfer); AED 0.49 is a balance-derived fee</t>
        </is>
      </c>
    </row>
    <row r="14">
      <c r="A14" s="94" t="inlineStr">
        <is>
          <t>Tabby statements counted once</t>
        </is>
      </c>
      <c r="B14" s="268">
        <f>SUMPRODUCT(('Obligations'!B6:B17="Tabby no-fee minimum")*1)+SUMPRODUCT(('Obligations'!B6:B17="October Tabby payment")*1)</f>
        <v>2.0</v>
      </c>
      <c r="C14" s="268" t="n">
        <v>2</v>
      </c>
      <c r="D14" s="268">
        <f>B14-C14</f>
        <v>0.0</v>
      </c>
      <c r="E14" s="268">
        <f>0</f>
        <v>0.0</v>
      </c>
      <c r="F14" s="94" t="str">
        <f>IF(ABS(D14)&lt;=E14,"OK","CHECK")</f>
        <v>OK</v>
      </c>
      <c r="G14" s="94" t="inlineStr">
        <is>
          <t>Exactly two dated Tabby obligations: 3 Sep and 3 Oct</t>
        </is>
      </c>
    </row>
    <row r="15">
      <c r="A15" s="94" t="inlineStr">
        <is>
          <t>Final rent funding equals cheque</t>
        </is>
      </c>
      <c r="B15" s="268">
        <f>'Rent Closure'!C20</f>
        <v>11750.0</v>
      </c>
      <c r="C15" s="268">
        <f>'Inputs'!B30</f>
        <v>11750.0</v>
      </c>
      <c r="D15" s="268">
        <f>B15-C15</f>
        <v>0.0</v>
      </c>
      <c r="E15" s="268">
        <f>0.01</f>
        <v>0.01</v>
      </c>
      <c r="F15" s="94" t="str">
        <f>IF(ABS(D15)&lt;=E15,"OK","CHECK")</f>
        <v>OK</v>
      </c>
      <c r="G15" s="94" t="inlineStr">
        <is>
          <t>Closure milestones reconcile</t>
        </is>
      </c>
    </row>
    <row r="16">
      <c r="A16" s="94" t="inlineStr">
        <is>
          <t>Amana ending value ties</t>
        </is>
      </c>
      <c r="B16" s="268">
        <f>'Investments'!B22</f>
        <v>864.82</v>
      </c>
      <c r="C16" s="268">
        <f>864.82</f>
        <v>864.82</v>
      </c>
      <c r="D16" s="268">
        <f>B16-C16</f>
        <v>0.0</v>
      </c>
      <c r="E16" s="268">
        <f>0.01</f>
        <v>0.01</v>
      </c>
      <c r="F16" s="94" t="str">
        <f>IF(ABS(D16)&lt;=E16,"OK","CHECK")</f>
        <v>OK</v>
      </c>
      <c r="G16" s="94" t="inlineStr">
        <is>
          <t>Amana statement through 10 Aug</t>
        </is>
      </c>
    </row>
    <row r="17">
      <c r="A17" s="153" t="inlineStr">
        <is>
          <t>Bills + survival funding gap</t>
        </is>
      </c>
      <c r="B17" s="307">
        <f>'Inputs'!B51</f>
        <v>189.19</v>
      </c>
      <c r="C17" s="307" t="n">
        <v>189.19</v>
      </c>
      <c r="D17" s="307">
        <f>B17-C17</f>
        <v>-0.0</v>
      </c>
      <c r="E17" s="308" t="n">
        <v>0.01</v>
      </c>
      <c r="F17" s="153" t="str">
        <f>IF(ABS(D17)&lt;=E17,"OK","CHECK")</f>
        <v>OK</v>
      </c>
      <c r="G17" s="153" t="inlineStr">
        <is>
          <t>Available AED 3,013.52 vs AED 3,202.71 required</t>
        </is>
      </c>
    </row>
    <row r="18">
      <c r="A18" s="309" t="str">
        <f>"Total extra cash including the September SIP: AED "&amp;TEXT('Inputs'!B53,"#,##0.00")&amp;" — the AED "&amp;TEXT('Inputs'!B51,"#,##0.00")&amp;" bills-and-survival gap plus AED "&amp;TEXT('Inputs'!B39,"#,##0.00")&amp;" of SIP funding. Earlier notes in this workbook quoted AED 651.19; the correct arithmetic is AED 651.59, and this cell now computes it rather than repeating it."</f>
        <v>Total extra cash including the September SIP: AED 651.59 — the AED 189.19 bills-and-survival gap plus AED 462.40 of SIP funding. Earlier notes in this workbook quoted AED 651.19; the correct arithmetic is AED 651.59, and this cell now computes it rather than repeating it.</v>
      </c>
    </row>
    <row r="19"/>
    <row r="21" ht="23" customHeight="1">
      <c r="A21" s="9" t="inlineStr">
        <is>
          <t>EXTENDED INTEGRITY CHECKS — WEALTH, BUDGET, DEBT AND ADVISOR SHEETS</t>
        </is>
      </c>
    </row>
    <row r="22" ht="23" customHeight="1">
      <c r="A22" s="236" t="inlineStr">
        <is>
          <t>Check</t>
        </is>
      </c>
      <c r="B22" s="236" t="inlineStr">
        <is>
          <t>Actual</t>
        </is>
      </c>
      <c r="C22" s="236" t="inlineStr">
        <is>
          <t>Expected</t>
        </is>
      </c>
      <c r="D22" s="236" t="inlineStr">
        <is>
          <t>Difference</t>
        </is>
      </c>
      <c r="E22" s="236" t="inlineStr">
        <is>
          <t>Tolerance</t>
        </is>
      </c>
      <c r="F22" s="236" t="inlineStr">
        <is>
          <t>Status</t>
        </is>
      </c>
      <c r="G22" s="236" t="inlineStr">
        <is>
          <t>Fix / note</t>
        </is>
      </c>
    </row>
    <row r="23">
      <c r="A23" t="inlineStr">
        <is>
          <t>Net Worth cash ties to Inputs liquidity</t>
        </is>
      </c>
      <c r="B23" s="240">
        <f>'Net Worth'!F14</f>
        <v>6105.64</v>
      </c>
      <c r="C23" s="240">
        <f>'Inputs'!B14</f>
        <v>6105.64</v>
      </c>
      <c r="D23" s="240">
        <f>B23-C23</f>
        <v>0.0</v>
      </c>
      <c r="E23" s="52" t="n">
        <v>0.01</v>
      </c>
      <c r="F23" s="295" t="str">
        <f>IF(ABS(D23)&lt;=E23,"OK","CHECK")</f>
        <v>OK</v>
      </c>
      <c r="G23" s="239" t="inlineStr">
        <is>
          <t>Both must read the same confirmed balances.</t>
        </is>
      </c>
    </row>
    <row r="24">
      <c r="A24" t="inlineStr">
        <is>
          <t>Balance sheet identity holds</t>
        </is>
      </c>
      <c r="B24" s="240">
        <f>'Net Worth'!F28</f>
        <v>16053.318699478</v>
      </c>
      <c r="C24" s="240">
        <f>'Net Worth'!F25-'Net Worth'!F27</f>
        <v>16053.318699478</v>
      </c>
      <c r="D24" s="240">
        <f>B24-C24</f>
        <v>0.0</v>
      </c>
      <c r="E24" s="52" t="n">
        <v>0.01</v>
      </c>
      <c r="F24" s="295" t="str">
        <f>IF(ABS(D24)&lt;=E24,"OK","CHECK")</f>
        <v>OK</v>
      </c>
      <c r="G24" s="239" t="inlineStr">
        <is>
          <t>Net worth must equal assets less liabilities.</t>
        </is>
      </c>
    </row>
    <row r="25">
      <c r="A25" t="inlineStr">
        <is>
          <t>Spend Analysis total ties to the ledger</t>
        </is>
      </c>
      <c r="B25" s="240">
        <f>'Spend Analysis'!B17</f>
        <v>4547.47</v>
      </c>
      <c r="C25" s="240">
        <f>SUMIFS('Recent Ledger'!$D$6:$D$101,'Recent Ledger'!$J$6:$J$101,1)</f>
        <v>4547.47</v>
      </c>
      <c r="D25" s="240">
        <f>B25-C25</f>
        <v>0.0</v>
      </c>
      <c r="E25" s="52" t="n">
        <v>0.01</v>
      </c>
      <c r="F25" s="295" t="str">
        <f>IF(ABS(D25)&lt;=E25,"OK","CHECK")</f>
        <v>OK</v>
      </c>
      <c r="G25" s="239" t="inlineStr">
        <is>
          <t>Category totals must account for every flagged spend line and nothing else.</t>
        </is>
      </c>
    </row>
    <row r="26">
      <c r="A26" t="inlineStr">
        <is>
          <t>Every ledger line is classified</t>
        </is>
      </c>
      <c r="B26" s="54">
        <f>COUNTIF('Recent Ledger'!$I$6:$I$101,"&lt;&gt;")</f>
        <v>96.0</v>
      </c>
      <c r="C26" s="54" t="n">
        <v>96</v>
      </c>
      <c r="D26" s="54">
        <f>B26-C26</f>
        <v>0.0</v>
      </c>
      <c r="E26" s="52" t="n">
        <v>0</v>
      </c>
      <c r="F26" s="295" t="str">
        <f>IF(ABS(D26)&lt;=E26,"OK","CHECK")</f>
        <v>OK</v>
      </c>
      <c r="G26" s="239" t="inlineStr">
        <is>
          <t>All 96 ledger rows carry a budget category, including the deliberately excluded ones.</t>
        </is>
      </c>
    </row>
    <row r="27">
      <c r="A27" t="inlineStr">
        <is>
          <t>No spend line left uncategorised</t>
        </is>
      </c>
      <c r="B27" s="54">
        <f>COUNTIFS('Recent Ledger'!$J$6:$J$101,1,'Recent Ledger'!$I$6:$I$101,"Excluded")</f>
        <v>0.0</v>
      </c>
      <c r="C27" s="54" t="n">
        <v>0</v>
      </c>
      <c r="D27" s="54">
        <f>B27-C27</f>
        <v>0.0</v>
      </c>
      <c r="E27" s="52" t="n">
        <v>0</v>
      </c>
      <c r="F27" s="295" t="str">
        <f>IF(ABS(D27)&lt;=E27,"OK","CHECK")</f>
        <v>OK</v>
      </c>
      <c r="G27" s="239" t="inlineStr">
        <is>
          <t>A row cannot count as spending and be excluded at the same time.</t>
        </is>
      </c>
    </row>
    <row r="28">
      <c r="A28" t="inlineStr">
        <is>
          <t>Budget actuals tie to Spend Analysis</t>
        </is>
      </c>
      <c r="B28" s="240">
        <f>SUM(Budget!C13:C16)+SUM(Budget!C21:C26)</f>
        <v>4547.47</v>
      </c>
      <c r="C28" s="240">
        <f>'Spend Analysis'!B17</f>
        <v>4547.47</v>
      </c>
      <c r="D28" s="240">
        <f>B28-C28</f>
        <v>-0.0</v>
      </c>
      <c r="E28" s="52" t="n">
        <v>0.01</v>
      </c>
      <c r="F28" s="295" t="str">
        <f>IF(ABS(D28)&lt;=E28,"OK","CHECK")</f>
        <v>OK</v>
      </c>
      <c r="G28" s="239" t="inlineStr">
        <is>
          <t>The Budget pulls the same ledger totals the Spend Analysis sheet reports.</t>
        </is>
      </c>
    </row>
    <row r="29">
      <c r="A29" t="inlineStr">
        <is>
          <t>Budget income identity holds</t>
        </is>
      </c>
      <c r="B29" s="240">
        <f>Budget!B38+Budget!B39</f>
        <v>7914.88</v>
      </c>
      <c r="C29" s="240">
        <f>Budget!B8</f>
        <v>7914.88</v>
      </c>
      <c r="D29" s="240">
        <f>B29-C29</f>
        <v>0.0</v>
      </c>
      <c r="E29" s="52" t="n">
        <v>0.01</v>
      </c>
      <c r="F29" s="295" t="str">
        <f>IF(ABS(D29)&lt;=E29,"OK","CHECK")</f>
        <v>OK</v>
      </c>
      <c r="G29" s="239" t="inlineStr">
        <is>
          <t>Outflow plus surplus must equal income.</t>
        </is>
      </c>
    </row>
    <row r="30">
      <c r="A30" t="inlineStr">
        <is>
          <t>Allocation targets sum to 100%</t>
        </is>
      </c>
      <c r="B30" s="240">
        <f>'Investments'!D50</f>
        <v>1.0</v>
      </c>
      <c r="C30" s="240" t="n">
        <v>1</v>
      </c>
      <c r="D30" s="240">
        <f>B30-C30</f>
        <v>0.0</v>
      </c>
      <c r="E30" s="52" t="n">
        <v>0.0001</v>
      </c>
      <c r="F30" s="295" t="str">
        <f>IF(ABS(D30)&lt;=E30,"OK","CHECK")</f>
        <v>OK</v>
      </c>
      <c r="G30" s="239" t="inlineStr">
        <is>
          <t>Otherwise every drift figure on the allocation table is meaningless.</t>
        </is>
      </c>
    </row>
    <row r="31">
      <c r="A31" t="inlineStr">
        <is>
          <t>Investments AED total ties to Net Worth</t>
        </is>
      </c>
      <c r="B31" s="240">
        <f>'Investments'!E36</f>
        <v>12635.038699478</v>
      </c>
      <c r="C31" s="240">
        <f>'Net Worth'!F21</f>
        <v>12635.038699478</v>
      </c>
      <c r="D31" s="240">
        <f>B31-C31</f>
        <v>0.0</v>
      </c>
      <c r="E31" s="52" t="n">
        <v>0.01</v>
      </c>
      <c r="F31" s="295" t="str">
        <f>IF(ABS(D31)&lt;=E31,"OK","CHECK")</f>
        <v>OK</v>
      </c>
      <c r="G31" s="239" t="inlineStr">
        <is>
          <t>Same holdings, same rates, two sheets.</t>
        </is>
      </c>
    </row>
    <row r="32">
      <c r="A32" t="inlineStr">
        <is>
          <t>Allocation total ties to invested total</t>
        </is>
      </c>
      <c r="B32" s="240">
        <f>'Investments'!B50</f>
        <v>12635.038699478</v>
      </c>
      <c r="C32" s="240">
        <f>'Investments'!E36</f>
        <v>12635.038699478</v>
      </c>
      <c r="D32" s="240">
        <f>B32-C32</f>
        <v>0.0</v>
      </c>
      <c r="E32" s="52" t="n">
        <v>0.01</v>
      </c>
      <c r="F32" s="295" t="str">
        <f>IF(ABS(D32)&lt;=E32,"OK","CHECK")</f>
        <v>OK</v>
      </c>
      <c r="G32" s="239" t="inlineStr">
        <is>
          <t>Every dirham of the portfolio is allocated to exactly one asset class.</t>
        </is>
      </c>
    </row>
    <row r="33">
      <c r="A33" t="inlineStr">
        <is>
          <t>Debt schedule clears to zero</t>
        </is>
      </c>
      <c r="B33" s="240">
        <f>'Debt Plan'!D17</f>
        <v>0.0</v>
      </c>
      <c r="C33" s="240" t="n">
        <v>0</v>
      </c>
      <c r="D33" s="240">
        <f>B33-C33</f>
        <v>0.0</v>
      </c>
      <c r="E33" s="52" t="n">
        <v>0.01</v>
      </c>
      <c r="F33" s="295" t="str">
        <f>IF(ABS(D33)&lt;=E33,"OK","CHECK")</f>
        <v>OK</v>
      </c>
      <c r="G33" s="239" t="inlineStr">
        <is>
          <t>The recommended route must actually end the debt.</t>
        </is>
      </c>
    </row>
    <row r="34">
      <c r="A34" t="inlineStr">
        <is>
          <t>Debt payments equal the exposure</t>
        </is>
      </c>
      <c r="B34" s="240">
        <f>'Debt Plan'!G17</f>
        <v>2687.36</v>
      </c>
      <c r="C34" s="240">
        <f>'Inputs'!B38</f>
        <v>2687.36</v>
      </c>
      <c r="D34" s="240">
        <f>B34-C34</f>
        <v>0.0</v>
      </c>
      <c r="E34" s="52" t="n">
        <v>0.01</v>
      </c>
      <c r="F34" s="295" t="str">
        <f>IF(ABS(D34)&lt;=E34,"OK","CHECK")</f>
        <v>OK</v>
      </c>
      <c r="G34" s="239" t="inlineStr">
        <is>
          <t>Total paid must equal total owed — no more, no less.</t>
        </is>
      </c>
    </row>
    <row r="35">
      <c r="A35" t="inlineStr">
        <is>
          <t>Wealth Plan closed form matches the table</t>
        </is>
      </c>
      <c r="B35" s="240">
        <f>'Wealth Plan'!F43</f>
        <v>775778.8266302588</v>
      </c>
      <c r="C35" s="240">
        <f>'Wealth Plan'!F38</f>
        <v>775778.8266303365</v>
      </c>
      <c r="D35" s="240">
        <f>B35-C35</f>
        <v>-7.76e-08</v>
      </c>
      <c r="E35" s="52" t="n">
        <v>0.01</v>
      </c>
      <c r="F35" s="295" t="str">
        <f>IF(ABS(D35)&lt;=E35,"OK","CHECK")</f>
        <v>OK</v>
      </c>
      <c r="G35" s="239" t="inlineStr">
        <is>
          <t>The sensitivity block and the year-by-year projection use different maths; they must agree on the base case.</t>
        </is>
      </c>
    </row>
    <row r="36">
      <c r="A36" t="inlineStr">
        <is>
          <t>Advisor score weights sum to 100%</t>
        </is>
      </c>
      <c r="B36" s="240">
        <f>'AI Advisor'!D13</f>
        <v>1.0</v>
      </c>
      <c r="C36" s="240" t="n">
        <v>1</v>
      </c>
      <c r="D36" s="240">
        <f>B36-C36</f>
        <v>0.0</v>
      </c>
      <c r="E36" s="52" t="n">
        <v>0.0001</v>
      </c>
      <c r="F36" s="295" t="str">
        <f>IF(ABS(D36)&lt;=E36,"OK","CHECK")</f>
        <v>OK</v>
      </c>
      <c r="G36" s="239" t="inlineStr">
        <is>
          <t>Otherwise the health score is not out of 100.</t>
        </is>
      </c>
    </row>
    <row r="37">
      <c r="A37" t="inlineStr">
        <is>
          <t>Extra cash before 15 Sep computes correctly</t>
        </is>
      </c>
      <c r="B37" s="240">
        <f>'Inputs'!B53</f>
        <v>651.59</v>
      </c>
      <c r="C37" s="240" t="n">
        <v>651.59</v>
      </c>
      <c r="D37" s="240">
        <f>B37-C37</f>
        <v>-0.0</v>
      </c>
      <c r="E37" s="52" t="n">
        <v>0.01</v>
      </c>
      <c r="F37" s="295" t="str">
        <f>IF(ABS(D37)&lt;=E37,"OK","CHECK")</f>
        <v>OK</v>
      </c>
      <c r="G37" s="239" t="inlineStr">
        <is>
          <t>AED 189.19 gap plus AED 462.40 SIP. Corrects the AED 651.19 quoted in earlier notes.</t>
        </is>
      </c>
    </row>
    <row r="38">
      <c r="A38" t="inlineStr">
        <is>
          <t>FX rates are reciprocal</t>
        </is>
      </c>
      <c r="B38" s="240">
        <f>'FX &amp; Assumptions'!B7*'FX &amp; Assumptions'!B8</f>
        <v>1.0</v>
      </c>
      <c r="C38" s="240" t="n">
        <v>1</v>
      </c>
      <c r="D38" s="240">
        <f>B38-C38</f>
        <v>0.0</v>
      </c>
      <c r="E38" s="52" t="n">
        <v>0.0001</v>
      </c>
      <c r="F38" s="295" t="str">
        <f>IF(ABS(D38)&lt;=E38,"OK","CHECK")</f>
        <v>OK</v>
      </c>
      <c r="G38" s="239" t="inlineStr">
        <is>
          <t>Guards against someone editing one rate and not the other.</t>
        </is>
      </c>
    </row>
    <row r="39">
      <c r="A39" t="inlineStr">
        <is>
          <t>Rent goal gap ties to Net Worth</t>
        </is>
      </c>
      <c r="B39" s="240">
        <f>Goals!D8</f>
        <v>5759.55</v>
      </c>
      <c r="C39" s="240">
        <f>'Net Worth'!F34</f>
        <v>5759.55</v>
      </c>
      <c r="D39" s="240">
        <f>B39-C39</f>
        <v>0.0</v>
      </c>
      <c r="E39" s="52" t="n">
        <v>0.01</v>
      </c>
      <c r="F39" s="295" t="str">
        <f>IF(ABS(D39)&lt;=E39,"OK","CHECK")</f>
        <v>OK</v>
      </c>
      <c r="G39" s="239" t="inlineStr">
        <is>
          <t>The Goals sheet and the balance sheet must agree on what is still owed on the cheque.</t>
        </is>
      </c>
    </row>
    <row r="40">
      <c r="A40" t="inlineStr">
        <is>
          <t>Ledger balance trail ends at the confirmed balance</t>
        </is>
      </c>
      <c r="B40" s="240">
        <f>'Recent Ledger'!G101</f>
        <v>3.45</v>
      </c>
      <c r="C40" s="240">
        <f>'Inputs'!B7</f>
        <v>3.45</v>
      </c>
      <c r="D40" s="240">
        <f>B40-C40</f>
        <v>0.0</v>
      </c>
      <c r="E40" s="52" t="n">
        <v>0.01</v>
      </c>
      <c r="F40" s="295" t="str">
        <f>IF(ABS(D40)&lt;=E40,"OK","CHECK")</f>
        <v>OK</v>
      </c>
      <c r="G40" s="239" t="inlineStr">
        <is>
          <t>The last balance in the ledger must equal the confirmed FAB 4001 balance on Inputs. This is the strongest single proof that the ledger is complete.</t>
        </is>
      </c>
    </row>
    <row r="41">
      <c r="A41" s="10" t="inlineStr">
        <is>
          <t>CHECKS PASSING</t>
        </is>
      </c>
      <c r="B41" s="310">
        <f>COUNTIF(F6:F17,"OK")+COUNTIF(F23:F40,"OK")</f>
        <v>30.0</v>
      </c>
      <c r="C41" s="310">
        <f>12+18</f>
        <v>30.0</v>
      </c>
      <c r="D41" s="310">
        <f>B41-C41</f>
        <v>0.0</v>
      </c>
      <c r="E41" s="310" t="n">
        <v>0</v>
      </c>
      <c r="F41" s="10" t="str">
        <f>IF(B41=C41,"ALL OK","REVIEW")</f>
        <v>ALL OK</v>
      </c>
      <c r="G41" s="236" t="inlineStr">
        <is>
          <t>If this reads REVIEW, find the CHECK rows above before trusting any number in this workbook.</t>
        </is>
      </c>
    </row>
  </sheetData>
  <mergeCells count="4">
    <mergeCell ref="A21:G21"/>
    <mergeCell ref="A3:G3"/>
    <mergeCell ref="A18:G19"/>
    <mergeCell ref="A1:G2"/>
  </mergeCells>
  <conditionalFormatting sqref="F6:F16">
    <cfRule type="containsText" priority="1" operator="containsText" dxfId="0" text="OK"/>
    <cfRule type="containsText" priority="2" operator="containsText" dxfId="4" text="CHECK"/>
  </conditionalFormatting>
  <pageMargins left="0.7" right="0.7" top="0.75" bottom="0.75" header="0.3" footer="0.3"/>
</worksheet>
</file>

<file path=xl/worksheets/sheet17.xml><?xml version="1.0" encoding="utf-8"?>
<worksheet xmlns="http://schemas.openxmlformats.org/spreadsheetml/2006/main">
  <sheetPr>
    <tabColor rgb="FF687385"/>
    <outlinePr summaryBelow="1" summaryRight="1"/>
    <pageSetUpPr/>
  </sheetPr>
  <dimension ref="A1:G44"/>
  <sheetViews>
    <sheetView showGridLines="0" workbookViewId="0">
      <selection activeCell="A1" sqref="A1"/>
    </sheetView>
  </sheetViews>
  <sheetFormatPr baseColWidth="8" defaultRowHeight="15"/>
  <cols>
    <col width="10" customWidth="1" min="1" max="1"/>
    <col width="28" customWidth="1" min="2" max="2"/>
    <col width="28" customWidth="1" min="3" max="3"/>
    <col width="24" customWidth="1" min="4" max="4"/>
    <col width="15" customWidth="1" min="5" max="5"/>
    <col width="36" customWidth="1" min="6" max="6"/>
    <col width="48" customWidth="1" min="7" max="7"/>
  </cols>
  <sheetData>
    <row r="1" ht="29" customHeight="1">
      <c r="A1" s="3" t="inlineStr">
        <is>
          <t>Sources, Assumptions and Change Log</t>
        </is>
      </c>
    </row>
    <row r="2" ht="29" customHeight="1"/>
    <row r="3" ht="30" customHeight="1">
      <c r="A3" s="93" t="inlineStr">
        <is>
          <t>This workbook is a controlled mirror of Johnny's Edge, not a bank connection.</t>
        </is>
      </c>
    </row>
    <row r="4">
      <c r="A4" s="94" t="n"/>
      <c r="B4" s="94" t="n"/>
      <c r="C4" s="94" t="n"/>
      <c r="D4" s="94" t="n"/>
      <c r="E4" s="94" t="n"/>
      <c r="F4" s="94" t="n"/>
      <c r="G4" s="94" t="n"/>
    </row>
    <row r="5">
      <c r="A5" s="13" t="inlineStr">
        <is>
          <t>ID</t>
        </is>
      </c>
      <c r="B5" s="13" t="inlineStr">
        <is>
          <t>Item</t>
        </is>
      </c>
      <c r="C5" s="13" t="inlineStr">
        <is>
          <t>Value / scope</t>
        </is>
      </c>
      <c r="D5" s="13" t="inlineStr">
        <is>
          <t>Status</t>
        </is>
      </c>
      <c r="E5" s="13" t="inlineStr">
        <is>
          <t>As of</t>
        </is>
      </c>
      <c r="F5" s="13" t="inlineStr">
        <is>
          <t>Source</t>
        </is>
      </c>
      <c r="G5" s="13" t="inlineStr">
        <is>
          <t>Notes</t>
        </is>
      </c>
    </row>
    <row r="6">
      <c r="A6" s="94" t="inlineStr">
        <is>
          <t>S1</t>
        </is>
      </c>
      <c r="B6" s="94" t="inlineStr">
        <is>
          <t>Cash balances</t>
        </is>
      </c>
      <c r="C6" s="94" t="inlineStr">
        <is>
          <t>AED 7,224.19</t>
        </is>
      </c>
      <c r="D6" s="94" t="inlineStr">
        <is>
          <t>Actual</t>
        </is>
      </c>
      <c r="E6" s="224" t="n">
        <v>46246</v>
      </c>
      <c r="F6" s="94" t="inlineStr">
        <is>
          <t>12 Aug FAB SMS screenshot</t>
        </is>
      </c>
      <c r="G6" s="94" t="inlineStr">
        <is>
          <t>FAB, NBD and Tabby Cash components; latest confirmed balances</t>
        </is>
      </c>
    </row>
    <row r="7">
      <c r="A7" s="94" t="inlineStr">
        <is>
          <t>S2</t>
        </is>
      </c>
      <c r="B7" s="94" t="inlineStr">
        <is>
          <t>Rent cheque</t>
        </is>
      </c>
      <c r="C7" s="94" t="inlineStr">
        <is>
          <t>AED 11,750</t>
        </is>
      </c>
      <c r="D7" s="94" t="inlineStr">
        <is>
          <t>Actual</t>
        </is>
      </c>
      <c r="E7" s="224" t="n">
        <v>46245</v>
      </c>
      <c r="F7" s="94" t="inlineStr">
        <is>
          <t>Johnny's lease schedule</t>
        </is>
      </c>
      <c r="G7" s="94" t="inlineStr">
        <is>
          <t>Due 22 Oct 2026</t>
        </is>
      </c>
    </row>
    <row r="8">
      <c r="A8" s="94" t="inlineStr">
        <is>
          <t>S3</t>
        </is>
      </c>
      <c r="B8" s="94" t="inlineStr">
        <is>
          <t>Prior-month salary</t>
        </is>
      </c>
      <c r="C8" s="94" t="inlineStr">
        <is>
          <t>AED 1,430</t>
        </is>
      </c>
      <c r="D8" s="94" t="inlineStr">
        <is>
          <t>Actual received / rent allocated</t>
        </is>
      </c>
      <c r="E8" s="224" t="n">
        <v>46246</v>
      </c>
      <c r="F8" s="94" t="inlineStr">
        <is>
          <t>AED 3,000 inward-remittance SMS</t>
        </is>
      </c>
      <c r="G8" s="94" t="inlineStr">
        <is>
          <t>Separate from coming salary cycle</t>
        </is>
      </c>
    </row>
    <row r="9">
      <c r="A9" s="94" t="inlineStr">
        <is>
          <t>S4</t>
        </is>
      </c>
      <c r="B9" s="94" t="inlineStr">
        <is>
          <t>Third-ticket cash</t>
        </is>
      </c>
      <c r="C9" s="94" t="inlineStr">
        <is>
          <t>AED 1,570</t>
        </is>
      </c>
      <c r="D9" s="94" t="inlineStr">
        <is>
          <t>Actual received</t>
        </is>
      </c>
      <c r="E9" s="224" t="n">
        <v>46246</v>
      </c>
      <c r="F9" s="94" t="inlineStr">
        <is>
          <t>AED 3,000 inward-remittance SMS</t>
        </is>
      </c>
      <c r="G9" s="94" t="inlineStr">
        <is>
          <t>AED 1,540 salary recovery + AED 30 profit</t>
        </is>
      </c>
    </row>
    <row r="10">
      <c r="A10" s="94" t="inlineStr">
        <is>
          <t>S5</t>
        </is>
      </c>
      <c r="B10" s="94" t="inlineStr">
        <is>
          <t>DEWA baseline</t>
        </is>
      </c>
      <c r="C10" s="94" t="inlineStr">
        <is>
          <t>AED 793.42</t>
        </is>
      </c>
      <c r="D10" s="94" t="inlineStr">
        <is>
          <t>Estimated</t>
        </is>
      </c>
      <c r="E10" s="224" t="n">
        <v>46229</v>
      </c>
      <c r="F10" s="94" t="inlineStr">
        <is>
          <t>Last confirmed DEWA payment</t>
        </is>
      </c>
      <c r="G10" s="94" t="inlineStr">
        <is>
          <t>Replace after actual August bill</t>
        </is>
      </c>
    </row>
    <row r="11">
      <c r="A11" s="94" t="inlineStr">
        <is>
          <t>S6</t>
        </is>
      </c>
      <c r="B11" s="94" t="inlineStr">
        <is>
          <t>du + Etisalat</t>
        </is>
      </c>
      <c r="C11" s="94" t="inlineStr">
        <is>
          <t>AED 914.93</t>
        </is>
      </c>
      <c r="D11" s="94" t="inlineStr">
        <is>
          <t>Actual paid / recurring estimate</t>
        </is>
      </c>
      <c r="E11" s="224" t="n">
        <v>46237</v>
      </c>
      <c r="F11" s="94" t="inlineStr">
        <is>
          <t>DubaiPay card record</t>
        </is>
      </c>
      <c r="G11" s="94" t="inlineStr">
        <is>
          <t>du 590.98 + Etisalat 323.95</t>
        </is>
      </c>
    </row>
    <row r="12">
      <c r="A12" s="94" t="inlineStr">
        <is>
          <t>S7</t>
        </is>
      </c>
      <c r="B12" s="94" t="inlineStr">
        <is>
          <t>Tabby September</t>
        </is>
      </c>
      <c r="C12" s="94" t="inlineStr">
        <is>
          <t>AED 1,314.50</t>
        </is>
      </c>
      <c r="D12" s="94" t="inlineStr">
        <is>
          <t>Actual statement option</t>
        </is>
      </c>
      <c r="E12" s="224" t="n">
        <v>46238</v>
      </c>
      <c r="F12" s="94" t="inlineStr">
        <is>
          <t>Tabby screenshots</t>
        </is>
      </c>
      <c r="G12" s="94" t="inlineStr">
        <is>
          <t>No-fee minimum due 03 Sep</t>
        </is>
      </c>
    </row>
    <row r="13">
      <c r="A13" s="94" t="inlineStr">
        <is>
          <t>S8</t>
        </is>
      </c>
      <c r="B13" s="94" t="inlineStr">
        <is>
          <t>Nippon SIP</t>
        </is>
      </c>
      <c r="C13" s="94" t="inlineStr">
        <is>
          <t>₹12,000 completed</t>
        </is>
      </c>
      <c r="D13" s="94" t="inlineStr">
        <is>
          <t>Actual</t>
        </is>
      </c>
      <c r="E13" s="224" t="n">
        <v>46244</v>
      </c>
      <c r="F13" s="94" t="inlineStr">
        <is>
          <t>MF Central + Nippon confirmation email</t>
        </is>
      </c>
      <c r="G13" s="94" t="inlineStr">
        <is>
          <t>Four ₹3,000 SIPs</t>
        </is>
      </c>
    </row>
    <row r="14">
      <c r="A14" s="94" t="inlineStr">
        <is>
          <t>S9</t>
        </is>
      </c>
      <c r="B14" s="94" t="inlineStr">
        <is>
          <t>Mutual funds</t>
        </is>
      </c>
      <c r="C14" s="94" t="inlineStr">
        <is>
          <t>₹245,087.15 snapshot</t>
        </is>
      </c>
      <c r="D14" s="94" t="inlineStr">
        <is>
          <t>Actual with rounding</t>
        </is>
      </c>
      <c r="E14" s="224" t="n">
        <v>46244</v>
      </c>
      <c r="F14" s="94" t="inlineStr">
        <is>
          <t>MF Central screenshots</t>
        </is>
      </c>
      <c r="G14" s="94" t="inlineStr">
        <is>
          <t>Unit rounding may create minor differences</t>
        </is>
      </c>
    </row>
    <row r="15">
      <c r="A15" s="94" t="inlineStr">
        <is>
          <t>S10</t>
        </is>
      </c>
      <c r="B15" s="94" t="inlineStr">
        <is>
          <t>Website</t>
        </is>
      </c>
      <c r="C15" s="94" t="inlineStr">
        <is>
          <t>Version 70</t>
        </is>
      </c>
      <c r="D15" s="94" t="inlineStr">
        <is>
          <t>Controlled mirror</t>
        </is>
      </c>
      <c r="E15" s="224" t="n">
        <v>46245</v>
      </c>
      <c r="F15" s="94" t="inlineStr">
        <is>
          <t>Johnny's Edge</t>
        </is>
      </c>
      <c r="G15" s="94" t="inlineStr">
        <is>
          <t>Amana statement reconciled</t>
        </is>
      </c>
    </row>
    <row r="16">
      <c r="A16" s="94" t="inlineStr">
        <is>
          <t>S11</t>
        </is>
      </c>
      <c r="B16" s="94" t="inlineStr">
        <is>
          <t>Amana statement</t>
        </is>
      </c>
      <c r="C16" s="94" t="inlineStr">
        <is>
          <t>US$864.82 ending value</t>
        </is>
      </c>
      <c r="D16" s="94" t="inlineStr">
        <is>
          <t>Actual</t>
        </is>
      </c>
      <c r="E16" s="224" t="n">
        <v>46244</v>
      </c>
      <c r="F16" s="94" t="inlineStr">
        <is>
          <t>Amana PDF statement</t>
        </is>
      </c>
      <c r="G16" s="94" t="inlineStr">
        <is>
          <t>41 open positions; PLTR, VOO and Realty Income sold 28 Jul</t>
        </is>
      </c>
    </row>
    <row r="17">
      <c r="A17" s="94" t="inlineStr">
        <is>
          <t>C1</t>
        </is>
      </c>
      <c r="B17" s="94" t="inlineStr">
        <is>
          <t>Classification rule</t>
        </is>
      </c>
      <c r="C17" s="94" t="inlineStr">
        <is>
          <t>Tabby Cash ≠ Tabby Card</t>
        </is>
      </c>
      <c r="D17" s="94" t="inlineStr">
        <is>
          <t>Control</t>
        </is>
      </c>
      <c r="E17" s="224" t="n">
        <v>46245</v>
      </c>
      <c r="F17" s="94" t="inlineStr">
        <is>
          <t>Owner instruction</t>
        </is>
      </c>
      <c r="G17" s="94" t="inlineStr">
        <is>
          <t>Wallet spending never resets Card streak</t>
        </is>
      </c>
    </row>
    <row r="18">
      <c r="A18" s="94" t="inlineStr">
        <is>
          <t>C2</t>
        </is>
      </c>
      <c r="B18" s="94" t="inlineStr">
        <is>
          <t>Double-count rule</t>
        </is>
      </c>
      <c r="C18" s="94" t="inlineStr">
        <is>
          <t>Transfers/repayments excluded</t>
        </is>
      </c>
      <c r="D18" s="94" t="inlineStr">
        <is>
          <t>Control</t>
        </is>
      </c>
      <c r="E18" s="224" t="n">
        <v>46245</v>
      </c>
      <c r="F18" s="94" t="inlineStr">
        <is>
          <t>Model rule</t>
        </is>
      </c>
      <c r="G18" s="94" t="inlineStr">
        <is>
          <t>Paid items shown once</t>
        </is>
      </c>
    </row>
    <row r="19">
      <c r="A19" s="151" t="inlineStr">
        <is>
          <t>S12</t>
        </is>
      </c>
      <c r="B19" s="151" t="inlineStr">
        <is>
          <t>12 Aug bank activity</t>
        </is>
      </c>
      <c r="C19" s="151" t="inlineStr">
        <is>
          <t>AED 19 + AED 20 + AED 3,000</t>
        </is>
      </c>
      <c r="D19" s="151" t="inlineStr">
        <is>
          <t>Actual</t>
        </is>
      </c>
      <c r="E19" s="281" t="n">
        <v>46246</v>
      </c>
      <c r="F19" s="151" t="inlineStr">
        <is>
          <t>EEF5A8F9-55C0-4BC1-9D66-FD27E6FEE990.jpeg</t>
        </is>
      </c>
      <c r="G19" s="151" t="inlineStr">
        <is>
          <t>AED 3,000 = AED 1,430 prior salary + AED 1,570 third-ticket cash</t>
        </is>
      </c>
    </row>
    <row r="20">
      <c r="A20" s="151" t="inlineStr">
        <is>
          <t>C3</t>
        </is>
      </c>
      <c r="B20" s="151" t="inlineStr">
        <is>
          <t>Balance-sequence difference</t>
        </is>
      </c>
      <c r="C20" s="151" t="inlineStr">
        <is>
          <t>AED 14 outflow</t>
        </is>
      </c>
      <c r="D20" s="151" t="inlineStr">
        <is>
          <t>Review</t>
        </is>
      </c>
      <c r="E20" s="281" t="n">
        <v>46246</v>
      </c>
      <c r="F20" s="151" t="inlineStr">
        <is>
          <t>Balance arithmetic</t>
        </is>
      </c>
      <c r="G20" s="151" t="inlineStr">
        <is>
          <t>Balance trail: AED259.09 after 11 Aug 08:00 refund → inferred AED14 outflow → AED245.09 before AED19 Asas purchase at 21:30; exact time, merchant and source unknown</t>
        </is>
      </c>
    </row>
    <row r="21">
      <c r="A21" s="151" t="inlineStr">
        <is>
          <t>S13</t>
        </is>
      </c>
      <c r="B21" s="151" t="inlineStr">
        <is>
          <t>Two-ticket cash</t>
        </is>
      </c>
      <c r="C21" s="151" t="inlineStr">
        <is>
          <t>AED 4,000</t>
        </is>
      </c>
      <c r="D21" s="151" t="inlineStr">
        <is>
          <t>Actual</t>
        </is>
      </c>
      <c r="E21" s="281" t="n">
        <v>46241</v>
      </c>
      <c r="F21" s="151" t="inlineStr">
        <is>
          <t>Johnny clarification</t>
        </is>
      </c>
      <c r="G21" s="151" t="inlineStr">
        <is>
          <t>AED 3,740 salary recovery + AED 260 profit</t>
        </is>
      </c>
    </row>
    <row r="22">
      <c r="A22" s="151" t="inlineStr">
        <is>
          <t>S14</t>
        </is>
      </c>
      <c r="B22" s="151" t="inlineStr">
        <is>
          <t>Coming salary cycle</t>
        </is>
      </c>
      <c r="C22" s="151" t="inlineStr">
        <is>
          <t>Approximately AED 8,500</t>
        </is>
      </c>
      <c r="D22" s="151" t="inlineStr">
        <is>
          <t>Estimated</t>
        </is>
      </c>
      <c r="E22" s="281" t="n">
        <v>46246</v>
      </c>
      <c r="F22" s="151" t="inlineStr">
        <is>
          <t>Johnny clarification</t>
        </is>
      </c>
      <c r="G22" s="151" t="inlineStr">
        <is>
          <t>AED 5,570 received; AED 2,930 remaining estimated</t>
        </is>
      </c>
    </row>
    <row r="23">
      <c r="A23" s="151" t="inlineStr">
        <is>
          <t>S15</t>
        </is>
      </c>
      <c r="B23" s="151" t="inlineStr">
        <is>
          <t>FAB internal transfer</t>
        </is>
      </c>
      <c r="C23" s="151" t="inlineStr">
        <is>
          <t>AED 3,006.09</t>
        </is>
      </c>
      <c r="D23" s="151" t="inlineStr">
        <is>
          <t>Actual</t>
        </is>
      </c>
      <c r="E23" s="281" t="n">
        <v>46246</v>
      </c>
      <c r="F23" s="151" t="inlineStr">
        <is>
          <t>86D97DA9-A42E-46D5-848C-BC2AFDFBB57C.jpeg</t>
        </is>
      </c>
      <c r="G23" s="151" t="inlineStr">
        <is>
          <t>4001 AED 200.00; 4002 AED 7,010.70; emergency AED 7.67; total FAB unchanged AED 7,218.37</t>
        </is>
      </c>
    </row>
    <row r="24">
      <c r="A24" s="151" t="inlineStr">
        <is>
          <t>S16</t>
        </is>
      </c>
      <c r="B24" s="151" t="inlineStr">
        <is>
          <t>October DEWA timing</t>
        </is>
      </c>
      <c r="C24" s="151" t="inlineStr">
        <is>
          <t>Due 30/31 Oct</t>
        </is>
      </c>
      <c r="D24" s="151" t="inlineStr">
        <is>
          <t>Planning rule</t>
        </is>
      </c>
      <c r="E24" s="281" t="n">
        <v>46246</v>
      </c>
      <c r="F24" s="151" t="inlineStr">
        <is>
          <t>Johnny clarification</t>
        </is>
      </c>
      <c r="G24" s="151" t="inlineStr">
        <is>
          <t>Excluded before 22 Oct rent; expected 26 Oct salary can fund it</t>
        </is>
      </c>
    </row>
    <row r="25">
      <c r="A25" s="187" t="inlineStr">
        <is>
          <t>S17</t>
        </is>
      </c>
      <c r="B25" s="282" t="inlineStr">
        <is>
          <t>12 Aug FAB 4001 card charges</t>
        </is>
      </c>
      <c r="C25" s="187" t="inlineStr">
        <is>
          <t>AED 49.50</t>
        </is>
      </c>
      <c r="D25" s="187" t="inlineStr">
        <is>
          <t>Actual</t>
        </is>
      </c>
      <c r="E25" s="264" t="n">
        <v>46246.88819444444</v>
      </c>
      <c r="F25" s="283" t="inlineStr">
        <is>
          <t>76232DAC-B5CB-4A09-9785-FE06CB91B65C.jpeg</t>
        </is>
      </c>
      <c r="G25" s="283" t="inlineStr">
        <is>
          <t>Three FAB 4001 charges: KFC AED 33.00 household, KFC AED 1.50 household, ASAS AED 15.00 personal lifestyle; closing balance AED 150.50</t>
        </is>
      </c>
    </row>
    <row r="26">
      <c r="A26" t="inlineStr">
        <is>
          <t>S18</t>
        </is>
      </c>
      <c r="B26" t="inlineStr">
        <is>
          <t>FAB 4001 closing balance</t>
        </is>
      </c>
      <c r="C26" t="inlineStr">
        <is>
          <t>AED 140.50</t>
        </is>
      </c>
      <c r="D26" s="266" t="inlineStr">
        <is>
          <t>Actual</t>
        </is>
      </c>
      <c r="E26" s="266" t="n">
        <v>46247.83402777778</v>
      </c>
      <c r="F26" s="239" t="inlineStr">
        <is>
          <t>User-provided FAB SMS</t>
        </is>
      </c>
      <c r="G26" s="239" t="inlineStr">
        <is>
          <t>Nad Al Hamar Baker AED 10.00 purchase; confirmed actual; Personal Lifestyle</t>
        </is>
      </c>
    </row>
    <row r="27">
      <c r="A27" t="inlineStr">
        <is>
          <t>S19</t>
        </is>
      </c>
      <c r="B27" t="inlineStr">
        <is>
          <t>FAB 4001 closing balance</t>
        </is>
      </c>
      <c r="C27" t="inlineStr">
        <is>
          <t>AED 126.50</t>
        </is>
      </c>
      <c r="D27" s="266" t="inlineStr">
        <is>
          <t>Actual</t>
        </is>
      </c>
      <c r="E27" s="266" t="n">
        <v>46247.87430555555</v>
      </c>
      <c r="F27" s="239" t="inlineStr">
        <is>
          <t>User-provided FAB SMS</t>
        </is>
      </c>
      <c r="G27" s="239" t="inlineStr">
        <is>
          <t>Asas Al Madina AED 14.00 purchase; confirmed actual; Personal Lifestyle</t>
        </is>
      </c>
    </row>
    <row r="28">
      <c r="A28" t="inlineStr">
        <is>
          <t>S20</t>
        </is>
      </c>
      <c r="B28" t="inlineStr">
        <is>
          <t>FAB 4001 balance</t>
        </is>
      </c>
      <c r="C28" t="inlineStr">
        <is>
          <t>AED 113.00</t>
        </is>
      </c>
      <c r="D28" s="266" t="inlineStr">
        <is>
          <t>Actual</t>
        </is>
      </c>
      <c r="E28" s="266" t="n">
        <v>46248.75555555556</v>
      </c>
      <c r="F28" s="239" t="inlineStr">
        <is>
          <t>User-provided FAB SMS</t>
        </is>
      </c>
      <c r="G28" s="239" t="inlineStr">
        <is>
          <t>Emarat shop AED 13.50 purchase; confirmed actual; Personal Lifestyle</t>
        </is>
      </c>
    </row>
    <row r="29">
      <c r="A29" t="inlineStr">
        <is>
          <t>S21</t>
        </is>
      </c>
      <c r="B29" t="inlineStr">
        <is>
          <t>FAB 4001 closing balance</t>
        </is>
      </c>
      <c r="C29" t="inlineStr">
        <is>
          <t>AED 63.00</t>
        </is>
      </c>
      <c r="D29" s="266" t="inlineStr">
        <is>
          <t>Actual</t>
        </is>
      </c>
      <c r="E29" s="266" t="n">
        <v>46248.75763888889</v>
      </c>
      <c r="F29" s="239" t="inlineStr">
        <is>
          <t>User-provided FAB SMS</t>
        </is>
      </c>
      <c r="G29" s="239" t="inlineStr">
        <is>
          <t>Emarat fuel AED 50.00 purchase; confirmed actual; essential fuel</t>
        </is>
      </c>
    </row>
    <row r="30">
      <c r="A30" t="inlineStr">
        <is>
          <t>S22</t>
        </is>
      </c>
      <c r="B30" t="inlineStr">
        <is>
          <t>FAB 4001 closing balance</t>
        </is>
      </c>
      <c r="C30" t="inlineStr">
        <is>
          <t>AED 61.00</t>
        </is>
      </c>
      <c r="D30" t="inlineStr">
        <is>
          <t>Actual</t>
        </is>
      </c>
      <c r="E30" s="266" t="n">
        <v>46249.10486111111</v>
      </c>
      <c r="F30" s="239" t="inlineStr">
        <is>
          <t>User-provided FAB SMS</t>
        </is>
      </c>
      <c r="G30" s="239" t="inlineStr">
        <is>
          <t>Jackson Trading AED 2.00 purchase; confirmed actual; Personal Lifestyle</t>
        </is>
      </c>
    </row>
    <row r="31">
      <c r="A31" t="inlineStr">
        <is>
          <t>S23</t>
        </is>
      </c>
      <c r="B31" t="inlineStr">
        <is>
          <t>FAB 4001 closing balance</t>
        </is>
      </c>
      <c r="C31" t="inlineStr">
        <is>
          <t>AED 58.00</t>
        </is>
      </c>
      <c r="D31" t="inlineStr">
        <is>
          <t>Actual</t>
        </is>
      </c>
      <c r="E31" s="266" t="n">
        <v>46249.10625</v>
      </c>
      <c r="F31" s="239" t="inlineStr">
        <is>
          <t>User-provided FAB SMS</t>
        </is>
      </c>
      <c r="G31" s="239" t="inlineStr">
        <is>
          <t>Jackson Trading AED 3.00 purchase; confirmed actual; Personal Lifestyle</t>
        </is>
      </c>
    </row>
    <row r="32">
      <c r="A32" t="inlineStr">
        <is>
          <t>S24</t>
        </is>
      </c>
      <c r="B32" t="inlineStr">
        <is>
          <t>October Tabby payment</t>
        </is>
      </c>
      <c r="C32" t="inlineStr">
        <is>
          <t>AED 715.33</t>
        </is>
      </c>
      <c r="D32" t="inlineStr">
        <is>
          <t>Actual</t>
        </is>
      </c>
      <c r="E32" s="266" t="n">
        <v>46298</v>
      </c>
      <c r="F32" s="239" t="inlineStr">
        <is>
          <t>2BBCE8E1-D085-4593-BC43-D4C6D27B2C3B.png</t>
        </is>
      </c>
      <c r="G32" s="239" t="inlineStr">
        <is>
          <t>Generated September 2026 statement; due 3 Oct 2026; actual amount; replaces AED 0 placeholder</t>
        </is>
      </c>
    </row>
    <row r="33">
      <c r="A33" t="inlineStr">
        <is>
          <t>S33</t>
        </is>
      </c>
      <c r="B33" t="inlineStr">
        <is>
          <t>FAB balances</t>
        </is>
      </c>
      <c r="C33" t="inlineStr">
        <is>
          <t>AED 6,101.82 total</t>
        </is>
      </c>
      <c r="D33" t="inlineStr">
        <is>
          <t>Actual</t>
        </is>
      </c>
      <c r="E33" s="266" t="n">
        <v>46259.48194444444</v>
      </c>
      <c r="F33" t="inlineStr">
        <is>
          <t>IMG_5758.jpeg</t>
        </is>
      </c>
      <c r="G33" t="inlineStr">
        <is>
          <t>4001 AED 3.45; 4002 AED 6,090.70; emergency AED 7.67</t>
        </is>
      </c>
    </row>
    <row r="34">
      <c r="A34" t="inlineStr">
        <is>
          <t>S34</t>
        </is>
      </c>
      <c r="B34" t="inlineStr">
        <is>
          <t>DEWA August bill</t>
        </is>
      </c>
      <c r="C34" t="inlineStr">
        <is>
          <t>AED 813.28</t>
        </is>
      </c>
      <c r="D34" t="inlineStr">
        <is>
          <t>Actual</t>
        </is>
      </c>
      <c r="E34" s="266" t="n">
        <v>46259.48194444444</v>
      </c>
      <c r="F34" t="inlineStr">
        <is>
          <t>User confirmation</t>
        </is>
      </c>
      <c r="G34" t="inlineStr">
        <is>
          <t>Replaces AED 793.42 estimate</t>
        </is>
      </c>
    </row>
    <row r="35">
      <c r="A35" t="inlineStr">
        <is>
          <t>S35</t>
        </is>
      </c>
      <c r="B35" t="inlineStr">
        <is>
          <t>Tabby due 3 Sep</t>
        </is>
      </c>
      <c r="C35" t="inlineStr">
        <is>
          <t>AED 1,314.50</t>
        </is>
      </c>
      <c r="D35" t="inlineStr">
        <is>
          <t>Actual</t>
        </is>
      </c>
      <c r="E35" s="266" t="n">
        <v>46259.47013888889</v>
      </c>
      <c r="F35" t="inlineStr">
        <is>
          <t>IMG_5731.png</t>
        </is>
      </c>
      <c r="G35" t="inlineStr">
        <is>
          <t>No-fee minimum selected; card frozen</t>
        </is>
      </c>
    </row>
    <row r="36">
      <c r="A36" t="inlineStr">
        <is>
          <t>S36</t>
        </is>
      </c>
      <c r="B36" t="inlineStr">
        <is>
          <t>Tabby due 3 Oct</t>
        </is>
      </c>
      <c r="C36" t="inlineStr">
        <is>
          <t>AED 715.33</t>
        </is>
      </c>
      <c r="D36" t="inlineStr">
        <is>
          <t>Actual</t>
        </is>
      </c>
      <c r="E36" s="266" t="n">
        <v>46259.47013888889</v>
      </c>
      <c r="F36" t="inlineStr">
        <is>
          <t>IMG_5732.png</t>
        </is>
      </c>
      <c r="G36" t="inlineStr">
        <is>
          <t>September statement generated</t>
        </is>
      </c>
    </row>
    <row r="37">
      <c r="A37" t="inlineStr">
        <is>
          <t>S37</t>
        </is>
      </c>
      <c r="B37" t="inlineStr">
        <is>
          <t>NBD current balance</t>
        </is>
      </c>
      <c r="C37" t="inlineStr">
        <is>
          <t>AED 0.20</t>
        </is>
      </c>
      <c r="D37" t="inlineStr">
        <is>
          <t>Actual</t>
        </is>
      </c>
      <c r="E37" s="266" t="n">
        <v>46251.63472222222</v>
      </c>
      <c r="F37" t="inlineStr">
        <is>
          <t>IMG_5733(1).png</t>
        </is>
      </c>
      <c r="G37" t="inlineStr">
        <is>
          <t>Netflix AED 35 declined; no deduction</t>
        </is>
      </c>
    </row>
    <row r="38">
      <c r="A38" t="inlineStr">
        <is>
          <t>S38</t>
        </is>
      </c>
      <c r="B38" t="inlineStr">
        <is>
          <t>Salary expected</t>
        </is>
      </c>
      <c r="C38" t="inlineStr">
        <is>
          <t>Approximately AED 2,906</t>
        </is>
      </c>
      <c r="D38" t="inlineStr">
        <is>
          <t>Estimated</t>
        </is>
      </c>
      <c r="E38" s="266" t="n">
        <v>46260</v>
      </c>
      <c r="F38" t="inlineStr">
        <is>
          <t>User confirmation</t>
        </is>
      </c>
      <c r="G38" t="inlineStr">
        <is>
          <t>Do not count until credited</t>
        </is>
      </c>
    </row>
    <row r="39">
      <c r="A39" t="inlineStr">
        <is>
          <t>S39</t>
        </is>
      </c>
      <c r="B39" t="inlineStr">
        <is>
          <t>FAB transaction sequence</t>
        </is>
      </c>
      <c r="C39" t="inlineStr">
        <is>
          <t>AED 502.73 visible purchases 20–25 Aug</t>
        </is>
      </c>
      <c r="D39" t="inlineStr">
        <is>
          <t>Actual</t>
        </is>
      </c>
      <c r="E39" s="266" t="n">
        <v>46259.47916666666</v>
      </c>
      <c r="F39" t="inlineStr">
        <is>
          <t>IMG_5748.png–IMG_5757.jpeg</t>
        </is>
      </c>
      <c r="G39" t="inlineStr">
        <is>
          <t>Internal transfers excluded from spending</t>
        </is>
      </c>
    </row>
    <row r="40">
      <c r="A40" t="inlineStr">
        <is>
          <t>S40</t>
        </is>
      </c>
      <c r="B40" t="inlineStr">
        <is>
          <t>Balance sequence reconciliation</t>
        </is>
      </c>
      <c r="C40" t="inlineStr">
        <is>
          <t>AED 0 unexplained</t>
        </is>
      </c>
      <c r="D40" t="inlineStr">
        <is>
          <t>Actual reconciled</t>
        </is>
      </c>
      <c r="E40" s="266" t="n">
        <v>46259.52152777778</v>
      </c>
      <c r="F40" t="inlineStr">
        <is>
          <t>IMG_5739.png–IMG_5787.png</t>
        </is>
      </c>
      <c r="G40" t="inlineStr">
        <is>
          <t>All movements itemized; AED 70 reclassified from transfer to Canva refund; AED 0.49 fee remains balance-derived</t>
        </is>
      </c>
    </row>
    <row r="41">
      <c r="A41" t="inlineStr">
        <is>
          <t>S41</t>
        </is>
      </c>
      <c r="B41" t="inlineStr">
        <is>
          <t>Canva refund</t>
        </is>
      </c>
      <c r="C41" t="inlineStr">
        <is>
          <t>AED 70 fully refunded</t>
        </is>
      </c>
      <c r="D41" t="inlineStr">
        <is>
          <t>Actual · balance-proven</t>
        </is>
      </c>
      <c r="E41" s="266" t="n">
        <v>46251.58263888889</v>
      </c>
      <c r="F41" t="inlineStr">
        <is>
          <t>IMG_5787.png</t>
        </is>
      </c>
      <c r="G41" t="inlineStr">
        <is>
          <t>No refund SMS: AED 74.17 − AED 22 + AED 70 = AED 122.17; exact posting time unknown</t>
        </is>
      </c>
    </row>
    <row r="42">
      <c r="A42" t="inlineStr">
        <is>
          <t>S42</t>
        </is>
      </c>
      <c r="B42" t="inlineStr">
        <is>
          <t>DEWA bill</t>
        </is>
      </c>
      <c r="C42" t="inlineStr">
        <is>
          <t>AED 813.28</t>
        </is>
      </c>
      <c r="D42" t="inlineStr">
        <is>
          <t>Actual</t>
        </is>
      </c>
      <c r="E42" s="266" t="n">
        <v>46259.31527777778</v>
      </c>
      <c r="F42" t="inlineStr">
        <is>
          <t>User confirmation + IMG_5758.jpeg</t>
        </is>
      </c>
      <c r="G42" t="inlineStr">
        <is>
          <t>Replaces AED 793.42 estimate</t>
        </is>
      </c>
    </row>
    <row r="43">
      <c r="A43" t="inlineStr">
        <is>
          <t>S43</t>
        </is>
      </c>
      <c r="B43" t="inlineStr">
        <is>
          <t>September telecom reserve</t>
        </is>
      </c>
      <c r="C43" t="inlineStr">
        <is>
          <t>AED 914.93</t>
        </is>
      </c>
      <c r="D43" t="inlineStr">
        <is>
          <t>Estimated</t>
        </is>
      </c>
      <c r="E43" s="266" t="n">
        <v>46259.53125</v>
      </c>
      <c r="F43" t="inlineStr">
        <is>
          <t>Prior confirmed du/Etisalat bills</t>
        </is>
      </c>
      <c r="G43" t="inlineStr">
        <is>
          <t>du AED 590.98 + Etisalat AED 323.95; replace with generated bills</t>
        </is>
      </c>
    </row>
    <row r="44">
      <c r="A44" t="inlineStr">
        <is>
          <t>S44</t>
        </is>
      </c>
      <c r="B44" t="inlineStr">
        <is>
          <t>Survival allowance</t>
        </is>
      </c>
      <c r="C44" t="inlineStr">
        <is>
          <t>AED 160</t>
        </is>
      </c>
      <c r="D44" t="inlineStr">
        <is>
          <t>Management cap</t>
        </is>
      </c>
      <c r="E44" s="266" t="n">
        <v>46259.53125</v>
      </c>
      <c r="F44" t="inlineStr">
        <is>
          <t>Johnny’s Edge damage-control plan</t>
        </is>
      </c>
      <c r="G44" t="inlineStr">
        <is>
          <t>AED 5/day or AED 35/week; no discretionary spending</t>
        </is>
      </c>
    </row>
  </sheetData>
  <mergeCells count="2">
    <mergeCell ref="A3:G3"/>
    <mergeCell ref="A1:G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2026-08-26T06:36:02Z</dcterms:created>
  <dcterms:modified xsi:type="dcterms:W3CDTF">2026-08-26T06:36:15Z</dcterms:modified>
</cp:coreProperties>
</file>